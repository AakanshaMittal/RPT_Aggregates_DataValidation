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A_ThisWorkbook"/>
  <mc:AlternateContent xmlns:mc="http://schemas.openxmlformats.org/markup-compatibility/2006">
    <mc:Choice Requires="x15">
      <x15ac:absPath xmlns:x15ac="http://schemas.microsoft.com/office/spreadsheetml/2010/11/ac" url="C:\Users\amitta73\Desktop\RPT_Automation_CombineTool\data\inputs_for_model\File1\"/>
    </mc:Choice>
  </mc:AlternateContent>
  <xr:revisionPtr revIDLastSave="0" documentId="13_ncr:1_{4AEDED2B-B10C-485A-BDBC-4BE4CECE25CA}" xr6:coauthVersionLast="47" xr6:coauthVersionMax="47" xr10:uidLastSave="{00000000-0000-0000-0000-000000000000}"/>
  <bookViews>
    <workbookView xWindow="-110" yWindow="-110" windowWidth="19420" windowHeight="11500" tabRatio="823" firstSheet="3" activeTab="3" xr2:uid="{00000000-000D-0000-FFFF-FFFF00000000}"/>
  </bookViews>
  <sheets>
    <sheet name="Change Log" sheetId="1" state="veryHidden" r:id="rId1"/>
    <sheet name="Model Info" sheetId="2" state="veryHidden" r:id="rId2"/>
    <sheet name="RPA Fee" sheetId="3" state="veryHidden" r:id="rId3"/>
    <sheet name="Input for Model" sheetId="4" r:id="rId4"/>
  </sheets>
  <definedNames>
    <definedName name="filterArea_ImportSpecialtyRPT">#REF!</definedName>
    <definedName name="formulaArea_ImportSpecialtyRPT">#REF!</definedName>
    <definedName name="formulaCopy_ImportSpecialtyRPT">#REF!</definedName>
    <definedName name="formulaCount_ImportSpecialtyRPT">#REF!</definedName>
    <definedName name="importVector_InputRPT">#REF!</definedName>
    <definedName name="importVector_InputSpecialtyRPT">#REF!</definedName>
    <definedName name="inputVector_RPT1">#REF!</definedName>
    <definedName name="inputVector_RPT10">#REF!</definedName>
    <definedName name="inputVector_RPT11">#REF!</definedName>
    <definedName name="inputVector_RPT12">#REF!</definedName>
    <definedName name="inputVector_RPT13">#REF!</definedName>
    <definedName name="inputVector_RPT14">#REF!</definedName>
    <definedName name="inputVector_RPT15">#REF!</definedName>
    <definedName name="inputVector_RPT16">#REF!</definedName>
    <definedName name="inputVector_RPT17">#REF!</definedName>
    <definedName name="inputVector_RPT18">#REF!</definedName>
    <definedName name="inputVector_RPT19">#REF!</definedName>
    <definedName name="inputVector_RPT2">#REF!</definedName>
    <definedName name="inputVector_RPT20">#REF!</definedName>
    <definedName name="inputVector_RPT3">#REF!</definedName>
    <definedName name="inputVector_RPT4">#REF!</definedName>
    <definedName name="inputVector_RPT5">#REF!</definedName>
    <definedName name="inputVector_RPT6">#REF!</definedName>
    <definedName name="inputVector_RPT7">#REF!</definedName>
    <definedName name="inputVector_RPT8">#REF!</definedName>
    <definedName name="inputVector_RPT9">#REF!</definedName>
    <definedName name="inputVector_Spec1">#REF!</definedName>
    <definedName name="inputVector_Spec10">#REF!</definedName>
    <definedName name="inputVector_Spec11">#REF!</definedName>
    <definedName name="inputVector_Spec12">#REF!</definedName>
    <definedName name="inputVector_Spec13">#REF!</definedName>
    <definedName name="inputVector_Spec14">#REF!</definedName>
    <definedName name="inputVector_Spec15">#REF!</definedName>
    <definedName name="inputVector_Spec16">#REF!</definedName>
    <definedName name="inputVector_Spec17">#REF!</definedName>
    <definedName name="inputVector_Spec18">#REF!</definedName>
    <definedName name="inputVector_Spec19">#REF!</definedName>
    <definedName name="inputVector_Spec2">#REF!</definedName>
    <definedName name="inputVector_Spec20">#REF!</definedName>
    <definedName name="inputVector_Spec3">#REF!</definedName>
    <definedName name="inputVector_Spec4">#REF!</definedName>
    <definedName name="inputVector_Spec5">#REF!</definedName>
    <definedName name="inputVector_Spec6">#REF!</definedName>
    <definedName name="inputVector_Spec7">#REF!</definedName>
    <definedName name="inputVector_Spec8">#REF!</definedName>
    <definedName name="inputVector_Spec9">#REF!</definedName>
    <definedName name="macroStorage_Combine">#REF!</definedName>
    <definedName name="macroStorage_Count1">#REF!</definedName>
    <definedName name="macroStorage_Count10">#REF!</definedName>
    <definedName name="macroStorage_Count11">#REF!</definedName>
    <definedName name="macroStorage_Count12">#REF!</definedName>
    <definedName name="macroStorage_Count13">#REF!</definedName>
    <definedName name="macroStorage_Count14">#REF!</definedName>
    <definedName name="macroStorage_Count15">#REF!</definedName>
    <definedName name="macroStorage_Count16">#REF!</definedName>
    <definedName name="macroStorage_Count17">#REF!</definedName>
    <definedName name="macroStorage_Count18">#REF!</definedName>
    <definedName name="macroStorage_Count19">#REF!</definedName>
    <definedName name="macroStorage_Count2">#REF!</definedName>
    <definedName name="macroStorage_Count20">#REF!</definedName>
    <definedName name="macroStorage_Count3">#REF!</definedName>
    <definedName name="macroStorage_Count4">#REF!</definedName>
    <definedName name="macroStorage_Count5">#REF!</definedName>
    <definedName name="macroStorage_Count6">#REF!</definedName>
    <definedName name="macroStorage_Count7">#REF!</definedName>
    <definedName name="macroStorage_Count8">#REF!</definedName>
    <definedName name="macroStorage_Count9">#REF!</definedName>
    <definedName name="macroStorage_CountTotal">#REF!</definedName>
    <definedName name="macroStorage_OldRPT">#REF!</definedName>
    <definedName name="macroStorage_PasteArea">#REF!</definedName>
    <definedName name="macroStorage_PasteRow">#REF!</definedName>
    <definedName name="macroStorage_Sheets">#REF!</definedName>
    <definedName name="modelControl_Dates">#REF!</definedName>
    <definedName name="modelControl_DatesArea">#REF!</definedName>
    <definedName name="modelControl_Files">#REF!</definedName>
    <definedName name="modelControl_FilesArea">#REF!</definedName>
    <definedName name="modelControl_Status">#REF!</definedName>
    <definedName name="modelControl_StatusArea">#REF!</definedName>
    <definedName name="modelControl_Toggles">#REF!</definedName>
    <definedName name="modelControl_TogglesArea">#REF!</definedName>
    <definedName name="ModelName">'Model Info'!$C$5</definedName>
    <definedName name="ModelReleaseDate">'Model Info'!$C$7</definedName>
    <definedName name="ModelVersion">'Model Info'!$C$6</definedName>
    <definedName name="pasteArea_ImportSpecialtyRPT">#REF!</definedName>
    <definedName name="rebateOverrides_RPT1">#REF!</definedName>
    <definedName name="rebateOverrides_RPT10">#REF!</definedName>
    <definedName name="rebateOverrides_RPT11">#REF!</definedName>
    <definedName name="rebateOverrides_RPT12">#REF!</definedName>
    <definedName name="rebateOverrides_RPT13">#REF!</definedName>
    <definedName name="rebateOverrides_RPT14">#REF!</definedName>
    <definedName name="rebateOverrides_RPT15">#REF!</definedName>
    <definedName name="rebateOverrides_RPT16">#REF!</definedName>
    <definedName name="rebateOverrides_RPT17">#REF!</definedName>
    <definedName name="rebateOverrides_RPT18">#REF!</definedName>
    <definedName name="rebateOverrides_RPT19">#REF!</definedName>
    <definedName name="rebateOverrides_RPT2">#REF!</definedName>
    <definedName name="rebateOverrides_RPT20">#REF!</definedName>
    <definedName name="rebateOverrides_RPT3">#REF!</definedName>
    <definedName name="rebateOverrides_RPT4">#REF!</definedName>
    <definedName name="rebateOverrides_RPT5">#REF!</definedName>
    <definedName name="rebateOverrides_RPT6">#REF!</definedName>
    <definedName name="rebateOverrides_RPT7">#REF!</definedName>
    <definedName name="rebateOverrides_RPT8">#REF!</definedName>
    <definedName name="rebateOverrides_RPT9">#REF!</definedName>
    <definedName name="rng_BaseEnd">#REF!</definedName>
    <definedName name="rng_BaseStart">#REF!</definedName>
    <definedName name="rng_copyID">#REF!</definedName>
    <definedName name="rng_DateFormulasCopy">#REF!</definedName>
    <definedName name="rng_DateFormulasPaste">#REF!</definedName>
    <definedName name="rng_pasteID">#REF!</definedName>
    <definedName name="rng_pasteTime">#REF!</definedName>
    <definedName name="RPA_TOTAL_YR1">'RPA Fee'!$B$2</definedName>
    <definedName name="RPA_TOTAL_YR2">'RPA Fee'!$C$2</definedName>
    <definedName name="RPA_TOTAL_YR3">'RPA Fee'!$D$2</definedName>
    <definedName name="RPA_TOTAL_YR4">'RPA Fee'!$E$2</definedName>
    <definedName name="RPA_TOTAL_YR5">'RPA Fee'!$F$2</definedName>
    <definedName name="worksheetList">'Model Info'!$C$14:$C$20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E2" i="3"/>
  <c r="D2" i="3"/>
  <c r="C2" i="3"/>
  <c r="B2" i="3"/>
  <c r="A1" i="2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1" i="1"/>
  <c r="A49" i="4"/>
  <c r="AA47" i="4"/>
  <c r="AD46" i="4"/>
  <c r="AD47" i="4" s="1"/>
  <c r="AC46" i="4"/>
  <c r="AC47" i="4" s="1"/>
  <c r="AB46" i="4"/>
  <c r="AB47" i="4" s="1"/>
  <c r="AA46" i="4"/>
  <c r="Z46" i="4"/>
  <c r="Z47" i="4" s="1"/>
  <c r="X46" i="4"/>
  <c r="X47" i="4" s="1"/>
  <c r="W46" i="4"/>
  <c r="W47" i="4" s="1"/>
  <c r="T46" i="4"/>
  <c r="T47" i="4" s="1"/>
  <c r="R46" i="4"/>
  <c r="R47" i="4" s="1"/>
  <c r="L46" i="4"/>
  <c r="K46" i="4"/>
  <c r="Q46" i="4" s="1"/>
  <c r="Q47" i="4" s="1"/>
  <c r="J46" i="4"/>
  <c r="V46" i="4" s="1"/>
  <c r="V47" i="4" s="1"/>
  <c r="I46" i="4"/>
  <c r="U46" i="4" s="1"/>
  <c r="U47" i="4" s="1"/>
  <c r="H46" i="4"/>
  <c r="N46" i="4" s="1"/>
  <c r="N47" i="4" s="1"/>
  <c r="A41" i="4"/>
  <c r="A42" i="4" s="1"/>
  <c r="A43" i="4" s="1"/>
  <c r="A44" i="4" s="1"/>
  <c r="A45" i="4" s="1"/>
  <c r="A46" i="4" s="1"/>
  <c r="A47" i="4" s="1"/>
  <c r="A48" i="4" s="1"/>
  <c r="AD38" i="4"/>
  <c r="AB38" i="4"/>
  <c r="AA38" i="4"/>
  <c r="AD37" i="4"/>
  <c r="AC37" i="4"/>
  <c r="AC38" i="4" s="1"/>
  <c r="AB37" i="4"/>
  <c r="AA37" i="4"/>
  <c r="Z37" i="4"/>
  <c r="Z38" i="4" s="1"/>
  <c r="V37" i="4"/>
  <c r="L37" i="4"/>
  <c r="R37" i="4" s="1"/>
  <c r="R38" i="4" s="1"/>
  <c r="K37" i="4"/>
  <c r="W37" i="4" s="1"/>
  <c r="W38" i="4" s="1"/>
  <c r="J37" i="4"/>
  <c r="P37" i="4" s="1"/>
  <c r="P38" i="4" s="1"/>
  <c r="I37" i="4"/>
  <c r="U37" i="4" s="1"/>
  <c r="U38" i="4" s="1"/>
  <c r="H37" i="4"/>
  <c r="T37" i="4" s="1"/>
  <c r="T38" i="4" s="1"/>
  <c r="A32" i="4"/>
  <c r="A33" i="4" s="1"/>
  <c r="A34" i="4" s="1"/>
  <c r="A35" i="4" s="1"/>
  <c r="A36" i="4" s="1"/>
  <c r="A37" i="4" s="1"/>
  <c r="A38" i="4" s="1"/>
  <c r="A39" i="4" s="1"/>
  <c r="AD28" i="4"/>
  <c r="AD29" i="4" s="1"/>
  <c r="AC28" i="4"/>
  <c r="AC29" i="4" s="1"/>
  <c r="AB28" i="4"/>
  <c r="AB29" i="4" s="1"/>
  <c r="AA28" i="4"/>
  <c r="AA29" i="4" s="1"/>
  <c r="Z28" i="4"/>
  <c r="Z29" i="4" s="1"/>
  <c r="L28" i="4"/>
  <c r="X28" i="4" s="1"/>
  <c r="K28" i="4"/>
  <c r="W28" i="4" s="1"/>
  <c r="J28" i="4"/>
  <c r="V28" i="4" s="1"/>
  <c r="V29" i="4" s="1"/>
  <c r="I28" i="4"/>
  <c r="O28" i="4" s="1"/>
  <c r="H28" i="4"/>
  <c r="T28" i="4" s="1"/>
  <c r="T29" i="4" s="1"/>
  <c r="A23" i="4"/>
  <c r="A24" i="4" s="1"/>
  <c r="A25" i="4" s="1"/>
  <c r="A26" i="4" s="1"/>
  <c r="A27" i="4" s="1"/>
  <c r="A28" i="4" s="1"/>
  <c r="A29" i="4" s="1"/>
  <c r="A30" i="4" s="1"/>
  <c r="AD17" i="4"/>
  <c r="AC17" i="4"/>
  <c r="AB17" i="4"/>
  <c r="AA17" i="4"/>
  <c r="Z17" i="4"/>
  <c r="L17" i="4"/>
  <c r="K17" i="4"/>
  <c r="J17" i="4"/>
  <c r="I17" i="4"/>
  <c r="H17" i="4"/>
  <c r="U9" i="4"/>
  <c r="V9" i="4" s="1"/>
  <c r="W9" i="4" s="1"/>
  <c r="X9" i="4" s="1"/>
  <c r="D4" i="4"/>
  <c r="X2" i="4"/>
  <c r="AD2" i="4" s="1"/>
  <c r="R2" i="4"/>
  <c r="W2" i="4" s="1"/>
  <c r="AC2" i="4" s="1"/>
  <c r="Q2" i="4"/>
  <c r="V2" i="4" s="1"/>
  <c r="AB2" i="4" s="1"/>
  <c r="P2" i="4"/>
  <c r="U2" i="4" s="1"/>
  <c r="AA2" i="4" s="1"/>
  <c r="O2" i="4"/>
  <c r="T2" i="4" s="1"/>
  <c r="Z2" i="4" s="1"/>
  <c r="N2" i="4"/>
  <c r="X1" i="4"/>
  <c r="AD1" i="4" s="1"/>
  <c r="R1" i="4"/>
  <c r="W1" i="4" s="1"/>
  <c r="AC1" i="4" s="1"/>
  <c r="Q1" i="4"/>
  <c r="V1" i="4" s="1"/>
  <c r="AB1" i="4" s="1"/>
  <c r="P1" i="4"/>
  <c r="U1" i="4" s="1"/>
  <c r="AA1" i="4" s="1"/>
  <c r="O1" i="4"/>
  <c r="T1" i="4" s="1"/>
  <c r="Z1" i="4" s="1"/>
  <c r="N1" i="4"/>
  <c r="Q37" i="4" l="1"/>
  <c r="Q38" i="4" s="1"/>
  <c r="X37" i="4"/>
  <c r="X38" i="4" s="1"/>
  <c r="P28" i="4"/>
  <c r="R28" i="4"/>
  <c r="R29" i="4" s="1"/>
  <c r="N28" i="4"/>
  <c r="P46" i="4"/>
  <c r="P47" i="4" s="1"/>
  <c r="W29" i="4"/>
  <c r="W16" i="4"/>
  <c r="V86" i="4" s="1"/>
  <c r="W13" i="4"/>
  <c r="W14" i="4"/>
  <c r="V68" i="4" s="1"/>
  <c r="W15" i="4"/>
  <c r="V56" i="4" s="1"/>
  <c r="X29" i="4"/>
  <c r="X16" i="4" s="1"/>
  <c r="V87" i="4" s="1"/>
  <c r="O29" i="4"/>
  <c r="V15" i="4"/>
  <c r="V55" i="4" s="1"/>
  <c r="N14" i="4"/>
  <c r="R14" i="4"/>
  <c r="R13" i="4"/>
  <c r="R15" i="4"/>
  <c r="T14" i="4"/>
  <c r="V65" i="4" s="1"/>
  <c r="T15" i="4"/>
  <c r="V53" i="4" s="1"/>
  <c r="T13" i="4"/>
  <c r="V59" i="4" s="1"/>
  <c r="V14" i="4"/>
  <c r="V67" i="4" s="1"/>
  <c r="N29" i="4"/>
  <c r="N13" i="4" s="1"/>
  <c r="V13" i="4"/>
  <c r="Q28" i="4"/>
  <c r="O46" i="4"/>
  <c r="O47" i="4" s="1"/>
  <c r="N16" i="4"/>
  <c r="N15" i="4"/>
  <c r="U28" i="4"/>
  <c r="P29" i="4"/>
  <c r="P15" i="4" s="1"/>
  <c r="V38" i="4"/>
  <c r="N37" i="4"/>
  <c r="N38" i="4" s="1"/>
  <c r="R16" i="4"/>
  <c r="O37" i="4"/>
  <c r="O38" i="4" s="1"/>
  <c r="T16" i="4"/>
  <c r="V83" i="4" s="1"/>
  <c r="V16" i="4"/>
  <c r="V85" i="4" s="1"/>
  <c r="O15" i="4" l="1"/>
  <c r="O13" i="4"/>
  <c r="X14" i="4"/>
  <c r="V69" i="4" s="1"/>
  <c r="O14" i="4"/>
  <c r="X15" i="4"/>
  <c r="V57" i="4" s="1"/>
  <c r="X13" i="4"/>
  <c r="V63" i="4" s="1"/>
  <c r="Z18" i="4"/>
  <c r="T17" i="4"/>
  <c r="T18" i="4" s="1"/>
  <c r="AD18" i="4"/>
  <c r="R17" i="4"/>
  <c r="R18" i="4" s="1"/>
  <c r="V61" i="4"/>
  <c r="V17" i="4"/>
  <c r="V18" i="4" s="1"/>
  <c r="Q29" i="4"/>
  <c r="Q16" i="4" s="1"/>
  <c r="P13" i="4"/>
  <c r="P14" i="4"/>
  <c r="O16" i="4"/>
  <c r="O17" i="4" s="1"/>
  <c r="O18" i="4" s="1"/>
  <c r="N17" i="4"/>
  <c r="N18" i="4" s="1"/>
  <c r="W17" i="4"/>
  <c r="W18" i="4" s="1"/>
  <c r="V62" i="4"/>
  <c r="U29" i="4"/>
  <c r="U13" i="4" s="1"/>
  <c r="U16" i="4"/>
  <c r="V84" i="4" s="1"/>
  <c r="P16" i="4"/>
  <c r="X17" i="4" l="1"/>
  <c r="X18" i="4" s="1"/>
  <c r="V60" i="4"/>
  <c r="Q15" i="4"/>
  <c r="Q13" i="4"/>
  <c r="AA18" i="4"/>
  <c r="U15" i="4"/>
  <c r="V54" i="4" s="1"/>
  <c r="Q14" i="4"/>
  <c r="U14" i="4"/>
  <c r="V66" i="4" s="1"/>
  <c r="AB18" i="4"/>
  <c r="P17" i="4"/>
  <c r="P18" i="4" s="1"/>
  <c r="U17" i="4" l="1"/>
  <c r="U18" i="4" s="1"/>
  <c r="Q17" i="4"/>
  <c r="Q18" i="4" s="1"/>
  <c r="AC18" i="4"/>
</calcChain>
</file>

<file path=xl/sharedStrings.xml><?xml version="1.0" encoding="utf-8"?>
<sst xmlns="http://schemas.openxmlformats.org/spreadsheetml/2006/main" count="255" uniqueCount="111">
  <si>
    <t>Year 1</t>
  </si>
  <si>
    <t>Year 2</t>
  </si>
  <si>
    <t>Year 3</t>
  </si>
  <si>
    <t>Year 4</t>
  </si>
  <si>
    <t>Year 5</t>
  </si>
  <si>
    <t>END</t>
  </si>
  <si>
    <t>Free work space</t>
  </si>
  <si>
    <t>Input for Model</t>
  </si>
  <si>
    <t>Combined RPT</t>
  </si>
  <si>
    <t>Conservatism</t>
  </si>
  <si>
    <t>Brand Scripts w Exclusions</t>
  </si>
  <si>
    <t>Total Rebate Collected Per Brand Script</t>
  </si>
  <si>
    <t>Rebate Guarantees Per Brand Script</t>
  </si>
  <si>
    <t xml:space="preserve">Rebate Under/Over Performance </t>
  </si>
  <si>
    <t>Combined</t>
  </si>
  <si>
    <t>Yr. 1</t>
  </si>
  <si>
    <t>Yr. 2</t>
  </si>
  <si>
    <t>Yr. 3</t>
  </si>
  <si>
    <t>Yr. 4</t>
  </si>
  <si>
    <t>Yr. 5</t>
  </si>
  <si>
    <t>Retail 30</t>
  </si>
  <si>
    <t>Retail 90</t>
  </si>
  <si>
    <t>Mail</t>
  </si>
  <si>
    <t>ALL</t>
  </si>
  <si>
    <t>Specialty</t>
  </si>
  <si>
    <t>Total</t>
  </si>
  <si>
    <t>Individual RPT's</t>
  </si>
  <si>
    <t>RPT3504944005661WP</t>
  </si>
  <si>
    <t>RPT7016379876729NN</t>
  </si>
  <si>
    <t>RPT1161653296037EO</t>
  </si>
  <si>
    <t>Guarantees for P&amp;L</t>
  </si>
  <si>
    <t>REBATE GUARANTEES</t>
  </si>
  <si>
    <t>Mail - Rebate Guarantee - Year 1</t>
  </si>
  <si>
    <t>Mail - Rebate Guarantee - Year 2</t>
  </si>
  <si>
    <t>Mail - Rebate Guarantee - Year 3</t>
  </si>
  <si>
    <t>Mail - Rebate Guarantee - Year 4</t>
  </si>
  <si>
    <t>Mail - Rebate Guarantee - Year 5</t>
  </si>
  <si>
    <t>Retail 30 - Rebate Guarantee - Year 1</t>
  </si>
  <si>
    <t>Retail 30 - Rebate Guarantee - Year 2</t>
  </si>
  <si>
    <t>Retail 30 - Rebate Guarantee - Year 3</t>
  </si>
  <si>
    <t>Retail 30 - Rebate Guarantee - Year 4</t>
  </si>
  <si>
    <t>Retail 30 - Rebate Guarantee - Year 5</t>
  </si>
  <si>
    <t>Retail 90 - Rebate Guarantee - Year 1</t>
  </si>
  <si>
    <t>Retail 90 - Rebate Guarantee - Year 2</t>
  </si>
  <si>
    <t>Retail 90 - Rebate Guarantee - Year 3</t>
  </si>
  <si>
    <t>Retail 90 - Rebate Guarantee - Year 4</t>
  </si>
  <si>
    <t>Retail 90 - Rebate Guarantee - Year 5</t>
  </si>
  <si>
    <t>In-House - Rebate Guarantee - Year 1</t>
  </si>
  <si>
    <t>In-House - Rebate Guarantee - Year 2</t>
  </si>
  <si>
    <t>In-House - Rebate Guarantee - Year 3</t>
  </si>
  <si>
    <t>In-House - Rebate Guarantee - Year 4</t>
  </si>
  <si>
    <t>In-House - Rebate Guarantee - Year 5</t>
  </si>
  <si>
    <t>Other - Rebate Guarantee - Year 1</t>
  </si>
  <si>
    <t>Other - Rebate Guarantee - Year 2</t>
  </si>
  <si>
    <t>Other - Rebate Guarantee - Year 3</t>
  </si>
  <si>
    <t>Other - Rebate Guarantee - Year 4</t>
  </si>
  <si>
    <t>Other - Rebate Guarantee - Year 5</t>
  </si>
  <si>
    <t>Specialty - Rebate Guarantee - Year 1</t>
  </si>
  <si>
    <t>Specialty - Rebate Guarantee - Year 2</t>
  </si>
  <si>
    <t>Specialty - Rebate Guarantee - Year 3</t>
  </si>
  <si>
    <t>Specialty - Rebate Guarantee - Year 4</t>
  </si>
  <si>
    <t>Specialty - Rebate Guarantee - Year 5</t>
  </si>
  <si>
    <t>Change Log</t>
  </si>
  <si>
    <t>Index</t>
  </si>
  <si>
    <t>Version</t>
  </si>
  <si>
    <t>Date</t>
  </si>
  <si>
    <t>Description</t>
  </si>
  <si>
    <t>Sheets</t>
  </si>
  <si>
    <t>v1.05</t>
  </si>
  <si>
    <t>Added rebate table to Input for Model for linking to vector P&amp;L</t>
  </si>
  <si>
    <t>[Input for Model]</t>
  </si>
  <si>
    <t>Updated code to check for valid date range</t>
  </si>
  <si>
    <t>[Output| RPT], [MacroStorage], code</t>
  </si>
  <si>
    <t>Updated error handling for DIV/0</t>
  </si>
  <si>
    <t>[Combined RPT]</t>
  </si>
  <si>
    <t>Updated sheet name references to be dynamic</t>
  </si>
  <si>
    <t>[Macro Storage], [Output| Specialty RPT], code</t>
  </si>
  <si>
    <t>v2.00</t>
  </si>
  <si>
    <t>Updated variables</t>
  </si>
  <si>
    <t>[Output| RPT]</t>
  </si>
  <si>
    <t>v2.06</t>
  </si>
  <si>
    <t>Removed RPTs 11-15</t>
  </si>
  <si>
    <t>Various, code</t>
  </si>
  <si>
    <t>v3.01</t>
  </si>
  <si>
    <t>Added rebate factors</t>
  </si>
  <si>
    <t>[Output| RPT], [Combined RPT]</t>
  </si>
  <si>
    <t>v4.00</t>
  </si>
  <si>
    <t>Updated combine RPT methodology for new RPT</t>
  </si>
  <si>
    <t>[RPTxx], [Output| RPT], [Combined RPT], [Input for Model], [Stats Tab]</t>
  </si>
  <si>
    <t>Added import functionality</t>
  </si>
  <si>
    <t>[Model Control], various other sheets, code</t>
  </si>
  <si>
    <t>Added RPT's 11-20</t>
  </si>
  <si>
    <t>Added protections</t>
  </si>
  <si>
    <t>Model Info</t>
  </si>
  <si>
    <t>Model Name</t>
  </si>
  <si>
    <t>Master PL Combine RPT Tool</t>
  </si>
  <si>
    <t>Model Version</t>
  </si>
  <si>
    <t>v5.03</t>
  </si>
  <si>
    <t>Model Release Date</t>
  </si>
  <si>
    <t>Model Owner</t>
  </si>
  <si>
    <t>Mitch Boland</t>
  </si>
  <si>
    <t>Owner Email</t>
  </si>
  <si>
    <t>mitchell.boland@optum.com</t>
  </si>
  <si>
    <t>Support Email</t>
  </si>
  <si>
    <t>PL-Support.Team@optum.com</t>
  </si>
  <si>
    <t>Protected Worksheets</t>
  </si>
  <si>
    <t>Model Control</t>
  </si>
  <si>
    <t>Output| RPT</t>
  </si>
  <si>
    <t>Output| Specialty RPT</t>
  </si>
  <si>
    <t>MacroStorage</t>
  </si>
  <si>
    <t>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</si>
</sst>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₹&quot;\ #,##0;[Red]&quot;₹&quot;\ \-#,##0"/>
    <numFmt numFmtId="164" formatCode="&quot;$&quot;#,##0_);[Red]\(&quot;$&quot;#,##0\)"/>
    <numFmt numFmtId="165" formatCode="0.0%"/>
    <numFmt numFmtId="166" formatCode="&quot;$&quot;#,##0.00"/>
    <numFmt numFmtId="167" formatCode="&quot;$&quot;#,##0.00_);[Red]\(&quot;$&quot;#,##0.00\)"/>
    <numFmt numFmtId="168" formatCode="m/d/yy;@"/>
    <numFmt numFmtId="169" formatCode="&quot;$&quot;#,##0"/>
    <numFmt numFmtId="170" formatCode="&quot;$&quot;#,##0.00_);\(&quot;$&quot;#,##0.00\)"/>
  </numFmts>
  <fonts count="2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sz val="11"/>
      <name val="Calibri"/>
      <family val="2"/>
      <scheme val="minor"/>
    </font>
    <font>
      <b/>
      <i/>
      <sz val="10"/>
      <color rgb="FFFF0000"/>
      <name val="Arial"/>
      <family val="2"/>
    </font>
    <font>
      <b/>
      <i/>
      <sz val="10"/>
      <color theme="1"/>
      <name val="Arial"/>
      <family val="2"/>
    </font>
    <font>
      <b/>
      <i/>
      <sz val="12"/>
      <color rgb="FFC00000"/>
      <name val="Arial"/>
      <family val="2"/>
    </font>
    <font>
      <b/>
      <u/>
      <sz val="10"/>
      <color theme="1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gray0625">
        <b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</borders>
  <cellStyleXfs count="5">
    <xf numFmtId="0" fontId="0" fillId="0" borderId="0"/>
    <xf numFmtId="9" fontId="4" fillId="0" borderId="0"/>
    <xf numFmtId="6" fontId="11" fillId="0" borderId="0">
      <alignment vertical="center" wrapText="1"/>
    </xf>
    <xf numFmtId="0" fontId="18" fillId="14" borderId="0"/>
    <xf numFmtId="0" fontId="19" fillId="0" borderId="0"/>
  </cellStyleXfs>
  <cellXfs count="216">
    <xf numFmtId="0" fontId="0" fillId="0" borderId="0" xfId="0"/>
    <xf numFmtId="0" fontId="12" fillId="8" borderId="0" xfId="0" applyFont="1" applyFill="1" applyProtection="1">
      <protection locked="0"/>
    </xf>
    <xf numFmtId="0" fontId="6" fillId="0" borderId="0" xfId="0" applyFont="1" applyAlignment="1" applyProtection="1">
      <alignment horizontal="left" indent="1"/>
      <protection locked="0"/>
    </xf>
    <xf numFmtId="0" fontId="8" fillId="0" borderId="0" xfId="0" applyFont="1" applyAlignment="1" applyProtection="1">
      <alignment horizontal="centerContinuous"/>
      <protection locked="0"/>
    </xf>
    <xf numFmtId="0" fontId="13" fillId="0" borderId="0" xfId="0" applyFont="1" applyAlignment="1" applyProtection="1">
      <alignment horizontal="left"/>
      <protection locked="0"/>
    </xf>
    <xf numFmtId="0" fontId="9" fillId="0" borderId="0" xfId="0" applyFont="1" applyProtection="1">
      <protection locked="0"/>
    </xf>
    <xf numFmtId="0" fontId="2" fillId="8" borderId="0" xfId="0" applyFont="1" applyFill="1"/>
    <xf numFmtId="0" fontId="6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3" fillId="8" borderId="0" xfId="0" applyFont="1" applyFill="1" applyProtection="1">
      <protection locked="0"/>
    </xf>
    <xf numFmtId="164" fontId="9" fillId="0" borderId="0" xfId="0" applyNumberFormat="1" applyFont="1" applyProtection="1">
      <protection locked="0"/>
    </xf>
    <xf numFmtId="10" fontId="7" fillId="2" borderId="2" xfId="0" applyNumberFormat="1" applyFont="1" applyFill="1" applyBorder="1" applyProtection="1">
      <protection locked="0"/>
    </xf>
    <xf numFmtId="10" fontId="9" fillId="2" borderId="3" xfId="0" applyNumberFormat="1" applyFont="1" applyFill="1" applyBorder="1" applyProtection="1">
      <protection locked="0"/>
    </xf>
    <xf numFmtId="165" fontId="9" fillId="2" borderId="3" xfId="1" applyNumberFormat="1" applyFont="1" applyFill="1" applyBorder="1" applyProtection="1">
      <protection locked="0"/>
    </xf>
    <xf numFmtId="0" fontId="6" fillId="0" borderId="0" xfId="0" applyFont="1" applyAlignment="1" applyProtection="1">
      <alignment horizontal="right"/>
      <protection locked="0"/>
    </xf>
    <xf numFmtId="10" fontId="7" fillId="0" borderId="3" xfId="0" applyNumberFormat="1" applyFont="1" applyBorder="1" applyProtection="1">
      <protection locked="0"/>
    </xf>
    <xf numFmtId="10" fontId="9" fillId="0" borderId="3" xfId="0" applyNumberFormat="1" applyFont="1" applyBorder="1" applyProtection="1">
      <protection locked="0"/>
    </xf>
    <xf numFmtId="165" fontId="9" fillId="0" borderId="3" xfId="1" applyNumberFormat="1" applyFont="1" applyBorder="1" applyProtection="1">
      <protection locked="0"/>
    </xf>
    <xf numFmtId="3" fontId="6" fillId="0" borderId="13" xfId="0" applyNumberFormat="1" applyFont="1" applyBorder="1" applyProtection="1">
      <protection locked="0"/>
    </xf>
    <xf numFmtId="3" fontId="6" fillId="0" borderId="6" xfId="0" applyNumberFormat="1" applyFont="1" applyBorder="1" applyProtection="1">
      <protection locked="0"/>
    </xf>
    <xf numFmtId="3" fontId="6" fillId="0" borderId="1" xfId="0" applyNumberFormat="1" applyFont="1" applyBorder="1" applyProtection="1">
      <protection locked="0"/>
    </xf>
    <xf numFmtId="0" fontId="6" fillId="0" borderId="1" xfId="0" applyFont="1" applyBorder="1" applyProtection="1">
      <protection locked="0"/>
    </xf>
    <xf numFmtId="0" fontId="6" fillId="8" borderId="0" xfId="0" applyFont="1" applyFill="1" applyProtection="1">
      <protection locked="0"/>
    </xf>
    <xf numFmtId="166" fontId="13" fillId="0" borderId="0" xfId="0" applyNumberFormat="1" applyFont="1" applyProtection="1">
      <protection locked="0"/>
    </xf>
    <xf numFmtId="166" fontId="17" fillId="0" borderId="0" xfId="0" applyNumberFormat="1" applyFont="1" applyProtection="1">
      <protection locked="0"/>
    </xf>
    <xf numFmtId="0" fontId="6" fillId="0" borderId="0" xfId="0" applyFont="1" applyAlignment="1" applyProtection="1">
      <alignment horizontal="centerContinuous"/>
      <protection locked="0"/>
    </xf>
    <xf numFmtId="166" fontId="6" fillId="0" borderId="0" xfId="1" applyNumberFormat="1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167" fontId="6" fillId="0" borderId="0" xfId="0" applyNumberFormat="1" applyFont="1" applyAlignment="1" applyProtection="1">
      <alignment horizontal="centerContinuous"/>
      <protection locked="0"/>
    </xf>
    <xf numFmtId="166" fontId="6" fillId="0" borderId="0" xfId="0" applyNumberFormat="1" applyFont="1" applyAlignment="1" applyProtection="1">
      <alignment horizontal="centerContinuous"/>
      <protection locked="0"/>
    </xf>
    <xf numFmtId="166" fontId="9" fillId="2" borderId="1" xfId="0" applyNumberFormat="1" applyFont="1" applyFill="1" applyBorder="1" applyProtection="1">
      <protection locked="0"/>
    </xf>
    <xf numFmtId="166" fontId="9" fillId="2" borderId="0" xfId="0" applyNumberFormat="1" applyFont="1" applyFill="1" applyProtection="1">
      <protection locked="0"/>
    </xf>
    <xf numFmtId="0" fontId="9" fillId="0" borderId="1" xfId="0" applyFont="1" applyBorder="1" applyProtection="1">
      <protection locked="0"/>
    </xf>
    <xf numFmtId="166" fontId="9" fillId="2" borderId="17" xfId="0" applyNumberFormat="1" applyFont="1" applyFill="1" applyBorder="1" applyProtection="1">
      <protection locked="0"/>
    </xf>
    <xf numFmtId="166" fontId="9" fillId="2" borderId="18" xfId="0" applyNumberFormat="1" applyFont="1" applyFill="1" applyBorder="1" applyProtection="1">
      <protection locked="0"/>
    </xf>
    <xf numFmtId="0" fontId="8" fillId="0" borderId="1" xfId="0" applyFont="1" applyBorder="1" applyProtection="1">
      <protection locked="0"/>
    </xf>
    <xf numFmtId="0" fontId="3" fillId="8" borderId="0" xfId="0" applyFont="1" applyFill="1" applyAlignment="1" applyProtection="1">
      <alignment horizontal="center"/>
      <protection locked="0"/>
    </xf>
    <xf numFmtId="0" fontId="5" fillId="8" borderId="0" xfId="0" applyFont="1" applyFill="1"/>
    <xf numFmtId="0" fontId="10" fillId="0" borderId="0" xfId="0" applyFont="1"/>
    <xf numFmtId="0" fontId="13" fillId="0" borderId="0" xfId="0" applyFont="1"/>
    <xf numFmtId="0" fontId="15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168" fontId="7" fillId="3" borderId="0" xfId="0" applyNumberFormat="1" applyFont="1" applyFill="1" applyAlignment="1">
      <alignment horizontal="center"/>
    </xf>
    <xf numFmtId="0" fontId="7" fillId="3" borderId="0" xfId="0" applyFont="1" applyFill="1"/>
    <xf numFmtId="0" fontId="6" fillId="3" borderId="0" xfId="0" applyFont="1" applyFill="1"/>
    <xf numFmtId="0" fontId="6" fillId="0" borderId="0" xfId="0" applyFont="1" applyAlignment="1">
      <alignment horizontal="left" indent="1"/>
    </xf>
    <xf numFmtId="0" fontId="7" fillId="13" borderId="12" xfId="0" applyFont="1" applyFill="1" applyBorder="1"/>
    <xf numFmtId="0" fontId="7" fillId="13" borderId="6" xfId="0" applyFont="1" applyFill="1" applyBorder="1"/>
    <xf numFmtId="14" fontId="7" fillId="13" borderId="6" xfId="0" applyNumberFormat="1" applyFont="1" applyFill="1" applyBorder="1" applyAlignment="1">
      <alignment horizontal="left"/>
    </xf>
    <xf numFmtId="14" fontId="7" fillId="5" borderId="20" xfId="0" applyNumberFormat="1" applyFont="1" applyFill="1" applyBorder="1" applyAlignment="1">
      <alignment horizontal="left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7" fillId="6" borderId="6" xfId="0" applyFont="1" applyFill="1" applyBorder="1"/>
    <xf numFmtId="0" fontId="7" fillId="6" borderId="13" xfId="0" applyFont="1" applyFill="1" applyBorder="1"/>
    <xf numFmtId="0" fontId="7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6" borderId="6" xfId="0" applyFont="1" applyFill="1" applyBorder="1"/>
    <xf numFmtId="0" fontId="6" fillId="6" borderId="0" xfId="0" applyFont="1" applyFill="1"/>
    <xf numFmtId="0" fontId="7" fillId="9" borderId="12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6" fillId="6" borderId="13" xfId="0" applyFont="1" applyFill="1" applyBorder="1"/>
    <xf numFmtId="0" fontId="6" fillId="7" borderId="0" xfId="0" applyFont="1" applyFill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Continuous"/>
      <protection locked="0"/>
    </xf>
    <xf numFmtId="0" fontId="6" fillId="11" borderId="3" xfId="0" applyFont="1" applyFill="1" applyBorder="1" applyAlignment="1" applyProtection="1">
      <alignment horizontal="centerContinuous"/>
      <protection locked="0"/>
    </xf>
    <xf numFmtId="0" fontId="6" fillId="11" borderId="4" xfId="0" applyFont="1" applyFill="1" applyBorder="1" applyAlignment="1" applyProtection="1">
      <alignment horizontal="centerContinuous"/>
      <protection locked="0"/>
    </xf>
    <xf numFmtId="0" fontId="6" fillId="11" borderId="21" xfId="0" applyFont="1" applyFill="1" applyBorder="1" applyProtection="1">
      <protection locked="0"/>
    </xf>
    <xf numFmtId="0" fontId="6" fillId="3" borderId="2" xfId="0" applyFont="1" applyFill="1" applyBorder="1" applyAlignment="1" applyProtection="1">
      <alignment horizontal="center"/>
      <protection locked="0"/>
    </xf>
    <xf numFmtId="0" fontId="6" fillId="3" borderId="3" xfId="0" applyFont="1" applyFill="1" applyBorder="1" applyAlignment="1" applyProtection="1">
      <alignment horizontal="center"/>
      <protection locked="0"/>
    </xf>
    <xf numFmtId="0" fontId="6" fillId="3" borderId="12" xfId="0" applyFont="1" applyFill="1" applyBorder="1" applyProtection="1">
      <protection locked="0"/>
    </xf>
    <xf numFmtId="166" fontId="9" fillId="5" borderId="5" xfId="0" applyNumberFormat="1" applyFont="1" applyFill="1" applyBorder="1" applyProtection="1">
      <protection locked="0"/>
    </xf>
    <xf numFmtId="166" fontId="9" fillId="5" borderId="7" xfId="0" applyNumberFormat="1" applyFont="1" applyFill="1" applyBorder="1" applyProtection="1">
      <protection locked="0"/>
    </xf>
    <xf numFmtId="169" fontId="9" fillId="5" borderId="5" xfId="0" applyNumberFormat="1" applyFont="1" applyFill="1" applyBorder="1" applyProtection="1">
      <protection locked="0"/>
    </xf>
    <xf numFmtId="169" fontId="9" fillId="5" borderId="7" xfId="0" applyNumberFormat="1" applyFont="1" applyFill="1" applyBorder="1" applyProtection="1">
      <protection locked="0"/>
    </xf>
    <xf numFmtId="0" fontId="6" fillId="3" borderId="14" xfId="0" applyFont="1" applyFill="1" applyBorder="1" applyProtection="1">
      <protection locked="0"/>
    </xf>
    <xf numFmtId="166" fontId="9" fillId="5" borderId="1" xfId="0" applyNumberFormat="1" applyFont="1" applyFill="1" applyBorder="1" applyProtection="1">
      <protection locked="0"/>
    </xf>
    <xf numFmtId="166" fontId="9" fillId="5" borderId="0" xfId="0" applyNumberFormat="1" applyFont="1" applyFill="1" applyProtection="1">
      <protection locked="0"/>
    </xf>
    <xf numFmtId="169" fontId="9" fillId="5" borderId="1" xfId="0" applyNumberFormat="1" applyFont="1" applyFill="1" applyBorder="1" applyProtection="1">
      <protection locked="0"/>
    </xf>
    <xf numFmtId="169" fontId="9" fillId="5" borderId="0" xfId="0" applyNumberFormat="1" applyFont="1" applyFill="1" applyProtection="1">
      <protection locked="0"/>
    </xf>
    <xf numFmtId="0" fontId="6" fillId="3" borderId="15" xfId="0" applyFont="1" applyFill="1" applyBorder="1" applyProtection="1">
      <protection locked="0"/>
    </xf>
    <xf numFmtId="0" fontId="6" fillId="3" borderId="16" xfId="0" applyFont="1" applyFill="1" applyBorder="1" applyProtection="1">
      <protection locked="0"/>
    </xf>
    <xf numFmtId="166" fontId="9" fillId="5" borderId="17" xfId="0" applyNumberFormat="1" applyFont="1" applyFill="1" applyBorder="1" applyProtection="1">
      <protection locked="0"/>
    </xf>
    <xf numFmtId="166" fontId="9" fillId="5" borderId="18" xfId="0" applyNumberFormat="1" applyFont="1" applyFill="1" applyBorder="1" applyProtection="1">
      <protection locked="0"/>
    </xf>
    <xf numFmtId="169" fontId="9" fillId="5" borderId="17" xfId="0" applyNumberFormat="1" applyFont="1" applyFill="1" applyBorder="1" applyProtection="1">
      <protection locked="0"/>
    </xf>
    <xf numFmtId="169" fontId="9" fillId="5" borderId="18" xfId="0" applyNumberFormat="1" applyFont="1" applyFill="1" applyBorder="1" applyProtection="1">
      <protection locked="0"/>
    </xf>
    <xf numFmtId="0" fontId="6" fillId="3" borderId="20" xfId="0" applyFont="1" applyFill="1" applyBorder="1" applyProtection="1">
      <protection locked="0"/>
    </xf>
    <xf numFmtId="166" fontId="8" fillId="5" borderId="9" xfId="0" applyNumberFormat="1" applyFont="1" applyFill="1" applyBorder="1" applyProtection="1">
      <protection locked="0"/>
    </xf>
    <xf numFmtId="166" fontId="8" fillId="5" borderId="10" xfId="0" applyNumberFormat="1" applyFont="1" applyFill="1" applyBorder="1" applyProtection="1">
      <protection locked="0"/>
    </xf>
    <xf numFmtId="169" fontId="8" fillId="5" borderId="9" xfId="0" applyNumberFormat="1" applyFont="1" applyFill="1" applyBorder="1" applyProtection="1">
      <protection locked="0"/>
    </xf>
    <xf numFmtId="169" fontId="8" fillId="5" borderId="10" xfId="0" applyNumberFormat="1" applyFont="1" applyFill="1" applyBorder="1" applyProtection="1">
      <protection locked="0"/>
    </xf>
    <xf numFmtId="164" fontId="9" fillId="4" borderId="0" xfId="0" applyNumberFormat="1" applyFont="1" applyFill="1" applyProtection="1">
      <protection locked="0"/>
    </xf>
    <xf numFmtId="164" fontId="9" fillId="7" borderId="0" xfId="0" applyNumberFormat="1" applyFont="1" applyFill="1" applyProtection="1">
      <protection locked="0"/>
    </xf>
    <xf numFmtId="0" fontId="14" fillId="0" borderId="0" xfId="0" applyFont="1" applyProtection="1">
      <protection locked="0"/>
    </xf>
    <xf numFmtId="0" fontId="16" fillId="0" borderId="0" xfId="0" applyFont="1" applyAlignment="1" applyProtection="1">
      <alignment horizontal="right"/>
      <protection locked="0"/>
    </xf>
    <xf numFmtId="3" fontId="6" fillId="12" borderId="12" xfId="0" applyNumberFormat="1" applyFont="1" applyFill="1" applyBorder="1" applyAlignment="1" applyProtection="1">
      <alignment horizontal="center" vertical="center"/>
      <protection locked="0"/>
    </xf>
    <xf numFmtId="3" fontId="9" fillId="5" borderId="1" xfId="0" applyNumberFormat="1" applyFont="1" applyFill="1" applyBorder="1" applyProtection="1">
      <protection locked="0"/>
    </xf>
    <xf numFmtId="3" fontId="6" fillId="12" borderId="6" xfId="0" applyNumberFormat="1" applyFont="1" applyFill="1" applyBorder="1" applyAlignment="1" applyProtection="1">
      <alignment horizontal="center" vertical="center"/>
      <protection locked="0"/>
    </xf>
    <xf numFmtId="3" fontId="9" fillId="5" borderId="17" xfId="0" applyNumberFormat="1" applyFont="1" applyFill="1" applyBorder="1" applyProtection="1">
      <protection locked="0"/>
    </xf>
    <xf numFmtId="3" fontId="9" fillId="5" borderId="18" xfId="0" applyNumberFormat="1" applyFont="1" applyFill="1" applyBorder="1" applyProtection="1">
      <protection locked="0"/>
    </xf>
    <xf numFmtId="3" fontId="6" fillId="12" borderId="20" xfId="0" applyNumberFormat="1" applyFont="1" applyFill="1" applyBorder="1" applyAlignment="1" applyProtection="1">
      <alignment horizontal="center" vertical="center"/>
      <protection locked="0"/>
    </xf>
    <xf numFmtId="3" fontId="8" fillId="5" borderId="9" xfId="0" applyNumberFormat="1" applyFont="1" applyFill="1" applyBorder="1" applyProtection="1">
      <protection locked="0"/>
    </xf>
    <xf numFmtId="3" fontId="8" fillId="5" borderId="10" xfId="0" applyNumberFormat="1" applyFont="1" applyFill="1" applyBorder="1" applyProtection="1">
      <protection locked="0"/>
    </xf>
    <xf numFmtId="0" fontId="6" fillId="7" borderId="0" xfId="0" applyFont="1" applyFill="1" applyProtection="1">
      <protection locked="0"/>
    </xf>
    <xf numFmtId="10" fontId="9" fillId="0" borderId="7" xfId="1" applyNumberFormat="1" applyFont="1" applyBorder="1" applyProtection="1">
      <protection locked="0"/>
    </xf>
    <xf numFmtId="3" fontId="6" fillId="12" borderId="8" xfId="0" applyNumberFormat="1" applyFont="1" applyFill="1" applyBorder="1" applyAlignment="1" applyProtection="1">
      <alignment horizontal="center" vertical="center"/>
      <protection locked="0"/>
    </xf>
    <xf numFmtId="0" fontId="6" fillId="3" borderId="22" xfId="0" applyFont="1" applyFill="1" applyBorder="1" applyProtection="1">
      <protection locked="0"/>
    </xf>
    <xf numFmtId="3" fontId="6" fillId="12" borderId="13" xfId="0" applyNumberFormat="1" applyFont="1" applyFill="1" applyBorder="1" applyAlignment="1" applyProtection="1">
      <alignment horizontal="center" vertical="center"/>
      <protection locked="0"/>
    </xf>
    <xf numFmtId="3" fontId="6" fillId="12" borderId="11" xfId="0" applyNumberFormat="1" applyFont="1" applyFill="1" applyBorder="1" applyAlignment="1" applyProtection="1">
      <alignment horizontal="center" vertical="center"/>
      <protection locked="0"/>
    </xf>
    <xf numFmtId="0" fontId="6" fillId="3" borderId="0" xfId="0" applyFont="1" applyFill="1" applyProtection="1">
      <protection locked="0"/>
    </xf>
    <xf numFmtId="170" fontId="9" fillId="5" borderId="12" xfId="0" applyNumberFormat="1" applyFont="1" applyFill="1" applyBorder="1" applyAlignment="1" applyProtection="1">
      <alignment horizontal="right"/>
      <protection locked="0"/>
    </xf>
    <xf numFmtId="170" fontId="9" fillId="5" borderId="6" xfId="0" applyNumberFormat="1" applyFont="1" applyFill="1" applyBorder="1" applyAlignment="1" applyProtection="1">
      <alignment horizontal="right"/>
      <protection locked="0"/>
    </xf>
    <xf numFmtId="170" fontId="9" fillId="10" borderId="6" xfId="0" applyNumberFormat="1" applyFont="1" applyFill="1" applyBorder="1" applyAlignment="1" applyProtection="1">
      <alignment horizontal="right"/>
      <protection locked="0"/>
    </xf>
    <xf numFmtId="170" fontId="9" fillId="5" borderId="20" xfId="0" applyNumberFormat="1" applyFont="1" applyFill="1" applyBorder="1" applyAlignment="1" applyProtection="1">
      <alignment horizontal="right"/>
      <protection locked="0"/>
    </xf>
    <xf numFmtId="0" fontId="7" fillId="13" borderId="12" xfId="0" applyFont="1" applyFill="1" applyBorder="1" applyAlignment="1">
      <alignment horizontal="left"/>
    </xf>
    <xf numFmtId="0" fontId="7" fillId="13" borderId="6" xfId="0" applyFont="1" applyFill="1" applyBorder="1" applyAlignment="1">
      <alignment horizontal="left"/>
    </xf>
    <xf numFmtId="0" fontId="7" fillId="13" borderId="20" xfId="0" applyFont="1" applyFill="1" applyBorder="1" applyAlignment="1">
      <alignment horizontal="left"/>
    </xf>
    <xf numFmtId="0" fontId="1" fillId="0" borderId="0" xfId="0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170" fontId="0" fillId="0" borderId="0" xfId="0" applyNumberFormat="1"/>
    <xf numFmtId="164" fontId="11" fillId="0" borderId="0" xfId="3" applyNumberFormat="1" applyFont="1" applyFill="1" applyAlignment="1">
      <alignment horizontal="center"/>
    </xf>
    <xf numFmtId="14" fontId="19" fillId="13" borderId="6" xfId="4" applyNumberFormat="1" applyFill="1" applyBorder="1" applyAlignment="1">
      <alignment horizontal="left"/>
    </xf>
    <xf numFmtId="0" fontId="1" fillId="0" borderId="0" xfId="0" applyFont="1" applyProtection="1">
      <protection locked="0"/>
    </xf>
    <xf numFmtId="0" fontId="1" fillId="7" borderId="0" xfId="0" applyFont="1" applyFill="1"/>
    <xf numFmtId="0" fontId="1" fillId="8" borderId="0" xfId="0" applyFont="1" applyFill="1" applyProtection="1">
      <protection locked="0"/>
    </xf>
    <xf numFmtId="0" fontId="1" fillId="0" borderId="0" xfId="0" applyFont="1" applyAlignment="1">
      <alignment horizontal="center"/>
    </xf>
    <xf numFmtId="0" fontId="1" fillId="6" borderId="0" xfId="0" applyFont="1" applyFill="1"/>
    <xf numFmtId="3" fontId="1" fillId="0" borderId="1" xfId="0" applyNumberFormat="1" applyFont="1" applyBorder="1" applyProtection="1">
      <protection locked="0"/>
    </xf>
    <xf numFmtId="3" fontId="1" fillId="0" borderId="0" xfId="0" applyNumberFormat="1" applyFont="1" applyProtection="1">
      <protection locked="0"/>
    </xf>
    <xf numFmtId="3" fontId="1" fillId="0" borderId="6" xfId="0" applyNumberFormat="1" applyFont="1" applyBorder="1" applyProtection="1">
      <protection locked="0"/>
    </xf>
    <xf numFmtId="0" fontId="1" fillId="0" borderId="1" xfId="0" applyFont="1" applyBorder="1" applyProtection="1">
      <protection locked="0"/>
    </xf>
    <xf numFmtId="9" fontId="1" fillId="0" borderId="0" xfId="1" applyFont="1" applyProtection="1">
      <protection locked="0"/>
    </xf>
    <xf numFmtId="0" fontId="1" fillId="6" borderId="0" xfId="0" applyFont="1" applyFill="1" applyAlignment="1">
      <alignment horizontal="center"/>
    </xf>
    <xf numFmtId="0" fontId="1" fillId="6" borderId="12" xfId="0" applyFont="1" applyFill="1" applyBorder="1"/>
    <xf numFmtId="0" fontId="1" fillId="7" borderId="0" xfId="0" applyFont="1" applyFill="1" applyProtection="1">
      <protection locked="0"/>
    </xf>
    <xf numFmtId="0" fontId="1" fillId="6" borderId="6" xfId="0" applyFont="1" applyFill="1" applyBorder="1"/>
    <xf numFmtId="3" fontId="1" fillId="0" borderId="13" xfId="0" applyNumberFormat="1" applyFont="1" applyBorder="1" applyProtection="1">
      <protection locked="0"/>
    </xf>
    <xf numFmtId="0" fontId="1" fillId="6" borderId="20" xfId="0" applyFont="1" applyFill="1" applyBorder="1"/>
    <xf numFmtId="0" fontId="1" fillId="9" borderId="6" xfId="0" applyFont="1" applyFill="1" applyBorder="1" applyAlignment="1">
      <alignment horizontal="center"/>
    </xf>
    <xf numFmtId="0" fontId="1" fillId="9" borderId="20" xfId="0" applyFont="1" applyFill="1" applyBorder="1" applyAlignment="1">
      <alignment horizontal="center"/>
    </xf>
    <xf numFmtId="0" fontId="1" fillId="3" borderId="0" xfId="0" applyFont="1" applyFill="1" applyProtection="1">
      <protection locked="0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 applyProtection="1">
      <alignment horizontal="center"/>
      <protection locked="0"/>
    </xf>
    <xf numFmtId="3" fontId="9" fillId="5" borderId="0" xfId="0" applyNumberFormat="1" applyFont="1" applyFill="1" applyProtection="1">
      <protection locked="0"/>
    </xf>
    <xf numFmtId="3" fontId="6" fillId="0" borderId="0" xfId="0" applyNumberFormat="1" applyFont="1" applyProtection="1">
      <protection locked="0"/>
    </xf>
    <xf numFmtId="3" fontId="9" fillId="5" borderId="13" xfId="0" applyNumberFormat="1" applyFont="1" applyFill="1" applyBorder="1" applyProtection="1">
      <protection locked="0"/>
    </xf>
    <xf numFmtId="3" fontId="8" fillId="5" borderId="11" xfId="0" applyNumberFormat="1" applyFont="1" applyFill="1" applyBorder="1" applyProtection="1">
      <protection locked="0"/>
    </xf>
    <xf numFmtId="0" fontId="6" fillId="3" borderId="4" xfId="0" applyFont="1" applyFill="1" applyBorder="1" applyAlignment="1" applyProtection="1">
      <alignment horizontal="center"/>
      <protection locked="0"/>
    </xf>
    <xf numFmtId="3" fontId="9" fillId="5" borderId="19" xfId="0" applyNumberFormat="1" applyFont="1" applyFill="1" applyBorder="1" applyProtection="1">
      <protection locked="0"/>
    </xf>
    <xf numFmtId="0" fontId="5" fillId="6" borderId="12" xfId="0" applyFont="1" applyFill="1" applyBorder="1"/>
    <xf numFmtId="0" fontId="5" fillId="6" borderId="0" xfId="0" applyFont="1" applyFill="1"/>
    <xf numFmtId="3" fontId="5" fillId="0" borderId="0" xfId="0" applyNumberFormat="1" applyFont="1"/>
    <xf numFmtId="0" fontId="6" fillId="0" borderId="0" xfId="0" applyFont="1"/>
    <xf numFmtId="0" fontId="6" fillId="11" borderId="2" xfId="0" applyFont="1" applyFill="1" applyBorder="1" applyAlignment="1">
      <alignment horizontal="centerContinuous"/>
    </xf>
    <xf numFmtId="0" fontId="6" fillId="11" borderId="3" xfId="0" applyFont="1" applyFill="1" applyBorder="1" applyAlignment="1">
      <alignment horizontal="centerContinuous"/>
    </xf>
    <xf numFmtId="0" fontId="6" fillId="11" borderId="4" xfId="0" applyFont="1" applyFill="1" applyBorder="1" applyAlignment="1">
      <alignment horizontal="centerContinuous"/>
    </xf>
    <xf numFmtId="3" fontId="5" fillId="0" borderId="6" xfId="0" applyNumberFormat="1" applyFont="1" applyBorder="1"/>
    <xf numFmtId="0" fontId="5" fillId="0" borderId="1" xfId="0" applyFont="1" applyBorder="1"/>
    <xf numFmtId="0" fontId="5" fillId="7" borderId="0" xfId="0" applyFont="1" applyFill="1"/>
    <xf numFmtId="0" fontId="5" fillId="6" borderId="6" xfId="0" applyFont="1" applyFill="1" applyBorder="1"/>
    <xf numFmtId="3" fontId="5" fillId="0" borderId="13" xfId="0" applyNumberFormat="1" applyFont="1" applyBorder="1"/>
    <xf numFmtId="0" fontId="6" fillId="11" borderId="21" xfId="0" applyFont="1" applyFill="1" applyBorder="1"/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3" fontId="5" fillId="0" borderId="1" xfId="0" applyNumberFormat="1" applyFont="1" applyBorder="1"/>
    <xf numFmtId="0" fontId="5" fillId="9" borderId="6" xfId="0" applyFont="1" applyFill="1" applyBorder="1" applyAlignment="1">
      <alignment horizontal="center"/>
    </xf>
    <xf numFmtId="3" fontId="6" fillId="12" borderId="8" xfId="0" applyNumberFormat="1" applyFont="1" applyFill="1" applyBorder="1" applyAlignment="1">
      <alignment horizontal="center" vertical="center"/>
    </xf>
    <xf numFmtId="0" fontId="6" fillId="3" borderId="22" xfId="0" applyFont="1" applyFill="1" applyBorder="1"/>
    <xf numFmtId="3" fontId="9" fillId="5" borderId="1" xfId="0" applyNumberFormat="1" applyFont="1" applyFill="1" applyBorder="1"/>
    <xf numFmtId="3" fontId="9" fillId="5" borderId="0" xfId="0" applyNumberFormat="1" applyFont="1" applyFill="1"/>
    <xf numFmtId="3" fontId="9" fillId="5" borderId="13" xfId="0" applyNumberFormat="1" applyFont="1" applyFill="1" applyBorder="1"/>
    <xf numFmtId="166" fontId="9" fillId="5" borderId="5" xfId="0" applyNumberFormat="1" applyFont="1" applyFill="1" applyBorder="1"/>
    <xf numFmtId="166" fontId="9" fillId="5" borderId="0" xfId="0" applyNumberFormat="1" applyFont="1" applyFill="1"/>
    <xf numFmtId="166" fontId="9" fillId="2" borderId="1" xfId="0" applyNumberFormat="1" applyFont="1" applyFill="1" applyBorder="1"/>
    <xf numFmtId="166" fontId="9" fillId="2" borderId="0" xfId="0" applyNumberFormat="1" applyFont="1" applyFill="1"/>
    <xf numFmtId="169" fontId="9" fillId="5" borderId="5" xfId="0" applyNumberFormat="1" applyFont="1" applyFill="1" applyBorder="1"/>
    <xf numFmtId="169" fontId="9" fillId="5" borderId="7" xfId="0" applyNumberFormat="1" applyFont="1" applyFill="1" applyBorder="1"/>
    <xf numFmtId="0" fontId="9" fillId="0" borderId="1" xfId="0" applyFont="1" applyBorder="1"/>
    <xf numFmtId="3" fontId="6" fillId="12" borderId="13" xfId="0" applyNumberFormat="1" applyFont="1" applyFill="1" applyBorder="1" applyAlignment="1">
      <alignment horizontal="center" vertical="center"/>
    </xf>
    <xf numFmtId="0" fontId="6" fillId="3" borderId="14" xfId="0" applyFont="1" applyFill="1" applyBorder="1"/>
    <xf numFmtId="166" fontId="9" fillId="5" borderId="1" xfId="0" applyNumberFormat="1" applyFont="1" applyFill="1" applyBorder="1"/>
    <xf numFmtId="169" fontId="9" fillId="5" borderId="1" xfId="0" applyNumberFormat="1" applyFont="1" applyFill="1" applyBorder="1"/>
    <xf numFmtId="169" fontId="9" fillId="5" borderId="0" xfId="0" applyNumberFormat="1" applyFont="1" applyFill="1"/>
    <xf numFmtId="0" fontId="6" fillId="3" borderId="15" xfId="0" applyFont="1" applyFill="1" applyBorder="1"/>
    <xf numFmtId="0" fontId="6" fillId="3" borderId="16" xfId="0" applyFont="1" applyFill="1" applyBorder="1"/>
    <xf numFmtId="3" fontId="9" fillId="5" borderId="17" xfId="0" applyNumberFormat="1" applyFont="1" applyFill="1" applyBorder="1"/>
    <xf numFmtId="3" fontId="9" fillId="5" borderId="18" xfId="0" applyNumberFormat="1" applyFont="1" applyFill="1" applyBorder="1"/>
    <xf numFmtId="3" fontId="9" fillId="5" borderId="19" xfId="0" applyNumberFormat="1" applyFont="1" applyFill="1" applyBorder="1"/>
    <xf numFmtId="166" fontId="9" fillId="5" borderId="17" xfId="0" applyNumberFormat="1" applyFont="1" applyFill="1" applyBorder="1"/>
    <xf numFmtId="166" fontId="9" fillId="5" borderId="18" xfId="0" applyNumberFormat="1" applyFont="1" applyFill="1" applyBorder="1"/>
    <xf numFmtId="166" fontId="9" fillId="2" borderId="17" xfId="0" applyNumberFormat="1" applyFont="1" applyFill="1" applyBorder="1"/>
    <xf numFmtId="166" fontId="9" fillId="2" borderId="18" xfId="0" applyNumberFormat="1" applyFont="1" applyFill="1" applyBorder="1"/>
    <xf numFmtId="169" fontId="9" fillId="5" borderId="17" xfId="0" applyNumberFormat="1" applyFont="1" applyFill="1" applyBorder="1"/>
    <xf numFmtId="169" fontId="9" fillId="5" borderId="18" xfId="0" applyNumberFormat="1" applyFont="1" applyFill="1" applyBorder="1"/>
    <xf numFmtId="3" fontId="6" fillId="12" borderId="11" xfId="0" applyNumberFormat="1" applyFont="1" applyFill="1" applyBorder="1" applyAlignment="1">
      <alignment horizontal="center" vertical="center"/>
    </xf>
    <xf numFmtId="3" fontId="6" fillId="0" borderId="6" xfId="0" applyNumberFormat="1" applyFont="1" applyBorder="1"/>
    <xf numFmtId="0" fontId="6" fillId="3" borderId="20" xfId="0" applyFont="1" applyFill="1" applyBorder="1"/>
    <xf numFmtId="3" fontId="8" fillId="5" borderId="9" xfId="0" applyNumberFormat="1" applyFont="1" applyFill="1" applyBorder="1"/>
    <xf numFmtId="3" fontId="8" fillId="5" borderId="10" xfId="0" applyNumberFormat="1" applyFont="1" applyFill="1" applyBorder="1"/>
    <xf numFmtId="3" fontId="8" fillId="5" borderId="11" xfId="0" applyNumberFormat="1" applyFont="1" applyFill="1" applyBorder="1"/>
    <xf numFmtId="3" fontId="6" fillId="0" borderId="0" xfId="0" applyNumberFormat="1" applyFont="1"/>
    <xf numFmtId="166" fontId="8" fillId="5" borderId="9" xfId="0" applyNumberFormat="1" applyFont="1" applyFill="1" applyBorder="1"/>
    <xf numFmtId="166" fontId="8" fillId="5" borderId="10" xfId="0" applyNumberFormat="1" applyFont="1" applyFill="1" applyBorder="1"/>
    <xf numFmtId="3" fontId="6" fillId="0" borderId="1" xfId="0" applyNumberFormat="1" applyFont="1" applyBorder="1"/>
    <xf numFmtId="169" fontId="8" fillId="5" borderId="9" xfId="0" applyNumberFormat="1" applyFont="1" applyFill="1" applyBorder="1"/>
    <xf numFmtId="169" fontId="8" fillId="5" borderId="10" xfId="0" applyNumberFormat="1" applyFont="1" applyFill="1" applyBorder="1"/>
    <xf numFmtId="0" fontId="8" fillId="0" borderId="1" xfId="0" applyFont="1" applyBorder="1"/>
    <xf numFmtId="0" fontId="5" fillId="0" borderId="0" xfId="0" applyFont="1"/>
    <xf numFmtId="166" fontId="13" fillId="0" borderId="0" xfId="0" applyNumberFormat="1" applyFont="1"/>
    <xf numFmtId="166" fontId="17" fillId="0" borderId="0" xfId="0" applyNumberFormat="1" applyFont="1"/>
    <xf numFmtId="10" fontId="9" fillId="0" borderId="7" xfId="0" applyNumberFormat="1" applyFont="1" applyBorder="1"/>
    <xf numFmtId="0" fontId="9" fillId="0" borderId="0" xfId="0" applyFont="1"/>
    <xf numFmtId="0" fontId="5" fillId="9" borderId="20" xfId="0" applyFont="1" applyFill="1" applyBorder="1" applyAlignment="1">
      <alignment horizontal="center"/>
    </xf>
    <xf numFmtId="0" fontId="5" fillId="6" borderId="20" xfId="0" applyFont="1" applyFill="1" applyBorder="1"/>
    <xf numFmtId="9" fontId="5" fillId="0" borderId="0" xfId="0" applyNumberFormat="1" applyFont="1"/>
    <xf numFmtId="0" fontId="6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</cellXfs>
  <cellStyles count="5">
    <cellStyle name="Amounts" xfId="2" xr:uid="{00000000-0005-0000-0000-000002000000}"/>
    <cellStyle name="Good" xfId="3" builtinId="26"/>
    <cellStyle name="Hyperlink" xfId="4" builtinId="8"/>
    <cellStyle name="Normal" xfId="0" builtinId="0"/>
    <cellStyle name="Percent" xfId="1" builtinId="5"/>
  </cellStyles>
  <dxfs count="1">
    <dxf>
      <border>
        <bottom style="dotted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itchell.boland@optu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ChangeLog">
    <tabColor rgb="FF00B0F0"/>
  </sheetPr>
  <dimension ref="A1:H23"/>
  <sheetViews>
    <sheetView showGridLines="0"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90625" defaultRowHeight="12.5" x14ac:dyDescent="0.25"/>
  <cols>
    <col min="1" max="3" width="10.36328125" style="37" customWidth="1"/>
    <col min="4" max="4" width="88.6328125" style="37" customWidth="1"/>
    <col min="5" max="5" width="71.36328125" style="37" bestFit="1" customWidth="1"/>
    <col min="6" max="6" width="8.90625" style="37" customWidth="1"/>
    <col min="7" max="16384" width="8.90625" style="37"/>
  </cols>
  <sheetData>
    <row r="1" spans="1:8" ht="17.399999999999999" customHeight="1" x14ac:dyDescent="0.4">
      <c r="A1" s="38" t="e">
        <f>#REF!</f>
        <v>#REF!</v>
      </c>
      <c r="B1" s="120"/>
      <c r="C1" s="120"/>
      <c r="D1" s="120"/>
      <c r="E1" s="120"/>
      <c r="F1" s="120"/>
      <c r="G1" s="121"/>
      <c r="H1" s="1" t="s">
        <v>6</v>
      </c>
    </row>
    <row r="2" spans="1:8" ht="13" x14ac:dyDescent="0.3">
      <c r="A2" s="39" t="s">
        <v>62</v>
      </c>
      <c r="B2" s="120"/>
      <c r="C2" s="120"/>
      <c r="D2" s="120"/>
      <c r="E2" s="120"/>
      <c r="F2" s="120"/>
      <c r="G2" s="121"/>
      <c r="H2" s="122"/>
    </row>
    <row r="3" spans="1:8" x14ac:dyDescent="0.25">
      <c r="A3" s="120"/>
      <c r="B3" s="120"/>
      <c r="C3" s="120"/>
      <c r="D3" s="120"/>
      <c r="E3" s="120"/>
      <c r="F3" s="120"/>
      <c r="G3" s="121"/>
      <c r="H3" s="122"/>
    </row>
    <row r="4" spans="1:8" ht="13" x14ac:dyDescent="0.3">
      <c r="A4" s="40" t="s">
        <v>63</v>
      </c>
      <c r="B4" s="40" t="s">
        <v>64</v>
      </c>
      <c r="C4" s="40" t="s">
        <v>65</v>
      </c>
      <c r="D4" s="40" t="s">
        <v>66</v>
      </c>
      <c r="E4" s="40" t="s">
        <v>67</v>
      </c>
      <c r="F4" s="120"/>
      <c r="G4" s="121"/>
      <c r="H4" s="122"/>
    </row>
    <row r="5" spans="1:8" x14ac:dyDescent="0.25">
      <c r="A5" s="123">
        <v>1</v>
      </c>
      <c r="B5" s="41" t="s">
        <v>68</v>
      </c>
      <c r="C5" s="42">
        <v>44984</v>
      </c>
      <c r="D5" s="43" t="s">
        <v>69</v>
      </c>
      <c r="E5" s="43" t="s">
        <v>70</v>
      </c>
      <c r="F5" s="120"/>
      <c r="G5" s="121"/>
      <c r="H5" s="122"/>
    </row>
    <row r="6" spans="1:8" x14ac:dyDescent="0.25">
      <c r="A6" s="123">
        <f t="shared" ref="A6:A20" si="0">A5+1</f>
        <v>2</v>
      </c>
      <c r="B6" s="41" t="s">
        <v>68</v>
      </c>
      <c r="C6" s="42">
        <v>44998</v>
      </c>
      <c r="D6" s="43" t="s">
        <v>71</v>
      </c>
      <c r="E6" s="43" t="s">
        <v>72</v>
      </c>
      <c r="F6" s="120"/>
      <c r="G6" s="121"/>
      <c r="H6" s="122"/>
    </row>
    <row r="7" spans="1:8" x14ac:dyDescent="0.25">
      <c r="A7" s="123">
        <f t="shared" si="0"/>
        <v>3</v>
      </c>
      <c r="B7" s="41" t="s">
        <v>68</v>
      </c>
      <c r="C7" s="42">
        <v>44998</v>
      </c>
      <c r="D7" s="43" t="s">
        <v>73</v>
      </c>
      <c r="E7" s="43" t="s">
        <v>74</v>
      </c>
      <c r="F7" s="120"/>
      <c r="G7" s="121"/>
      <c r="H7" s="122"/>
    </row>
    <row r="8" spans="1:8" x14ac:dyDescent="0.25">
      <c r="A8" s="123">
        <f t="shared" si="0"/>
        <v>4</v>
      </c>
      <c r="B8" s="41" t="s">
        <v>68</v>
      </c>
      <c r="C8" s="42">
        <v>45001</v>
      </c>
      <c r="D8" s="43" t="s">
        <v>75</v>
      </c>
      <c r="E8" s="43" t="s">
        <v>76</v>
      </c>
      <c r="F8" s="120"/>
      <c r="G8" s="121"/>
      <c r="H8" s="122"/>
    </row>
    <row r="9" spans="1:8" x14ac:dyDescent="0.25">
      <c r="A9" s="123">
        <f t="shared" si="0"/>
        <v>5</v>
      </c>
      <c r="B9" s="41" t="s">
        <v>77</v>
      </c>
      <c r="C9" s="42">
        <v>45167</v>
      </c>
      <c r="D9" s="43" t="s">
        <v>78</v>
      </c>
      <c r="E9" s="43" t="s">
        <v>79</v>
      </c>
      <c r="F9" s="120"/>
      <c r="G9" s="121"/>
      <c r="H9" s="122"/>
    </row>
    <row r="10" spans="1:8" x14ac:dyDescent="0.25">
      <c r="A10" s="123">
        <f t="shared" si="0"/>
        <v>6</v>
      </c>
      <c r="B10" s="41" t="s">
        <v>80</v>
      </c>
      <c r="C10" s="42">
        <v>45357</v>
      </c>
      <c r="D10" s="43" t="s">
        <v>81</v>
      </c>
      <c r="E10" s="43" t="s">
        <v>82</v>
      </c>
      <c r="F10" s="120"/>
      <c r="G10" s="121"/>
      <c r="H10" s="122"/>
    </row>
    <row r="11" spans="1:8" x14ac:dyDescent="0.25">
      <c r="A11" s="123">
        <f t="shared" si="0"/>
        <v>7</v>
      </c>
      <c r="B11" s="41" t="s">
        <v>83</v>
      </c>
      <c r="C11" s="42">
        <v>45400</v>
      </c>
      <c r="D11" s="43" t="s">
        <v>84</v>
      </c>
      <c r="E11" s="43" t="s">
        <v>85</v>
      </c>
      <c r="F11" s="120"/>
      <c r="G11" s="121"/>
      <c r="H11" s="122"/>
    </row>
    <row r="12" spans="1:8" x14ac:dyDescent="0.25">
      <c r="A12" s="123">
        <f t="shared" si="0"/>
        <v>8</v>
      </c>
      <c r="B12" s="41" t="s">
        <v>86</v>
      </c>
      <c r="C12" s="42">
        <v>45576</v>
      </c>
      <c r="D12" s="43" t="s">
        <v>87</v>
      </c>
      <c r="E12" s="43" t="s">
        <v>88</v>
      </c>
      <c r="F12" s="120"/>
      <c r="G12" s="121"/>
      <c r="H12" s="122"/>
    </row>
    <row r="13" spans="1:8" x14ac:dyDescent="0.25">
      <c r="A13" s="123">
        <f t="shared" si="0"/>
        <v>9</v>
      </c>
      <c r="B13" s="41" t="s">
        <v>86</v>
      </c>
      <c r="C13" s="42">
        <v>45587</v>
      </c>
      <c r="D13" s="43" t="s">
        <v>89</v>
      </c>
      <c r="E13" s="43" t="s">
        <v>90</v>
      </c>
      <c r="F13" s="120"/>
      <c r="G13" s="121"/>
      <c r="H13" s="122"/>
    </row>
    <row r="14" spans="1:8" x14ac:dyDescent="0.25">
      <c r="A14" s="123">
        <f t="shared" si="0"/>
        <v>10</v>
      </c>
      <c r="B14" s="41" t="s">
        <v>86</v>
      </c>
      <c r="C14" s="42">
        <v>45590</v>
      </c>
      <c r="D14" s="43" t="s">
        <v>91</v>
      </c>
      <c r="E14" s="43" t="s">
        <v>82</v>
      </c>
      <c r="F14" s="120"/>
      <c r="G14" s="121"/>
      <c r="H14" s="122"/>
    </row>
    <row r="15" spans="1:8" x14ac:dyDescent="0.25">
      <c r="A15" s="123">
        <f t="shared" si="0"/>
        <v>11</v>
      </c>
      <c r="B15" s="41" t="s">
        <v>86</v>
      </c>
      <c r="C15" s="42">
        <v>45593</v>
      </c>
      <c r="D15" s="43" t="s">
        <v>92</v>
      </c>
      <c r="E15" s="43" t="s">
        <v>82</v>
      </c>
      <c r="F15" s="120"/>
      <c r="G15" s="121"/>
      <c r="H15" s="122"/>
    </row>
    <row r="16" spans="1:8" x14ac:dyDescent="0.25">
      <c r="A16" s="123">
        <f t="shared" si="0"/>
        <v>12</v>
      </c>
      <c r="B16" s="41"/>
      <c r="C16" s="42"/>
      <c r="D16" s="43"/>
      <c r="E16" s="43"/>
      <c r="F16" s="120"/>
      <c r="G16" s="121"/>
      <c r="H16" s="122"/>
    </row>
    <row r="17" spans="1:8" x14ac:dyDescent="0.25">
      <c r="A17" s="123">
        <f t="shared" si="0"/>
        <v>13</v>
      </c>
      <c r="B17" s="41"/>
      <c r="C17" s="42"/>
      <c r="D17" s="43"/>
      <c r="E17" s="43"/>
      <c r="F17" s="120"/>
      <c r="G17" s="121"/>
      <c r="H17" s="122"/>
    </row>
    <row r="18" spans="1:8" x14ac:dyDescent="0.25">
      <c r="A18" s="123">
        <f t="shared" si="0"/>
        <v>14</v>
      </c>
      <c r="B18" s="41"/>
      <c r="C18" s="42"/>
      <c r="D18" s="43"/>
      <c r="E18" s="43"/>
      <c r="F18" s="120"/>
      <c r="G18" s="121"/>
      <c r="H18" s="122"/>
    </row>
    <row r="19" spans="1:8" x14ac:dyDescent="0.25">
      <c r="A19" s="123">
        <f t="shared" si="0"/>
        <v>15</v>
      </c>
      <c r="B19" s="41"/>
      <c r="C19" s="42"/>
      <c r="D19" s="43"/>
      <c r="E19" s="43"/>
      <c r="F19" s="120"/>
      <c r="G19" s="121"/>
      <c r="H19" s="122"/>
    </row>
    <row r="20" spans="1:8" x14ac:dyDescent="0.25">
      <c r="A20" s="123">
        <f t="shared" si="0"/>
        <v>16</v>
      </c>
      <c r="B20" s="41"/>
      <c r="C20" s="42"/>
      <c r="D20" s="43"/>
      <c r="E20" s="43"/>
      <c r="F20" s="120"/>
      <c r="G20" s="121"/>
      <c r="H20" s="122"/>
    </row>
    <row r="21" spans="1:8" x14ac:dyDescent="0.25">
      <c r="A21" s="120"/>
      <c r="B21" s="120"/>
      <c r="C21" s="120"/>
      <c r="D21" s="120"/>
      <c r="E21" s="120"/>
      <c r="F21" s="120"/>
      <c r="G21" s="121"/>
      <c r="H21" s="122"/>
    </row>
    <row r="22" spans="1:8" x14ac:dyDescent="0.25">
      <c r="A22" s="121"/>
      <c r="B22" s="121"/>
      <c r="C22" s="121"/>
      <c r="D22" s="121"/>
      <c r="E22" s="121"/>
      <c r="F22" s="121"/>
      <c r="G22" s="121"/>
      <c r="H22" s="122"/>
    </row>
    <row r="23" spans="1:8" ht="13" x14ac:dyDescent="0.3">
      <c r="A23" s="1" t="s">
        <v>6</v>
      </c>
      <c r="B23" s="122"/>
      <c r="C23" s="122"/>
      <c r="D23" s="122"/>
      <c r="E23" s="122"/>
      <c r="F23" s="122"/>
      <c r="G23" s="122"/>
      <c r="H23" s="122"/>
    </row>
  </sheetData>
  <sheetProtection algorithmName="SHA-512" hashValue="yl9f3G5EAwswfe/1CNJIQHy/VK5ThCZE8Agd/PthIK9CXrfInnOJcn9oLI7omJLycvcBJOyjMxpswJqXKBcIrw==" saltValue="i1wohxtrHENcqIgB85PqtQ==" spinCount="100000" sheet="1" scenarios="1" formatCells="0" formatColumns="0" formatRows="0" autoFilter="0"/>
  <conditionalFormatting sqref="B5:E20">
    <cfRule type="expression" dxfId="0" priority="1">
      <formula>$B5&lt;&gt;$B6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ModelInfo">
    <tabColor rgb="FFB2B2B2"/>
  </sheetPr>
  <dimension ref="A1:F24"/>
  <sheetViews>
    <sheetView showGridLines="0" zoomScale="80" zoomScaleNormal="80" workbookViewId="0"/>
  </sheetViews>
  <sheetFormatPr defaultColWidth="8.90625" defaultRowHeight="12.5" x14ac:dyDescent="0.25"/>
  <cols>
    <col min="1" max="1" width="26.6328125" style="6" customWidth="1"/>
    <col min="2" max="2" width="1.6328125" style="6" customWidth="1"/>
    <col min="3" max="3" width="30.6328125" style="6" customWidth="1"/>
    <col min="4" max="4" width="1.6328125" style="6" customWidth="1"/>
    <col min="5" max="5" width="8.90625" style="6" customWidth="1"/>
    <col min="6" max="16384" width="8.90625" style="6"/>
  </cols>
  <sheetData>
    <row r="1" spans="1:6" ht="17.399999999999999" customHeight="1" x14ac:dyDescent="0.4">
      <c r="A1" s="38" t="str">
        <f>ModelName</f>
        <v>Master PL Combine RPT Tool</v>
      </c>
      <c r="B1" s="120"/>
      <c r="C1" s="120"/>
      <c r="D1" s="120"/>
      <c r="E1" s="50" t="s">
        <v>5</v>
      </c>
      <c r="F1" s="1" t="s">
        <v>6</v>
      </c>
    </row>
    <row r="2" spans="1:6" ht="13" x14ac:dyDescent="0.3">
      <c r="A2" s="39" t="s">
        <v>93</v>
      </c>
      <c r="B2" s="120"/>
      <c r="C2" s="120"/>
      <c r="D2" s="120"/>
      <c r="E2" s="121"/>
      <c r="F2" s="1"/>
    </row>
    <row r="3" spans="1:6" ht="13" x14ac:dyDescent="0.3">
      <c r="A3" s="120"/>
      <c r="B3" s="120"/>
      <c r="C3" s="120"/>
      <c r="D3" s="120"/>
      <c r="E3" s="121"/>
      <c r="F3" s="1"/>
    </row>
    <row r="4" spans="1:6" ht="13" x14ac:dyDescent="0.3">
      <c r="A4" s="44" t="s">
        <v>93</v>
      </c>
      <c r="B4" s="120"/>
      <c r="C4" s="120"/>
      <c r="D4" s="120"/>
      <c r="E4" s="121"/>
      <c r="F4" s="1"/>
    </row>
    <row r="5" spans="1:6" ht="13" x14ac:dyDescent="0.3">
      <c r="A5" s="45" t="s">
        <v>94</v>
      </c>
      <c r="B5" s="7"/>
      <c r="C5" s="46" t="s">
        <v>95</v>
      </c>
      <c r="D5" s="120"/>
      <c r="E5" s="121"/>
      <c r="F5" s="1"/>
    </row>
    <row r="6" spans="1:6" ht="13" x14ac:dyDescent="0.3">
      <c r="A6" s="45" t="s">
        <v>96</v>
      </c>
      <c r="B6" s="7"/>
      <c r="C6" s="47" t="s">
        <v>97</v>
      </c>
      <c r="D6" s="120"/>
      <c r="E6" s="121"/>
      <c r="F6" s="1"/>
    </row>
    <row r="7" spans="1:6" ht="13" x14ac:dyDescent="0.3">
      <c r="A7" s="45" t="s">
        <v>98</v>
      </c>
      <c r="B7" s="7"/>
      <c r="C7" s="48">
        <v>46076</v>
      </c>
      <c r="D7" s="120"/>
      <c r="E7" s="121"/>
      <c r="F7" s="1"/>
    </row>
    <row r="8" spans="1:6" ht="13" x14ac:dyDescent="0.3">
      <c r="A8" s="45" t="s">
        <v>99</v>
      </c>
      <c r="B8" s="7"/>
      <c r="C8" s="48" t="s">
        <v>100</v>
      </c>
      <c r="D8" s="120"/>
      <c r="E8" s="121"/>
      <c r="F8" s="1"/>
    </row>
    <row r="9" spans="1:6" ht="14.4" customHeight="1" x14ac:dyDescent="0.35">
      <c r="A9" s="45" t="s">
        <v>101</v>
      </c>
      <c r="B9" s="7"/>
      <c r="C9" s="119" t="s">
        <v>102</v>
      </c>
      <c r="D9" s="120"/>
      <c r="E9" s="121"/>
      <c r="F9" s="1"/>
    </row>
    <row r="10" spans="1:6" ht="13" x14ac:dyDescent="0.3">
      <c r="A10" s="45" t="s">
        <v>103</v>
      </c>
      <c r="B10" s="7"/>
      <c r="C10" s="48" t="s">
        <v>104</v>
      </c>
      <c r="D10" s="120"/>
      <c r="E10" s="121"/>
      <c r="F10" s="1"/>
    </row>
    <row r="11" spans="1:6" ht="13" x14ac:dyDescent="0.3">
      <c r="A11" s="120"/>
      <c r="B11" s="120"/>
      <c r="C11" s="49"/>
      <c r="D11" s="120"/>
      <c r="E11" s="121"/>
      <c r="F11" s="1"/>
    </row>
    <row r="12" spans="1:6" ht="13" x14ac:dyDescent="0.3">
      <c r="A12" s="120"/>
      <c r="B12" s="120"/>
      <c r="C12" s="120"/>
      <c r="D12" s="120"/>
      <c r="E12" s="121"/>
      <c r="F12" s="1"/>
    </row>
    <row r="13" spans="1:6" ht="13" x14ac:dyDescent="0.3">
      <c r="A13" s="44" t="s">
        <v>105</v>
      </c>
      <c r="B13" s="120"/>
      <c r="C13" s="120"/>
      <c r="D13" s="120"/>
      <c r="E13" s="121"/>
      <c r="F13" s="1"/>
    </row>
    <row r="14" spans="1:6" ht="13" x14ac:dyDescent="0.3">
      <c r="A14" s="120"/>
      <c r="B14" s="120"/>
      <c r="C14" s="112" t="s">
        <v>62</v>
      </c>
      <c r="D14" s="120"/>
      <c r="E14" s="121"/>
      <c r="F14" s="1"/>
    </row>
    <row r="15" spans="1:6" ht="13" x14ac:dyDescent="0.3">
      <c r="A15" s="120"/>
      <c r="B15" s="120"/>
      <c r="C15" s="113" t="s">
        <v>93</v>
      </c>
      <c r="D15" s="120"/>
      <c r="E15" s="121"/>
      <c r="F15" s="1"/>
    </row>
    <row r="16" spans="1:6" ht="13" x14ac:dyDescent="0.3">
      <c r="A16" s="120"/>
      <c r="B16" s="120"/>
      <c r="C16" s="113" t="s">
        <v>106</v>
      </c>
      <c r="D16" s="120"/>
      <c r="E16" s="121"/>
      <c r="F16" s="1"/>
    </row>
    <row r="17" spans="1:6" ht="13" x14ac:dyDescent="0.3">
      <c r="A17" s="120"/>
      <c r="B17" s="120"/>
      <c r="C17" s="113" t="s">
        <v>107</v>
      </c>
      <c r="D17" s="120"/>
      <c r="E17" s="121"/>
      <c r="F17" s="1"/>
    </row>
    <row r="18" spans="1:6" ht="13" x14ac:dyDescent="0.3">
      <c r="A18" s="120"/>
      <c r="B18" s="120"/>
      <c r="C18" s="113" t="s">
        <v>108</v>
      </c>
      <c r="D18" s="120"/>
      <c r="E18" s="121"/>
      <c r="F18" s="1"/>
    </row>
    <row r="19" spans="1:6" ht="13" x14ac:dyDescent="0.3">
      <c r="A19" s="120"/>
      <c r="B19" s="120"/>
      <c r="C19" s="113" t="s">
        <v>109</v>
      </c>
      <c r="D19" s="120"/>
      <c r="E19" s="121"/>
      <c r="F19" s="1"/>
    </row>
    <row r="20" spans="1:6" ht="13" x14ac:dyDescent="0.3">
      <c r="A20" s="120"/>
      <c r="B20" s="120"/>
      <c r="C20" s="114" t="s">
        <v>8</v>
      </c>
      <c r="D20" s="120"/>
      <c r="E20" s="121"/>
      <c r="F20" s="1"/>
    </row>
    <row r="21" spans="1:6" ht="13" x14ac:dyDescent="0.3">
      <c r="A21" s="120"/>
      <c r="B21" s="120"/>
      <c r="C21" s="115"/>
      <c r="D21" s="120"/>
      <c r="E21" s="121"/>
      <c r="F21" s="1"/>
    </row>
    <row r="22" spans="1:6" ht="13" x14ac:dyDescent="0.3">
      <c r="A22" s="120"/>
      <c r="B22" s="120"/>
      <c r="C22" s="120"/>
      <c r="D22" s="120"/>
      <c r="E22" s="121"/>
      <c r="F22" s="1"/>
    </row>
    <row r="23" spans="1:6" ht="13" x14ac:dyDescent="0.3">
      <c r="A23" s="51" t="s">
        <v>5</v>
      </c>
      <c r="B23" s="121"/>
      <c r="C23" s="121"/>
      <c r="D23" s="121"/>
      <c r="E23" s="121"/>
      <c r="F23" s="1"/>
    </row>
    <row r="24" spans="1:6" ht="13" x14ac:dyDescent="0.3">
      <c r="A24" s="1" t="s">
        <v>6</v>
      </c>
      <c r="B24" s="1"/>
      <c r="C24" s="1"/>
      <c r="D24" s="1"/>
      <c r="E24" s="1"/>
      <c r="F24" s="1"/>
    </row>
  </sheetData>
  <sheetProtection algorithmName="SHA-512" hashValue="45mhzdDBJwmIr9RJri9jKmWh3QY0kP60ut0e7kRAybWlQK6YSZd+LK6aiGs05bmiuwFQcOZnRMAlgCDASFSVWg==" saltValue="oAHTgxIW7fwBGn8r7AgIjw==" spinCount="100000" sheet="1" scenarios="1" formatCells="0" formatColumns="0" formatRows="0" autoFilter="0"/>
  <hyperlinks>
    <hyperlink ref="C9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RPAFee"/>
  <dimension ref="A1:F25"/>
  <sheetViews>
    <sheetView workbookViewId="0"/>
  </sheetViews>
  <sheetFormatPr defaultColWidth="8.90625" defaultRowHeight="14.5" x14ac:dyDescent="0.35"/>
  <cols>
    <col min="2" max="6" width="13.08984375" bestFit="1" customWidth="1"/>
  </cols>
  <sheetData>
    <row r="1" spans="1:6" x14ac:dyDescent="0.35">
      <c r="A1" s="116" t="s">
        <v>110</v>
      </c>
      <c r="B1" s="116" t="s">
        <v>0</v>
      </c>
      <c r="C1" s="116" t="s">
        <v>1</v>
      </c>
      <c r="D1" s="116" t="s">
        <v>2</v>
      </c>
      <c r="E1" s="116" t="s">
        <v>3</v>
      </c>
      <c r="F1" s="116" t="s">
        <v>4</v>
      </c>
    </row>
    <row r="2" spans="1:6" x14ac:dyDescent="0.35">
      <c r="A2" t="s">
        <v>25</v>
      </c>
      <c r="B2" s="118">
        <f>SUM(B3:B22)</f>
        <v>557928.2699999999</v>
      </c>
      <c r="C2" s="118">
        <f>SUM(C3:C22)</f>
        <v>596390.48</v>
      </c>
      <c r="D2" s="118">
        <f>SUM(D3:D22)</f>
        <v>642281.49</v>
      </c>
      <c r="E2" s="118">
        <f>SUM(E3:E22)</f>
        <v>701939.19999999995</v>
      </c>
      <c r="F2" s="118">
        <f>SUM(F3:F22)</f>
        <v>754678.63</v>
      </c>
    </row>
    <row r="3" spans="1:6" x14ac:dyDescent="0.35">
      <c r="A3">
        <v>1</v>
      </c>
      <c r="B3" s="118">
        <v>231217.91</v>
      </c>
      <c r="C3" s="118">
        <v>247616.72</v>
      </c>
      <c r="D3" s="118">
        <v>272597.03999999998</v>
      </c>
      <c r="E3" s="118">
        <v>297689.65999999997</v>
      </c>
      <c r="F3" s="118">
        <v>317057.02</v>
      </c>
    </row>
    <row r="4" spans="1:6" x14ac:dyDescent="0.35">
      <c r="A4">
        <v>2</v>
      </c>
      <c r="B4" s="118">
        <v>202981.81</v>
      </c>
      <c r="C4" s="118">
        <v>218668.58</v>
      </c>
      <c r="D4" s="118">
        <v>243367.63</v>
      </c>
      <c r="E4" s="118">
        <v>268643.28000000003</v>
      </c>
      <c r="F4" s="118">
        <v>288661.43</v>
      </c>
    </row>
    <row r="5" spans="1:6" x14ac:dyDescent="0.35">
      <c r="A5">
        <v>3</v>
      </c>
      <c r="B5" s="118">
        <v>60225.48</v>
      </c>
      <c r="C5" s="118">
        <v>63358.64</v>
      </c>
      <c r="D5" s="118">
        <v>61746.080000000002</v>
      </c>
      <c r="E5" s="118">
        <v>66453.86</v>
      </c>
      <c r="F5" s="118">
        <v>73084.070000000007</v>
      </c>
    </row>
    <row r="6" spans="1:6" x14ac:dyDescent="0.35">
      <c r="A6">
        <v>4</v>
      </c>
      <c r="B6" s="118">
        <v>63503.07</v>
      </c>
      <c r="C6" s="118">
        <v>66746.539999999994</v>
      </c>
      <c r="D6" s="118">
        <v>64570.74</v>
      </c>
      <c r="E6" s="118">
        <v>69152.399999999994</v>
      </c>
      <c r="F6" s="118">
        <v>75876.11</v>
      </c>
    </row>
    <row r="7" spans="1:6" x14ac:dyDescent="0.35">
      <c r="A7">
        <v>5</v>
      </c>
      <c r="B7" s="118"/>
      <c r="C7" s="118"/>
      <c r="D7" s="118"/>
      <c r="E7" s="118"/>
      <c r="F7" s="118"/>
    </row>
    <row r="8" spans="1:6" x14ac:dyDescent="0.35">
      <c r="A8">
        <v>6</v>
      </c>
      <c r="B8" s="118"/>
      <c r="C8" s="118"/>
      <c r="D8" s="118"/>
      <c r="E8" s="118"/>
      <c r="F8" s="118"/>
    </row>
    <row r="9" spans="1:6" x14ac:dyDescent="0.35">
      <c r="A9">
        <v>7</v>
      </c>
      <c r="B9" s="118"/>
      <c r="C9" s="118"/>
      <c r="D9" s="118"/>
      <c r="E9" s="118"/>
      <c r="F9" s="118"/>
    </row>
    <row r="10" spans="1:6" x14ac:dyDescent="0.35">
      <c r="A10">
        <v>8</v>
      </c>
      <c r="B10" s="118"/>
      <c r="C10" s="118"/>
      <c r="D10" s="118"/>
      <c r="E10" s="118"/>
      <c r="F10" s="118"/>
    </row>
    <row r="11" spans="1:6" x14ac:dyDescent="0.35">
      <c r="A11">
        <v>9</v>
      </c>
      <c r="B11" s="118"/>
      <c r="C11" s="118"/>
      <c r="D11" s="118"/>
      <c r="E11" s="118"/>
      <c r="F11" s="118"/>
    </row>
    <row r="12" spans="1:6" x14ac:dyDescent="0.35">
      <c r="A12">
        <v>10</v>
      </c>
      <c r="B12" s="118"/>
      <c r="C12" s="118"/>
      <c r="D12" s="118"/>
      <c r="E12" s="118"/>
      <c r="F12" s="118"/>
    </row>
    <row r="13" spans="1:6" x14ac:dyDescent="0.35">
      <c r="A13">
        <v>11</v>
      </c>
      <c r="B13" s="118"/>
      <c r="C13" s="118"/>
      <c r="D13" s="118"/>
      <c r="E13" s="118"/>
      <c r="F13" s="118"/>
    </row>
    <row r="14" spans="1:6" x14ac:dyDescent="0.35">
      <c r="A14">
        <v>12</v>
      </c>
      <c r="B14" s="118"/>
      <c r="C14" s="118"/>
      <c r="D14" s="118"/>
      <c r="E14" s="118"/>
      <c r="F14" s="118"/>
    </row>
    <row r="15" spans="1:6" x14ac:dyDescent="0.35">
      <c r="A15">
        <v>13</v>
      </c>
      <c r="B15" s="118"/>
      <c r="C15" s="118"/>
      <c r="D15" s="118"/>
      <c r="E15" s="118"/>
      <c r="F15" s="118"/>
    </row>
    <row r="16" spans="1:6" x14ac:dyDescent="0.35">
      <c r="A16">
        <v>14</v>
      </c>
      <c r="B16" s="118"/>
      <c r="C16" s="118"/>
      <c r="D16" s="118"/>
      <c r="E16" s="118"/>
      <c r="F16" s="118"/>
    </row>
    <row r="17" spans="1:6" x14ac:dyDescent="0.35">
      <c r="A17">
        <v>15</v>
      </c>
      <c r="B17" s="118"/>
      <c r="C17" s="118"/>
      <c r="D17" s="118"/>
      <c r="E17" s="118"/>
      <c r="F17" s="118"/>
    </row>
    <row r="18" spans="1:6" x14ac:dyDescent="0.35">
      <c r="A18">
        <v>16</v>
      </c>
      <c r="B18" s="118"/>
      <c r="C18" s="118"/>
      <c r="D18" s="118"/>
      <c r="E18" s="118"/>
      <c r="F18" s="118"/>
    </row>
    <row r="19" spans="1:6" x14ac:dyDescent="0.35">
      <c r="A19">
        <v>17</v>
      </c>
      <c r="B19" s="118"/>
      <c r="C19" s="118"/>
      <c r="D19" s="118"/>
      <c r="E19" s="118"/>
      <c r="F19" s="118"/>
    </row>
    <row r="20" spans="1:6" x14ac:dyDescent="0.35">
      <c r="A20">
        <v>18</v>
      </c>
      <c r="B20" s="118"/>
      <c r="C20" s="118"/>
      <c r="D20" s="118"/>
      <c r="E20" s="118"/>
      <c r="F20" s="118"/>
    </row>
    <row r="21" spans="1:6" x14ac:dyDescent="0.35">
      <c r="A21">
        <v>19</v>
      </c>
      <c r="B21" s="118"/>
      <c r="C21" s="118"/>
      <c r="D21" s="118"/>
      <c r="E21" s="118"/>
      <c r="F21" s="118"/>
    </row>
    <row r="22" spans="1:6" x14ac:dyDescent="0.35">
      <c r="A22">
        <v>20</v>
      </c>
      <c r="B22" s="118"/>
      <c r="C22" s="118"/>
      <c r="D22" s="118"/>
      <c r="E22" s="118"/>
      <c r="F22" s="118"/>
    </row>
    <row r="24" spans="1:6" x14ac:dyDescent="0.35">
      <c r="B24" s="117"/>
      <c r="C24" s="117"/>
      <c r="D24" s="117"/>
      <c r="E24" s="117"/>
      <c r="F24" s="117"/>
    </row>
    <row r="25" spans="1:6" x14ac:dyDescent="0.35">
      <c r="B25" s="117"/>
      <c r="C25" s="117"/>
      <c r="D25" s="117"/>
      <c r="E25" s="117"/>
      <c r="F25" s="1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InputForModel">
    <tabColor theme="5" tint="0.59999389629810485"/>
  </sheetPr>
  <dimension ref="A1:AG791"/>
  <sheetViews>
    <sheetView showGridLines="0" tabSelected="1" topLeftCell="D4" zoomScale="53" zoomScaleNormal="80" workbookViewId="0">
      <selection activeCell="AB41" sqref="AB41"/>
    </sheetView>
  </sheetViews>
  <sheetFormatPr defaultColWidth="9.08984375" defaultRowHeight="12.5" outlineLevelRow="1" outlineLevelCol="1" x14ac:dyDescent="0.25"/>
  <cols>
    <col min="1" max="1" width="9.08984375" style="36" hidden="1" customWidth="1"/>
    <col min="2" max="2" width="12.6328125" style="9" hidden="1" customWidth="1"/>
    <col min="3" max="3" width="2.36328125" style="9" hidden="1" customWidth="1"/>
    <col min="4" max="4" width="8.90625" style="9" customWidth="1"/>
    <col min="5" max="5" width="2.36328125" style="9" customWidth="1"/>
    <col min="6" max="6" width="37.90625" style="9" customWidth="1"/>
    <col min="7" max="7" width="2.36328125" style="9" customWidth="1"/>
    <col min="8" max="10" width="12.453125" style="9" customWidth="1"/>
    <col min="11" max="12" width="12.453125" style="9" customWidth="1" outlineLevel="1"/>
    <col min="13" max="13" width="2.36328125" style="9" customWidth="1"/>
    <col min="14" max="16" width="18.453125" style="9" customWidth="1"/>
    <col min="17" max="18" width="18.453125" style="9" customWidth="1" outlineLevel="1"/>
    <col min="19" max="19" width="2.36328125" style="9" customWidth="1"/>
    <col min="20" max="22" width="18.453125" style="9" customWidth="1"/>
    <col min="23" max="24" width="18.453125" style="9" customWidth="1" outlineLevel="1"/>
    <col min="25" max="25" width="2.36328125" style="9" customWidth="1"/>
    <col min="26" max="28" width="18.453125" style="9" customWidth="1"/>
    <col min="29" max="30" width="18.453125" style="9" customWidth="1" outlineLevel="1"/>
    <col min="31" max="31" width="2.36328125" style="9" customWidth="1"/>
    <col min="32" max="32" width="9.08984375" style="9" customWidth="1"/>
    <col min="33" max="16384" width="9.08984375" style="9"/>
  </cols>
  <sheetData>
    <row r="1" spans="1:33" hidden="1" x14ac:dyDescent="0.25">
      <c r="A1" s="130"/>
      <c r="B1" s="124"/>
      <c r="C1" s="124"/>
      <c r="D1" s="124"/>
      <c r="E1" s="130"/>
      <c r="F1" s="124"/>
      <c r="G1" s="130"/>
      <c r="H1" s="54" t="s">
        <v>0</v>
      </c>
      <c r="I1" s="54" t="s">
        <v>1</v>
      </c>
      <c r="J1" s="54" t="s">
        <v>2</v>
      </c>
      <c r="K1" s="54" t="s">
        <v>3</v>
      </c>
      <c r="L1" s="54" t="s">
        <v>4</v>
      </c>
      <c r="M1" s="130"/>
      <c r="N1" s="130" t="str">
        <f t="shared" ref="N1:R2" si="0">H1</f>
        <v>Year 1</v>
      </c>
      <c r="O1" s="130" t="str">
        <f t="shared" si="0"/>
        <v>Year 2</v>
      </c>
      <c r="P1" s="130" t="str">
        <f t="shared" si="0"/>
        <v>Year 3</v>
      </c>
      <c r="Q1" s="130" t="str">
        <f t="shared" si="0"/>
        <v>Year 4</v>
      </c>
      <c r="R1" s="130" t="str">
        <f t="shared" si="0"/>
        <v>Year 5</v>
      </c>
      <c r="S1" s="130"/>
      <c r="T1" s="130" t="str">
        <f t="shared" ref="T1:X2" si="1">O1</f>
        <v>Year 2</v>
      </c>
      <c r="U1" s="130" t="str">
        <f t="shared" si="1"/>
        <v>Year 3</v>
      </c>
      <c r="V1" s="130" t="str">
        <f t="shared" si="1"/>
        <v>Year 4</v>
      </c>
      <c r="W1" s="130" t="str">
        <f t="shared" si="1"/>
        <v>Year 5</v>
      </c>
      <c r="X1" s="130">
        <f t="shared" si="1"/>
        <v>0</v>
      </c>
      <c r="Y1" s="130"/>
      <c r="Z1" s="130" t="str">
        <f t="shared" ref="Z1:AD2" si="2">T1</f>
        <v>Year 2</v>
      </c>
      <c r="AA1" s="130" t="str">
        <f t="shared" si="2"/>
        <v>Year 3</v>
      </c>
      <c r="AB1" s="130" t="str">
        <f t="shared" si="2"/>
        <v>Year 4</v>
      </c>
      <c r="AC1" s="130" t="str">
        <f t="shared" si="2"/>
        <v>Year 5</v>
      </c>
      <c r="AD1" s="130">
        <f t="shared" si="2"/>
        <v>0</v>
      </c>
      <c r="AE1" s="124"/>
      <c r="AF1" s="121"/>
      <c r="AG1" s="122"/>
    </row>
    <row r="2" spans="1:33" hidden="1" x14ac:dyDescent="0.25">
      <c r="A2" s="130"/>
      <c r="B2" s="124"/>
      <c r="C2" s="124"/>
      <c r="D2" s="124"/>
      <c r="E2" s="130"/>
      <c r="F2" s="124"/>
      <c r="G2" s="130"/>
      <c r="H2" s="54">
        <v>1</v>
      </c>
      <c r="I2" s="54">
        <v>2</v>
      </c>
      <c r="J2" s="54">
        <v>3</v>
      </c>
      <c r="K2" s="54">
        <v>4</v>
      </c>
      <c r="L2" s="54">
        <v>5</v>
      </c>
      <c r="M2" s="130"/>
      <c r="N2" s="130">
        <f t="shared" si="0"/>
        <v>1</v>
      </c>
      <c r="O2" s="130">
        <f t="shared" si="0"/>
        <v>2</v>
      </c>
      <c r="P2" s="130">
        <f t="shared" si="0"/>
        <v>3</v>
      </c>
      <c r="Q2" s="130">
        <f t="shared" si="0"/>
        <v>4</v>
      </c>
      <c r="R2" s="130">
        <f t="shared" si="0"/>
        <v>5</v>
      </c>
      <c r="S2" s="130"/>
      <c r="T2" s="130">
        <f t="shared" si="1"/>
        <v>2</v>
      </c>
      <c r="U2" s="130">
        <f t="shared" si="1"/>
        <v>3</v>
      </c>
      <c r="V2" s="130">
        <f t="shared" si="1"/>
        <v>4</v>
      </c>
      <c r="W2" s="130">
        <f t="shared" si="1"/>
        <v>5</v>
      </c>
      <c r="X2" s="130">
        <f t="shared" si="1"/>
        <v>0</v>
      </c>
      <c r="Y2" s="130"/>
      <c r="Z2" s="130">
        <f t="shared" si="2"/>
        <v>2</v>
      </c>
      <c r="AA2" s="130">
        <f t="shared" si="2"/>
        <v>3</v>
      </c>
      <c r="AB2" s="130">
        <f t="shared" si="2"/>
        <v>4</v>
      </c>
      <c r="AC2" s="130">
        <f t="shared" si="2"/>
        <v>5</v>
      </c>
      <c r="AD2" s="130">
        <f t="shared" si="2"/>
        <v>0</v>
      </c>
      <c r="AE2" s="124"/>
      <c r="AF2" s="121"/>
      <c r="AG2" s="122"/>
    </row>
    <row r="3" spans="1:33" hidden="1" x14ac:dyDescent="0.25">
      <c r="A3" s="130"/>
      <c r="B3" s="124"/>
      <c r="C3" s="124"/>
      <c r="D3" s="124"/>
      <c r="E3" s="124"/>
      <c r="F3" s="124"/>
      <c r="G3" s="124"/>
      <c r="H3" s="54"/>
      <c r="I3" s="54"/>
      <c r="J3" s="54"/>
      <c r="K3" s="54"/>
      <c r="L3" s="5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1"/>
      <c r="AG3" s="122"/>
    </row>
    <row r="4" spans="1:33" ht="17.399999999999999" customHeight="1" x14ac:dyDescent="0.4">
      <c r="A4" s="130"/>
      <c r="B4" s="124"/>
      <c r="C4" s="124"/>
      <c r="D4" s="8" t="str">
        <f>ModelName</f>
        <v>Master PL Combine RPT Tool</v>
      </c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61" t="s">
        <v>5</v>
      </c>
      <c r="AG4" s="1" t="s">
        <v>6</v>
      </c>
    </row>
    <row r="5" spans="1:33" ht="13" x14ac:dyDescent="0.3">
      <c r="A5" s="130"/>
      <c r="B5" s="124"/>
      <c r="C5" s="124"/>
      <c r="D5" s="4" t="s">
        <v>7</v>
      </c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61"/>
      <c r="AG5" s="1"/>
    </row>
    <row r="6" spans="1:33" ht="13" x14ac:dyDescent="0.3">
      <c r="A6" s="130"/>
      <c r="B6" s="124"/>
      <c r="C6" s="124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61"/>
      <c r="AG6" s="1"/>
    </row>
    <row r="7" spans="1:33" x14ac:dyDescent="0.25">
      <c r="A7" s="130"/>
      <c r="B7" s="124"/>
      <c r="C7" s="124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90"/>
      <c r="AG7" s="122"/>
    </row>
    <row r="8" spans="1:33" ht="15.65" customHeight="1" x14ac:dyDescent="0.35">
      <c r="A8" s="130"/>
      <c r="B8" s="124"/>
      <c r="C8" s="124"/>
      <c r="D8" s="91" t="s">
        <v>8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90"/>
      <c r="AG8" s="122"/>
    </row>
    <row r="9" spans="1:33" ht="13" x14ac:dyDescent="0.3">
      <c r="A9" s="130"/>
      <c r="B9" s="124"/>
      <c r="C9" s="124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92" t="s">
        <v>9</v>
      </c>
      <c r="T9" s="11">
        <v>0</v>
      </c>
      <c r="U9" s="12">
        <f>T9</f>
        <v>0</v>
      </c>
      <c r="V9" s="12">
        <f>U9</f>
        <v>0</v>
      </c>
      <c r="W9" s="12">
        <f>V9</f>
        <v>0</v>
      </c>
      <c r="X9" s="13">
        <f>W9</f>
        <v>0</v>
      </c>
      <c r="Y9" s="125"/>
      <c r="Z9" s="120"/>
      <c r="AA9" s="120"/>
      <c r="AB9" s="120"/>
      <c r="AC9" s="120"/>
      <c r="AD9" s="120"/>
      <c r="AE9" s="120"/>
      <c r="AF9" s="61"/>
      <c r="AG9" s="1"/>
    </row>
    <row r="10" spans="1:33" ht="13" x14ac:dyDescent="0.3">
      <c r="A10" s="130"/>
      <c r="B10" s="124"/>
      <c r="C10" s="124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4"/>
      <c r="T10" s="15"/>
      <c r="U10" s="16"/>
      <c r="V10" s="16"/>
      <c r="W10" s="16"/>
      <c r="X10" s="17"/>
      <c r="Y10" s="126"/>
      <c r="Z10" s="120"/>
      <c r="AA10" s="120"/>
      <c r="AB10" s="120"/>
      <c r="AC10" s="120"/>
      <c r="AD10" s="120"/>
      <c r="AE10" s="120"/>
      <c r="AF10" s="61"/>
      <c r="AG10" s="1"/>
    </row>
    <row r="11" spans="1:33" ht="13" x14ac:dyDescent="0.3">
      <c r="A11" s="130"/>
      <c r="B11" s="131"/>
      <c r="C11" s="124"/>
      <c r="D11" s="126"/>
      <c r="E11" s="126"/>
      <c r="F11" s="7"/>
      <c r="G11" s="126"/>
      <c r="H11" s="62" t="s">
        <v>10</v>
      </c>
      <c r="I11" s="63"/>
      <c r="J11" s="63"/>
      <c r="K11" s="63"/>
      <c r="L11" s="64"/>
      <c r="M11" s="126"/>
      <c r="N11" s="62" t="s">
        <v>11</v>
      </c>
      <c r="O11" s="63"/>
      <c r="P11" s="63"/>
      <c r="Q11" s="63"/>
      <c r="R11" s="64"/>
      <c r="S11" s="127"/>
      <c r="T11" s="62" t="s">
        <v>12</v>
      </c>
      <c r="U11" s="63"/>
      <c r="V11" s="63"/>
      <c r="W11" s="63"/>
      <c r="X11" s="64"/>
      <c r="Y11" s="127"/>
      <c r="Z11" s="62" t="s">
        <v>13</v>
      </c>
      <c r="AA11" s="63"/>
      <c r="AB11" s="63"/>
      <c r="AC11" s="63"/>
      <c r="AD11" s="64"/>
      <c r="AE11" s="128"/>
      <c r="AF11" s="132"/>
      <c r="AG11" s="122"/>
    </row>
    <row r="12" spans="1:33" ht="13" x14ac:dyDescent="0.3">
      <c r="A12" s="130"/>
      <c r="B12" s="133"/>
      <c r="C12" s="124"/>
      <c r="D12" s="126"/>
      <c r="E12" s="134"/>
      <c r="F12" s="65" t="s">
        <v>14</v>
      </c>
      <c r="G12" s="125"/>
      <c r="H12" s="66" t="s">
        <v>15</v>
      </c>
      <c r="I12" s="67" t="s">
        <v>16</v>
      </c>
      <c r="J12" s="67" t="s">
        <v>17</v>
      </c>
      <c r="K12" s="67" t="s">
        <v>18</v>
      </c>
      <c r="L12" s="145" t="s">
        <v>19</v>
      </c>
      <c r="M12" s="126"/>
      <c r="N12" s="66" t="s">
        <v>15</v>
      </c>
      <c r="O12" s="67" t="s">
        <v>16</v>
      </c>
      <c r="P12" s="67" t="s">
        <v>17</v>
      </c>
      <c r="Q12" s="67" t="s">
        <v>18</v>
      </c>
      <c r="R12" s="67" t="s">
        <v>19</v>
      </c>
      <c r="S12" s="125"/>
      <c r="T12" s="66" t="s">
        <v>15</v>
      </c>
      <c r="U12" s="67" t="s">
        <v>16</v>
      </c>
      <c r="V12" s="67" t="s">
        <v>17</v>
      </c>
      <c r="W12" s="67" t="s">
        <v>18</v>
      </c>
      <c r="X12" s="67" t="s">
        <v>19</v>
      </c>
      <c r="Y12" s="125"/>
      <c r="Z12" s="66" t="s">
        <v>15</v>
      </c>
      <c r="AA12" s="67" t="s">
        <v>16</v>
      </c>
      <c r="AB12" s="67" t="s">
        <v>17</v>
      </c>
      <c r="AC12" s="67" t="s">
        <v>18</v>
      </c>
      <c r="AD12" s="67" t="s">
        <v>19</v>
      </c>
      <c r="AE12" s="128"/>
      <c r="AF12" s="132"/>
      <c r="AG12" s="122"/>
    </row>
    <row r="13" spans="1:33" ht="13" x14ac:dyDescent="0.3">
      <c r="A13" s="130"/>
      <c r="B13" s="52" t="s">
        <v>20</v>
      </c>
      <c r="C13" s="124"/>
      <c r="D13" s="93"/>
      <c r="E13" s="134"/>
      <c r="F13" s="68" t="s">
        <v>20</v>
      </c>
      <c r="G13" s="125"/>
      <c r="H13" s="94">
        <v>112468.79651734031</v>
      </c>
      <c r="I13" s="141">
        <v>115553.7964962401</v>
      </c>
      <c r="J13" s="141">
        <v>119424.47192678601</v>
      </c>
      <c r="K13" s="141">
        <v>126051.3014778591</v>
      </c>
      <c r="L13" s="143">
        <v>132941.9210395765</v>
      </c>
      <c r="M13" s="126"/>
      <c r="N13" s="69">
        <f t="shared" ref="N13:R16" si="3">IF(H13=0,0,SUMPRODUCT(N$22:N$48,H$22:H$48,--($B$22:$B$48=$B13))/H13)</f>
        <v>250.03375219691924</v>
      </c>
      <c r="O13" s="70">
        <f t="shared" si="3"/>
        <v>285.81492737152689</v>
      </c>
      <c r="P13" s="70">
        <f t="shared" si="3"/>
        <v>318.46257156323355</v>
      </c>
      <c r="Q13" s="70">
        <f t="shared" si="3"/>
        <v>351.50298363062109</v>
      </c>
      <c r="R13" s="70">
        <f t="shared" si="3"/>
        <v>380.46212699318897</v>
      </c>
      <c r="S13" s="125"/>
      <c r="T13" s="69">
        <f t="shared" ref="T13:X16" si="4">IF(H13=0,0,SUMPRODUCT(T$22:T$48,H$22:H$48,--($B$22:$B$48=$B13))/H13)</f>
        <v>250.03375219691924</v>
      </c>
      <c r="U13" s="70">
        <f t="shared" si="4"/>
        <v>285.81492737152689</v>
      </c>
      <c r="V13" s="70">
        <f t="shared" si="4"/>
        <v>318.46257156323355</v>
      </c>
      <c r="W13" s="70">
        <f t="shared" si="4"/>
        <v>351.50298363062109</v>
      </c>
      <c r="X13" s="70">
        <f t="shared" si="4"/>
        <v>380.46212699318897</v>
      </c>
      <c r="Y13" s="125"/>
      <c r="Z13" s="71">
        <v>0</v>
      </c>
      <c r="AA13" s="72">
        <v>0</v>
      </c>
      <c r="AB13" s="72">
        <v>0</v>
      </c>
      <c r="AC13" s="72">
        <v>0</v>
      </c>
      <c r="AD13" s="72">
        <v>0</v>
      </c>
      <c r="AE13" s="128"/>
      <c r="AF13" s="132"/>
      <c r="AG13" s="122"/>
    </row>
    <row r="14" spans="1:33" ht="13" x14ac:dyDescent="0.3">
      <c r="A14" s="130"/>
      <c r="B14" s="52" t="s">
        <v>21</v>
      </c>
      <c r="C14" s="124"/>
      <c r="D14" s="95"/>
      <c r="E14" s="134"/>
      <c r="F14" s="73" t="s">
        <v>21</v>
      </c>
      <c r="G14" s="125"/>
      <c r="H14" s="94">
        <v>40114.092179790438</v>
      </c>
      <c r="I14" s="141">
        <v>37641.552073508552</v>
      </c>
      <c r="J14" s="141">
        <v>37702.210133665423</v>
      </c>
      <c r="K14" s="141">
        <v>39999.195659804362</v>
      </c>
      <c r="L14" s="143">
        <v>43517.435596227842</v>
      </c>
      <c r="M14" s="126"/>
      <c r="N14" s="74">
        <f t="shared" si="3"/>
        <v>383.6690993458372</v>
      </c>
      <c r="O14" s="75">
        <f t="shared" si="3"/>
        <v>447.43558994810707</v>
      </c>
      <c r="P14" s="75">
        <f t="shared" si="3"/>
        <v>517.34629833396957</v>
      </c>
      <c r="Q14" s="75">
        <f t="shared" si="3"/>
        <v>567.83820527204296</v>
      </c>
      <c r="R14" s="75">
        <f t="shared" si="3"/>
        <v>607.70381943123868</v>
      </c>
      <c r="S14" s="125"/>
      <c r="T14" s="74">
        <f t="shared" si="4"/>
        <v>383.6690993458372</v>
      </c>
      <c r="U14" s="75">
        <f t="shared" si="4"/>
        <v>447.43558994810707</v>
      </c>
      <c r="V14" s="75">
        <f t="shared" si="4"/>
        <v>517.34629833396957</v>
      </c>
      <c r="W14" s="75">
        <f t="shared" si="4"/>
        <v>567.83820527204296</v>
      </c>
      <c r="X14" s="75">
        <f t="shared" si="4"/>
        <v>607.70381943123868</v>
      </c>
      <c r="Y14" s="125"/>
      <c r="Z14" s="76">
        <v>0</v>
      </c>
      <c r="AA14" s="77">
        <v>0</v>
      </c>
      <c r="AB14" s="77">
        <v>0</v>
      </c>
      <c r="AC14" s="77">
        <v>0</v>
      </c>
      <c r="AD14" s="77">
        <v>0</v>
      </c>
      <c r="AE14" s="128"/>
      <c r="AF14" s="132"/>
      <c r="AG14" s="122"/>
    </row>
    <row r="15" spans="1:33" ht="13" x14ac:dyDescent="0.3">
      <c r="A15" s="130"/>
      <c r="B15" s="52" t="s">
        <v>22</v>
      </c>
      <c r="C15" s="124"/>
      <c r="D15" s="95" t="s">
        <v>23</v>
      </c>
      <c r="E15" s="134"/>
      <c r="F15" s="78" t="s">
        <v>22</v>
      </c>
      <c r="G15" s="125"/>
      <c r="H15" s="94">
        <v>728.65185435581714</v>
      </c>
      <c r="I15" s="141">
        <v>719.14006087989833</v>
      </c>
      <c r="J15" s="141">
        <v>754.181919496305</v>
      </c>
      <c r="K15" s="141">
        <v>833.77910984199639</v>
      </c>
      <c r="L15" s="143">
        <v>935.48070493548357</v>
      </c>
      <c r="M15" s="126"/>
      <c r="N15" s="74">
        <f t="shared" si="3"/>
        <v>630.92625343477096</v>
      </c>
      <c r="O15" s="75">
        <f t="shared" si="3"/>
        <v>733.02663335733132</v>
      </c>
      <c r="P15" s="75">
        <f t="shared" si="3"/>
        <v>821.65159361459644</v>
      </c>
      <c r="Q15" s="75">
        <f t="shared" si="3"/>
        <v>898.16649450107434</v>
      </c>
      <c r="R15" s="75">
        <f t="shared" si="3"/>
        <v>966.90042410797662</v>
      </c>
      <c r="S15" s="125"/>
      <c r="T15" s="74">
        <f t="shared" si="4"/>
        <v>630.92625343477096</v>
      </c>
      <c r="U15" s="75">
        <f t="shared" si="4"/>
        <v>733.02663335733132</v>
      </c>
      <c r="V15" s="75">
        <f t="shared" si="4"/>
        <v>821.65159361459644</v>
      </c>
      <c r="W15" s="75">
        <f t="shared" si="4"/>
        <v>898.16649450107434</v>
      </c>
      <c r="X15" s="75">
        <f t="shared" si="4"/>
        <v>966.90042410797662</v>
      </c>
      <c r="Y15" s="125"/>
      <c r="Z15" s="76">
        <v>0</v>
      </c>
      <c r="AA15" s="77">
        <v>0</v>
      </c>
      <c r="AB15" s="77">
        <v>0</v>
      </c>
      <c r="AC15" s="77">
        <v>0</v>
      </c>
      <c r="AD15" s="77">
        <v>0</v>
      </c>
      <c r="AE15" s="128"/>
      <c r="AF15" s="132"/>
      <c r="AG15" s="122"/>
    </row>
    <row r="16" spans="1:33" ht="13" x14ac:dyDescent="0.3">
      <c r="A16" s="130"/>
      <c r="B16" s="52" t="s">
        <v>24</v>
      </c>
      <c r="C16" s="124"/>
      <c r="D16" s="95"/>
      <c r="E16" s="134"/>
      <c r="F16" s="79" t="s">
        <v>24</v>
      </c>
      <c r="G16" s="125"/>
      <c r="H16" s="96">
        <v>6541.2214979496166</v>
      </c>
      <c r="I16" s="97">
        <v>7092.3023237513289</v>
      </c>
      <c r="J16" s="97">
        <v>7621.8520390623717</v>
      </c>
      <c r="K16" s="97">
        <v>8270.2041472222627</v>
      </c>
      <c r="L16" s="146">
        <v>9002.6645468046554</v>
      </c>
      <c r="M16" s="126"/>
      <c r="N16" s="80">
        <f t="shared" si="3"/>
        <v>1947.2131802592355</v>
      </c>
      <c r="O16" s="81">
        <f t="shared" si="3"/>
        <v>2119.6895255698605</v>
      </c>
      <c r="P16" s="81">
        <f t="shared" si="3"/>
        <v>1872.9428960704445</v>
      </c>
      <c r="Q16" s="81">
        <f t="shared" si="3"/>
        <v>2024.4243858670477</v>
      </c>
      <c r="R16" s="81">
        <f t="shared" si="3"/>
        <v>2204.8388272665165</v>
      </c>
      <c r="S16" s="125"/>
      <c r="T16" s="80">
        <f t="shared" si="4"/>
        <v>1947.2131802592355</v>
      </c>
      <c r="U16" s="81">
        <f t="shared" si="4"/>
        <v>2119.6895255698605</v>
      </c>
      <c r="V16" s="81">
        <f t="shared" si="4"/>
        <v>1872.9428960704445</v>
      </c>
      <c r="W16" s="81">
        <f t="shared" si="4"/>
        <v>2024.4243858670477</v>
      </c>
      <c r="X16" s="81">
        <f t="shared" si="4"/>
        <v>2204.8388272665165</v>
      </c>
      <c r="Y16" s="125"/>
      <c r="Z16" s="82">
        <v>0</v>
      </c>
      <c r="AA16" s="83">
        <v>0</v>
      </c>
      <c r="AB16" s="83">
        <v>0</v>
      </c>
      <c r="AC16" s="83">
        <v>0</v>
      </c>
      <c r="AD16" s="83">
        <v>0</v>
      </c>
      <c r="AE16" s="128"/>
      <c r="AF16" s="132"/>
      <c r="AG16" s="122"/>
    </row>
    <row r="17" spans="1:32" s="22" customFormat="1" ht="13" x14ac:dyDescent="0.3">
      <c r="A17" s="55"/>
      <c r="B17" s="56"/>
      <c r="C17" s="57"/>
      <c r="D17" s="98"/>
      <c r="E17" s="18"/>
      <c r="F17" s="84" t="s">
        <v>25</v>
      </c>
      <c r="G17" s="20"/>
      <c r="H17" s="99">
        <f>SUM(H13:H16)</f>
        <v>159852.76204943619</v>
      </c>
      <c r="I17" s="100">
        <f>SUM(I13:I16)</f>
        <v>161006.79095437989</v>
      </c>
      <c r="J17" s="100">
        <f>SUM(J13:J16)</f>
        <v>165502.71601901008</v>
      </c>
      <c r="K17" s="100">
        <f>SUM(K13:K16)</f>
        <v>175154.48039472773</v>
      </c>
      <c r="L17" s="144">
        <f>SUM(L13:L16)</f>
        <v>186397.50188754447</v>
      </c>
      <c r="M17" s="142"/>
      <c r="N17" s="85">
        <f>IF(H17=0,0,SUMPRODUCT(N13:N16,H13:H16)/H17)</f>
        <v>354.75402732666186</v>
      </c>
      <c r="O17" s="86">
        <f>IF(I17=0,0,SUMPRODUCT(O13:O16,I13:I16)/I17)</f>
        <v>406.37911847928501</v>
      </c>
      <c r="P17" s="86">
        <f>IF(J17=0,0,SUMPRODUCT(P13:P16,J13:J16)/J17)</f>
        <v>437.65016936772406</v>
      </c>
      <c r="Q17" s="86">
        <f>IF(K17=0,0,SUMPRODUCT(Q13:Q16,K13:K16)/K17)</f>
        <v>482.49839374553278</v>
      </c>
      <c r="R17" s="86">
        <f>IF(L17=0,0,SUMPRODUCT(R13:R16,L13:L16)/L17)</f>
        <v>524.57258230824959</v>
      </c>
      <c r="S17" s="20"/>
      <c r="T17" s="85">
        <f>IF(H17=0,0,SUMPRODUCT(T13:T16,H13:H16)/H17)</f>
        <v>354.75402732666186</v>
      </c>
      <c r="U17" s="86">
        <f>IF(I17=0,0,SUMPRODUCT(U13:U16,I13:I16)/I17)</f>
        <v>406.37911847928501</v>
      </c>
      <c r="V17" s="86">
        <f>IF(J17=0,0,SUMPRODUCT(V13:V16,J13:J16)/J17)</f>
        <v>437.65016936772406</v>
      </c>
      <c r="W17" s="86">
        <f>IF(K17=0,0,SUMPRODUCT(W13:W16,K13:K16)/K17)</f>
        <v>482.49839374553278</v>
      </c>
      <c r="X17" s="86">
        <f>IF(L17=0,0,SUMPRODUCT(X13:X16,L13:L16)/L17)</f>
        <v>524.57258230824959</v>
      </c>
      <c r="Y17" s="20"/>
      <c r="Z17" s="87">
        <f>SUM(Z13:Z16)</f>
        <v>0</v>
      </c>
      <c r="AA17" s="88">
        <f>SUM(AA13:AA16)</f>
        <v>0</v>
      </c>
      <c r="AB17" s="88">
        <f>SUM(AB13:AB16)</f>
        <v>0</v>
      </c>
      <c r="AC17" s="88">
        <f>SUM(AC13:AC16)</f>
        <v>0</v>
      </c>
      <c r="AD17" s="88">
        <f>SUM(AD13:AD16)</f>
        <v>0</v>
      </c>
      <c r="AE17" s="21"/>
      <c r="AF17" s="101"/>
    </row>
    <row r="18" spans="1:32" ht="13" x14ac:dyDescent="0.3">
      <c r="A18" s="130"/>
      <c r="B18" s="133"/>
      <c r="C18" s="124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23">
        <f>SUM(N17*H17)</f>
        <v>56708411.116328061</v>
      </c>
      <c r="O18" s="23">
        <f>SUM(O17*I17)</f>
        <v>65429797.777219422</v>
      </c>
      <c r="P18" s="23">
        <f>SUM(P17*J17)</f>
        <v>72432291.696538106</v>
      </c>
      <c r="Q18" s="23">
        <f>SUM(Q17*K17)</f>
        <v>84511755.447789535</v>
      </c>
      <c r="R18" s="23">
        <f>SUM(R17*L17)</f>
        <v>97779018.900956035</v>
      </c>
      <c r="S18" s="24"/>
      <c r="T18" s="23">
        <f>SUM(T17*H17)</f>
        <v>56708411.116328061</v>
      </c>
      <c r="U18" s="23">
        <f>SUM(U17*I17)</f>
        <v>65429797.777219422</v>
      </c>
      <c r="V18" s="23">
        <f>SUM(V17*J17)</f>
        <v>72432291.696538106</v>
      </c>
      <c r="W18" s="23">
        <f>SUM(W17*K17)</f>
        <v>84511755.447789535</v>
      </c>
      <c r="X18" s="23">
        <f>SUM(X17*L17)</f>
        <v>97779018.900956035</v>
      </c>
      <c r="Y18" s="120"/>
      <c r="Z18" s="102">
        <f>IFERROR(Z17/SUMPRODUCT(N13:N16,H13:H16), 0)</f>
        <v>0</v>
      </c>
      <c r="AA18" s="102">
        <f>IFERROR(AA17/SUMPRODUCT(O13:O16,I13:I16), 0)</f>
        <v>0</v>
      </c>
      <c r="AB18" s="102">
        <f>IFERROR(AB17/SUMPRODUCT(P13:P16,J13:J16), 0)</f>
        <v>0</v>
      </c>
      <c r="AC18" s="102">
        <f>IFERROR(AC17/SUMPRODUCT(Q13:Q16,K13:K16), 0)</f>
        <v>0</v>
      </c>
      <c r="AD18" s="102">
        <f>IFERROR(AD17/SUMPRODUCT(R13:R16,L13:L16), 0)</f>
        <v>0</v>
      </c>
      <c r="AE18" s="5"/>
      <c r="AF18" s="132"/>
    </row>
    <row r="19" spans="1:32" ht="13" x14ac:dyDescent="0.3">
      <c r="A19" s="130"/>
      <c r="B19" s="135"/>
      <c r="C19" s="124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23"/>
      <c r="O19" s="23"/>
      <c r="P19" s="23"/>
      <c r="Q19" s="23"/>
      <c r="R19" s="23"/>
      <c r="S19" s="24"/>
      <c r="T19" s="23"/>
      <c r="U19" s="23"/>
      <c r="V19" s="23"/>
      <c r="W19" s="23"/>
      <c r="X19" s="23"/>
      <c r="Y19" s="120"/>
      <c r="Z19" s="120"/>
      <c r="AA19" s="120"/>
      <c r="AB19" s="120"/>
      <c r="AC19" s="120"/>
      <c r="AD19" s="25"/>
      <c r="AE19" s="120"/>
      <c r="AF19" s="132"/>
    </row>
    <row r="20" spans="1:32" x14ac:dyDescent="0.25">
      <c r="A20" s="130"/>
      <c r="B20" s="124"/>
      <c r="C20" s="124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90"/>
    </row>
    <row r="21" spans="1:32" ht="15.65" customHeight="1" x14ac:dyDescent="0.35">
      <c r="A21" s="130"/>
      <c r="B21" s="124"/>
      <c r="C21" s="124"/>
      <c r="D21" s="91" t="s">
        <v>26</v>
      </c>
      <c r="E21" s="126"/>
      <c r="F21" s="7"/>
      <c r="G21" s="126"/>
      <c r="H21" s="25"/>
      <c r="I21" s="25"/>
      <c r="J21" s="25"/>
      <c r="K21" s="25"/>
      <c r="L21" s="25"/>
      <c r="M21" s="126"/>
      <c r="N21" s="26"/>
      <c r="O21" s="27"/>
      <c r="P21" s="27"/>
      <c r="Q21" s="27"/>
      <c r="R21" s="27"/>
      <c r="S21" s="126"/>
      <c r="T21" s="26"/>
      <c r="U21" s="27"/>
      <c r="V21" s="27"/>
      <c r="W21" s="27"/>
      <c r="X21" s="27"/>
      <c r="Y21" s="126"/>
      <c r="Z21" s="28"/>
      <c r="AA21" s="28"/>
      <c r="AB21" s="25"/>
      <c r="AC21" s="29"/>
      <c r="AD21" s="25"/>
      <c r="AE21" s="120"/>
      <c r="AF21" s="132"/>
    </row>
    <row r="22" spans="1:32" ht="13" x14ac:dyDescent="0.3">
      <c r="A22" s="58">
        <v>1</v>
      </c>
      <c r="B22" s="131"/>
      <c r="C22" s="124"/>
      <c r="D22" s="126"/>
      <c r="E22" s="126"/>
      <c r="F22" s="7"/>
      <c r="G22" s="126"/>
      <c r="H22" s="62" t="s">
        <v>10</v>
      </c>
      <c r="I22" s="63"/>
      <c r="J22" s="63"/>
      <c r="K22" s="63"/>
      <c r="L22" s="64"/>
      <c r="M22" s="126"/>
      <c r="N22" s="62" t="s">
        <v>11</v>
      </c>
      <c r="O22" s="63"/>
      <c r="P22" s="63"/>
      <c r="Q22" s="63"/>
      <c r="R22" s="64"/>
      <c r="S22" s="127"/>
      <c r="T22" s="62" t="s">
        <v>12</v>
      </c>
      <c r="U22" s="63"/>
      <c r="V22" s="63"/>
      <c r="W22" s="63"/>
      <c r="X22" s="64"/>
      <c r="Y22" s="127"/>
      <c r="Z22" s="62" t="s">
        <v>13</v>
      </c>
      <c r="AA22" s="63"/>
      <c r="AB22" s="63"/>
      <c r="AC22" s="63"/>
      <c r="AD22" s="64"/>
      <c r="AE22" s="128"/>
      <c r="AF22" s="132"/>
    </row>
    <row r="23" spans="1:32" ht="13" x14ac:dyDescent="0.3">
      <c r="A23" s="59">
        <f t="shared" ref="A23:A30" si="5">A22</f>
        <v>1</v>
      </c>
      <c r="B23" s="133"/>
      <c r="C23" s="124"/>
      <c r="D23" s="126"/>
      <c r="E23" s="134"/>
      <c r="F23" s="65" t="s">
        <v>27</v>
      </c>
      <c r="G23" s="127"/>
      <c r="H23" s="66" t="s">
        <v>15</v>
      </c>
      <c r="I23" s="67" t="s">
        <v>16</v>
      </c>
      <c r="J23" s="67" t="s">
        <v>17</v>
      </c>
      <c r="K23" s="67" t="s">
        <v>18</v>
      </c>
      <c r="L23" s="145" t="s">
        <v>19</v>
      </c>
      <c r="M23" s="126"/>
      <c r="N23" s="66" t="s">
        <v>15</v>
      </c>
      <c r="O23" s="67" t="s">
        <v>16</v>
      </c>
      <c r="P23" s="67" t="s">
        <v>17</v>
      </c>
      <c r="Q23" s="67" t="s">
        <v>18</v>
      </c>
      <c r="R23" s="67" t="s">
        <v>19</v>
      </c>
      <c r="S23" s="125"/>
      <c r="T23" s="66" t="s">
        <v>15</v>
      </c>
      <c r="U23" s="67" t="s">
        <v>16</v>
      </c>
      <c r="V23" s="67" t="s">
        <v>17</v>
      </c>
      <c r="W23" s="67" t="s">
        <v>18</v>
      </c>
      <c r="X23" s="67" t="s">
        <v>19</v>
      </c>
      <c r="Y23" s="125"/>
      <c r="Z23" s="66" t="s">
        <v>15</v>
      </c>
      <c r="AA23" s="67" t="s">
        <v>16</v>
      </c>
      <c r="AB23" s="67" t="s">
        <v>17</v>
      </c>
      <c r="AC23" s="67" t="s">
        <v>18</v>
      </c>
      <c r="AD23" s="67" t="s">
        <v>19</v>
      </c>
      <c r="AE23" s="128"/>
      <c r="AF23" s="132"/>
    </row>
    <row r="24" spans="1:32" ht="13" outlineLevel="1" x14ac:dyDescent="0.3">
      <c r="A24" s="136">
        <f t="shared" si="5"/>
        <v>1</v>
      </c>
      <c r="B24" s="52" t="s">
        <v>20</v>
      </c>
      <c r="C24" s="53"/>
      <c r="D24" s="103"/>
      <c r="E24" s="127"/>
      <c r="F24" s="104" t="s">
        <v>20</v>
      </c>
      <c r="G24" s="127"/>
      <c r="H24" s="94">
        <v>56999.290752764413</v>
      </c>
      <c r="I24" s="141">
        <v>56008.210340192491</v>
      </c>
      <c r="J24" s="141">
        <v>56149.473982952863</v>
      </c>
      <c r="K24" s="141">
        <v>59594.48006723955</v>
      </c>
      <c r="L24" s="143">
        <v>62495.349793432208</v>
      </c>
      <c r="M24" s="126"/>
      <c r="N24" s="69">
        <v>219.49099860771409</v>
      </c>
      <c r="O24" s="75">
        <v>252.08520085969559</v>
      </c>
      <c r="P24" s="75">
        <v>284.25508118578699</v>
      </c>
      <c r="Q24" s="75">
        <v>310.96899184442009</v>
      </c>
      <c r="R24" s="75">
        <v>330.84650319216541</v>
      </c>
      <c r="S24" s="125"/>
      <c r="T24" s="30">
        <v>219.49099860771409</v>
      </c>
      <c r="U24" s="31">
        <v>252.08520085969559</v>
      </c>
      <c r="V24" s="31">
        <v>284.25508118578699</v>
      </c>
      <c r="W24" s="31">
        <v>310.96899184442009</v>
      </c>
      <c r="X24" s="31">
        <v>330.84650319216541</v>
      </c>
      <c r="Y24" s="125"/>
      <c r="Z24" s="71">
        <v>0</v>
      </c>
      <c r="AA24" s="72">
        <v>0</v>
      </c>
      <c r="AB24" s="72">
        <v>0</v>
      </c>
      <c r="AC24" s="72">
        <v>0</v>
      </c>
      <c r="AD24" s="72">
        <v>0</v>
      </c>
      <c r="AE24" s="32"/>
      <c r="AF24" s="132"/>
    </row>
    <row r="25" spans="1:32" ht="13" outlineLevel="1" x14ac:dyDescent="0.3">
      <c r="A25" s="136">
        <f t="shared" si="5"/>
        <v>1</v>
      </c>
      <c r="B25" s="52" t="s">
        <v>21</v>
      </c>
      <c r="C25" s="53"/>
      <c r="D25" s="105"/>
      <c r="E25" s="127"/>
      <c r="F25" s="73" t="s">
        <v>21</v>
      </c>
      <c r="G25" s="127"/>
      <c r="H25" s="94">
        <v>24270.408344860411</v>
      </c>
      <c r="I25" s="141">
        <v>20512.64206045536</v>
      </c>
      <c r="J25" s="141">
        <v>19132.156784268718</v>
      </c>
      <c r="K25" s="141">
        <v>20530.393055875858</v>
      </c>
      <c r="L25" s="143">
        <v>22300.763682640489</v>
      </c>
      <c r="M25" s="126"/>
      <c r="N25" s="74">
        <v>314.31526923465611</v>
      </c>
      <c r="O25" s="75">
        <v>359.04863738836451</v>
      </c>
      <c r="P25" s="75">
        <v>431.55304771491399</v>
      </c>
      <c r="Q25" s="75">
        <v>467.93508200602679</v>
      </c>
      <c r="R25" s="75">
        <v>488.32404658309628</v>
      </c>
      <c r="S25" s="125"/>
      <c r="T25" s="30">
        <v>314.31526923465611</v>
      </c>
      <c r="U25" s="31">
        <v>359.04863738836451</v>
      </c>
      <c r="V25" s="31">
        <v>431.55304771491399</v>
      </c>
      <c r="W25" s="31">
        <v>467.93508200602679</v>
      </c>
      <c r="X25" s="31">
        <v>488.32404658309628</v>
      </c>
      <c r="Y25" s="125"/>
      <c r="Z25" s="76">
        <v>0</v>
      </c>
      <c r="AA25" s="77">
        <v>0</v>
      </c>
      <c r="AB25" s="77">
        <v>0</v>
      </c>
      <c r="AC25" s="77">
        <v>0</v>
      </c>
      <c r="AD25" s="77">
        <v>0</v>
      </c>
      <c r="AE25" s="32"/>
      <c r="AF25" s="132"/>
    </row>
    <row r="26" spans="1:32" ht="13" outlineLevel="1" x14ac:dyDescent="0.3">
      <c r="A26" s="136">
        <f t="shared" si="5"/>
        <v>1</v>
      </c>
      <c r="B26" s="52" t="s">
        <v>22</v>
      </c>
      <c r="C26" s="53"/>
      <c r="D26" s="105">
        <v>1</v>
      </c>
      <c r="E26" s="127"/>
      <c r="F26" s="78" t="s">
        <v>22</v>
      </c>
      <c r="G26" s="127"/>
      <c r="H26" s="94">
        <v>393.97041217607102</v>
      </c>
      <c r="I26" s="141">
        <v>353.78865205876099</v>
      </c>
      <c r="J26" s="141">
        <v>350.21655775315452</v>
      </c>
      <c r="K26" s="141">
        <v>385.02254826997921</v>
      </c>
      <c r="L26" s="143">
        <v>429.76858985263237</v>
      </c>
      <c r="M26" s="126"/>
      <c r="N26" s="74">
        <v>525.18385892059268</v>
      </c>
      <c r="O26" s="75">
        <v>604.55664980029178</v>
      </c>
      <c r="P26" s="75">
        <v>689.03159738451325</v>
      </c>
      <c r="Q26" s="75">
        <v>753.32747150723537</v>
      </c>
      <c r="R26" s="75">
        <v>802.07887719530595</v>
      </c>
      <c r="S26" s="125"/>
      <c r="T26" s="30">
        <v>525.18385892059268</v>
      </c>
      <c r="U26" s="31">
        <v>604.55664980029178</v>
      </c>
      <c r="V26" s="31">
        <v>689.03159738451325</v>
      </c>
      <c r="W26" s="31">
        <v>753.32747150723537</v>
      </c>
      <c r="X26" s="31">
        <v>802.07887719530595</v>
      </c>
      <c r="Y26" s="125"/>
      <c r="Z26" s="76">
        <v>0</v>
      </c>
      <c r="AA26" s="77">
        <v>0</v>
      </c>
      <c r="AB26" s="77">
        <v>0</v>
      </c>
      <c r="AC26" s="77">
        <v>0</v>
      </c>
      <c r="AD26" s="77">
        <v>0</v>
      </c>
      <c r="AE26" s="32"/>
      <c r="AF26" s="132"/>
    </row>
    <row r="27" spans="1:32" ht="13" outlineLevel="1" x14ac:dyDescent="0.3">
      <c r="A27" s="136">
        <f t="shared" si="5"/>
        <v>1</v>
      </c>
      <c r="B27" s="52" t="s">
        <v>24</v>
      </c>
      <c r="C27" s="53"/>
      <c r="D27" s="105"/>
      <c r="E27" s="127"/>
      <c r="F27" s="79" t="s">
        <v>24</v>
      </c>
      <c r="G27" s="127"/>
      <c r="H27" s="96">
        <v>3549.3129667759549</v>
      </c>
      <c r="I27" s="97">
        <v>3815.5515038238332</v>
      </c>
      <c r="J27" s="97">
        <v>4081.4582661425129</v>
      </c>
      <c r="K27" s="97">
        <v>4411.4888345755344</v>
      </c>
      <c r="L27" s="146">
        <v>4789.0097406205068</v>
      </c>
      <c r="M27" s="126"/>
      <c r="N27" s="80">
        <v>1888.88074571066</v>
      </c>
      <c r="O27" s="81">
        <v>2047.1670347989129</v>
      </c>
      <c r="P27" s="81">
        <v>1817.4376422828909</v>
      </c>
      <c r="Q27" s="81">
        <v>1963.089241743085</v>
      </c>
      <c r="R27" s="81">
        <v>2134.6432258841792</v>
      </c>
      <c r="S27" s="125"/>
      <c r="T27" s="33">
        <v>1888.88074571066</v>
      </c>
      <c r="U27" s="34">
        <v>2047.1670347989129</v>
      </c>
      <c r="V27" s="34">
        <v>1817.4376422828909</v>
      </c>
      <c r="W27" s="34">
        <v>1963.089241743085</v>
      </c>
      <c r="X27" s="34">
        <v>2134.6432258841792</v>
      </c>
      <c r="Y27" s="125"/>
      <c r="Z27" s="82">
        <v>0</v>
      </c>
      <c r="AA27" s="83">
        <v>0</v>
      </c>
      <c r="AB27" s="83">
        <v>0</v>
      </c>
      <c r="AC27" s="83">
        <v>0</v>
      </c>
      <c r="AD27" s="83">
        <v>0</v>
      </c>
      <c r="AE27" s="32"/>
      <c r="AF27" s="132"/>
    </row>
    <row r="28" spans="1:32" s="22" customFormat="1" ht="13" outlineLevel="1" x14ac:dyDescent="0.3">
      <c r="A28" s="136">
        <f t="shared" si="5"/>
        <v>1</v>
      </c>
      <c r="B28" s="56"/>
      <c r="C28" s="60"/>
      <c r="D28" s="106"/>
      <c r="E28" s="19"/>
      <c r="F28" s="84" t="s">
        <v>25</v>
      </c>
      <c r="G28" s="19"/>
      <c r="H28" s="99">
        <f>SUM(H24:H27)</f>
        <v>85212.982476576843</v>
      </c>
      <c r="I28" s="100">
        <f>SUM(I24:I27)</f>
        <v>80690.192556530455</v>
      </c>
      <c r="J28" s="100">
        <f>SUM(J24:J27)</f>
        <v>79713.305591117241</v>
      </c>
      <c r="K28" s="100">
        <f>SUM(K24:K27)</f>
        <v>84921.384505960916</v>
      </c>
      <c r="L28" s="144">
        <f>SUM(L24:L27)</f>
        <v>90014.891806545827</v>
      </c>
      <c r="M28" s="142"/>
      <c r="N28" s="85">
        <f>IF(H28=0,0,SUMPRODUCT(N24:N27,H24:H27)/H28)</f>
        <v>317.44607710277688</v>
      </c>
      <c r="O28" s="86">
        <f>IF(I28=0,0,SUMPRODUCT(O24:O27,I24:I27)/I28)</f>
        <v>365.70533220873585</v>
      </c>
      <c r="P28" s="86">
        <f>IF(J28=0,0,SUMPRODUCT(P24:P27,J24:J27)/J28)</f>
        <v>399.88832204744966</v>
      </c>
      <c r="Q28" s="86">
        <f>IF(K28=0,0,SUMPRODUCT(Q24:Q27,K24:K27)/K28)</f>
        <v>436.74654027340023</v>
      </c>
      <c r="R28" s="86">
        <f>IF(L28=0,0,SUMPRODUCT(R24:R27,L24:L27)/L28)</f>
        <v>468.07702339288255</v>
      </c>
      <c r="S28" s="20"/>
      <c r="T28" s="85">
        <f>IF(H28=0,0,SUMPRODUCT(T24:T27,H24:H27)/H28)</f>
        <v>317.44607710277688</v>
      </c>
      <c r="U28" s="86">
        <f>IF(I28=0,0,SUMPRODUCT(U24:U27,I24:I27)/I28)</f>
        <v>365.70533220873585</v>
      </c>
      <c r="V28" s="86">
        <f>IF(J28=0,0,SUMPRODUCT(V24:V27,J24:J27)/J28)</f>
        <v>399.88832204744966</v>
      </c>
      <c r="W28" s="86">
        <f>IF(K28=0,0,SUMPRODUCT(W24:W27,K24:K27)/K28)</f>
        <v>436.74654027340023</v>
      </c>
      <c r="X28" s="86">
        <f>IF(L28=0,0,SUMPRODUCT(X24:X27,L24:L27)/L28)</f>
        <v>468.07702339288255</v>
      </c>
      <c r="Y28" s="20"/>
      <c r="Z28" s="87">
        <f>SUM(Z24:Z27)</f>
        <v>0</v>
      </c>
      <c r="AA28" s="88">
        <f>SUM(AA24:AA27)</f>
        <v>0</v>
      </c>
      <c r="AB28" s="88">
        <f>SUM(AB24:AB27)</f>
        <v>0</v>
      </c>
      <c r="AC28" s="88">
        <f>SUM(AC24:AC27)</f>
        <v>0</v>
      </c>
      <c r="AD28" s="88">
        <f>SUM(AD24:AD27)</f>
        <v>0</v>
      </c>
      <c r="AE28" s="35"/>
      <c r="AF28" s="101"/>
    </row>
    <row r="29" spans="1:32" ht="15.65" customHeight="1" outlineLevel="1" x14ac:dyDescent="0.3">
      <c r="A29" s="136">
        <f t="shared" si="5"/>
        <v>1</v>
      </c>
      <c r="B29" s="133"/>
      <c r="C29" s="124"/>
      <c r="D29" s="7"/>
      <c r="E29" s="120"/>
      <c r="F29" s="120"/>
      <c r="G29" s="120"/>
      <c r="H29" s="120"/>
      <c r="I29" s="120"/>
      <c r="J29" s="120"/>
      <c r="K29" s="120"/>
      <c r="L29" s="120"/>
      <c r="M29" s="120"/>
      <c r="N29" s="23">
        <f>SUM(N28*H28)</f>
        <v>27050527.005416989</v>
      </c>
      <c r="O29" s="23">
        <f>SUM(O28*I28)</f>
        <v>29508833.674872834</v>
      </c>
      <c r="P29" s="23">
        <f>SUM(P28*J28)</f>
        <v>31876420.017687462</v>
      </c>
      <c r="Q29" s="23">
        <f>SUM(Q28*K28)</f>
        <v>37089120.878205568</v>
      </c>
      <c r="R29" s="23">
        <f>SUM(R28*L28)</f>
        <v>42133902.617840342</v>
      </c>
      <c r="S29" s="24"/>
      <c r="T29" s="23">
        <f>SUM(T28*H28)</f>
        <v>27050527.005416989</v>
      </c>
      <c r="U29" s="23">
        <f>SUM(U28*I28)</f>
        <v>29508833.674872834</v>
      </c>
      <c r="V29" s="23">
        <f>SUM(V28*J28)</f>
        <v>31876420.017687462</v>
      </c>
      <c r="W29" s="23">
        <f>SUM(W28*K28)</f>
        <v>37089120.878205568</v>
      </c>
      <c r="X29" s="23">
        <f>SUM(X28*L28)</f>
        <v>42133902.617840342</v>
      </c>
      <c r="Y29" s="126"/>
      <c r="Z29" s="102">
        <f>IFERROR(Z28/SUMPRODUCT(N24:N27,H24:H27), 0)</f>
        <v>0</v>
      </c>
      <c r="AA29" s="102">
        <f>IFERROR(AA28/SUMPRODUCT(O24:O27,I24:I27), 0)</f>
        <v>0</v>
      </c>
      <c r="AB29" s="102">
        <f>IFERROR(AB28/SUMPRODUCT(P24:P27,J24:J27), 0)</f>
        <v>0</v>
      </c>
      <c r="AC29" s="102">
        <f>IFERROR(AC28/SUMPRODUCT(Q24:Q27,K24:K27), 0)</f>
        <v>0</v>
      </c>
      <c r="AD29" s="102">
        <f>IFERROR(AD28/SUMPRODUCT(R24:R27,L24:L27), 0)</f>
        <v>0</v>
      </c>
      <c r="AE29" s="5"/>
      <c r="AF29" s="132"/>
    </row>
    <row r="30" spans="1:32" ht="13" x14ac:dyDescent="0.3">
      <c r="A30" s="137">
        <f t="shared" si="5"/>
        <v>1</v>
      </c>
      <c r="B30" s="135"/>
      <c r="C30" s="124"/>
      <c r="D30" s="7"/>
      <c r="E30" s="120"/>
      <c r="F30" s="120"/>
      <c r="G30" s="120"/>
      <c r="H30" s="120"/>
      <c r="I30" s="120"/>
      <c r="J30" s="120"/>
      <c r="K30" s="120"/>
      <c r="L30" s="120"/>
      <c r="M30" s="120"/>
      <c r="N30" s="129"/>
      <c r="O30" s="120"/>
      <c r="P30" s="120"/>
      <c r="Q30" s="120"/>
      <c r="R30" s="25"/>
      <c r="S30" s="120"/>
      <c r="T30" s="120"/>
      <c r="U30" s="120"/>
      <c r="V30" s="120"/>
      <c r="W30" s="120"/>
      <c r="X30" s="120"/>
      <c r="Y30" s="126"/>
      <c r="Z30" s="5"/>
      <c r="AA30" s="5"/>
      <c r="AB30" s="5"/>
      <c r="AC30" s="5"/>
      <c r="AD30" s="3"/>
      <c r="AE30" s="5"/>
      <c r="AF30" s="132"/>
    </row>
    <row r="31" spans="1:32" ht="13" x14ac:dyDescent="0.3">
      <c r="A31" s="58">
        <v>2</v>
      </c>
      <c r="B31" s="147"/>
      <c r="C31" s="148"/>
      <c r="D31" s="149"/>
      <c r="E31" s="149"/>
      <c r="F31" s="150"/>
      <c r="G31" s="149"/>
      <c r="H31" s="151" t="s">
        <v>10</v>
      </c>
      <c r="I31" s="152"/>
      <c r="J31" s="152"/>
      <c r="K31" s="152"/>
      <c r="L31" s="153"/>
      <c r="M31" s="149"/>
      <c r="N31" s="151" t="s">
        <v>11</v>
      </c>
      <c r="O31" s="152"/>
      <c r="P31" s="152"/>
      <c r="Q31" s="152"/>
      <c r="R31" s="153"/>
      <c r="S31" s="154"/>
      <c r="T31" s="151" t="s">
        <v>12</v>
      </c>
      <c r="U31" s="152"/>
      <c r="V31" s="152"/>
      <c r="W31" s="152"/>
      <c r="X31" s="153"/>
      <c r="Y31" s="154"/>
      <c r="Z31" s="151" t="s">
        <v>13</v>
      </c>
      <c r="AA31" s="152"/>
      <c r="AB31" s="152"/>
      <c r="AC31" s="152"/>
      <c r="AD31" s="153"/>
      <c r="AE31" s="155"/>
      <c r="AF31" s="156"/>
    </row>
    <row r="32" spans="1:32" ht="13" x14ac:dyDescent="0.3">
      <c r="A32" s="59">
        <f t="shared" ref="A32:A39" si="6">A31</f>
        <v>2</v>
      </c>
      <c r="B32" s="157"/>
      <c r="C32" s="148"/>
      <c r="D32" s="149"/>
      <c r="E32" s="158"/>
      <c r="F32" s="159" t="s">
        <v>28</v>
      </c>
      <c r="G32" s="154"/>
      <c r="H32" s="160" t="s">
        <v>15</v>
      </c>
      <c r="I32" s="161" t="s">
        <v>16</v>
      </c>
      <c r="J32" s="161" t="s">
        <v>17</v>
      </c>
      <c r="K32" s="161" t="s">
        <v>18</v>
      </c>
      <c r="L32" s="162" t="s">
        <v>19</v>
      </c>
      <c r="M32" s="149"/>
      <c r="N32" s="160" t="s">
        <v>15</v>
      </c>
      <c r="O32" s="161" t="s">
        <v>16</v>
      </c>
      <c r="P32" s="161" t="s">
        <v>17</v>
      </c>
      <c r="Q32" s="161" t="s">
        <v>18</v>
      </c>
      <c r="R32" s="161" t="s">
        <v>19</v>
      </c>
      <c r="S32" s="163"/>
      <c r="T32" s="160" t="s">
        <v>15</v>
      </c>
      <c r="U32" s="161" t="s">
        <v>16</v>
      </c>
      <c r="V32" s="161" t="s">
        <v>17</v>
      </c>
      <c r="W32" s="161" t="s">
        <v>18</v>
      </c>
      <c r="X32" s="161" t="s">
        <v>19</v>
      </c>
      <c r="Y32" s="163"/>
      <c r="Z32" s="160" t="s">
        <v>15</v>
      </c>
      <c r="AA32" s="161" t="s">
        <v>16</v>
      </c>
      <c r="AB32" s="161" t="s">
        <v>17</v>
      </c>
      <c r="AC32" s="161" t="s">
        <v>18</v>
      </c>
      <c r="AD32" s="161" t="s">
        <v>19</v>
      </c>
      <c r="AE32" s="155"/>
      <c r="AF32" s="156"/>
    </row>
    <row r="33" spans="1:32" ht="15.65" customHeight="1" x14ac:dyDescent="0.3">
      <c r="A33" s="164">
        <f t="shared" si="6"/>
        <v>2</v>
      </c>
      <c r="B33" s="52" t="s">
        <v>20</v>
      </c>
      <c r="C33" s="53"/>
      <c r="D33" s="165"/>
      <c r="E33" s="154"/>
      <c r="F33" s="166" t="s">
        <v>20</v>
      </c>
      <c r="G33" s="154"/>
      <c r="H33" s="167">
        <v>37382.023834106381</v>
      </c>
      <c r="I33" s="168">
        <v>39589.895209446127</v>
      </c>
      <c r="J33" s="168">
        <v>41713.3183180536</v>
      </c>
      <c r="K33" s="168">
        <v>44336.503161770968</v>
      </c>
      <c r="L33" s="169">
        <v>46634.14983165334</v>
      </c>
      <c r="M33" s="149"/>
      <c r="N33" s="170">
        <v>210.38927437596629</v>
      </c>
      <c r="O33" s="171">
        <v>241.4470184434939</v>
      </c>
      <c r="P33" s="171">
        <v>268.35139676699521</v>
      </c>
      <c r="Q33" s="171">
        <v>295.64090727496142</v>
      </c>
      <c r="R33" s="171">
        <v>326.97772797265861</v>
      </c>
      <c r="S33" s="163"/>
      <c r="T33" s="172">
        <v>210.38927437596629</v>
      </c>
      <c r="U33" s="173">
        <v>241.4470184434939</v>
      </c>
      <c r="V33" s="173">
        <v>268.35139676699521</v>
      </c>
      <c r="W33" s="173">
        <v>295.64090727496142</v>
      </c>
      <c r="X33" s="173">
        <v>326.97772797265861</v>
      </c>
      <c r="Y33" s="163"/>
      <c r="Z33" s="174">
        <v>0</v>
      </c>
      <c r="AA33" s="175">
        <v>0</v>
      </c>
      <c r="AB33" s="175">
        <v>0</v>
      </c>
      <c r="AC33" s="175">
        <v>0</v>
      </c>
      <c r="AD33" s="175">
        <v>0</v>
      </c>
      <c r="AE33" s="176"/>
      <c r="AF33" s="156"/>
    </row>
    <row r="34" spans="1:32" ht="13" x14ac:dyDescent="0.3">
      <c r="A34" s="164">
        <f t="shared" si="6"/>
        <v>2</v>
      </c>
      <c r="B34" s="52" t="s">
        <v>21</v>
      </c>
      <c r="C34" s="53"/>
      <c r="D34" s="177"/>
      <c r="E34" s="154"/>
      <c r="F34" s="178" t="s">
        <v>21</v>
      </c>
      <c r="G34" s="154"/>
      <c r="H34" s="167">
        <v>11188.870704123899</v>
      </c>
      <c r="I34" s="168">
        <v>12023.42475106277</v>
      </c>
      <c r="J34" s="168">
        <v>12972.82449871463</v>
      </c>
      <c r="K34" s="168">
        <v>14081.680113486629</v>
      </c>
      <c r="L34" s="169">
        <v>15214.60819100582</v>
      </c>
      <c r="M34" s="149"/>
      <c r="N34" s="179">
        <v>355.24529629257728</v>
      </c>
      <c r="O34" s="171">
        <v>407.81436394629418</v>
      </c>
      <c r="P34" s="171">
        <v>452.60277023789348</v>
      </c>
      <c r="Q34" s="171">
        <v>489.21005462278907</v>
      </c>
      <c r="R34" s="171">
        <v>540.69052273116836</v>
      </c>
      <c r="S34" s="163"/>
      <c r="T34" s="172">
        <v>355.24529629257728</v>
      </c>
      <c r="U34" s="173">
        <v>407.81436394629418</v>
      </c>
      <c r="V34" s="173">
        <v>452.60277023789348</v>
      </c>
      <c r="W34" s="173">
        <v>489.21005462278907</v>
      </c>
      <c r="X34" s="173">
        <v>540.69052273116836</v>
      </c>
      <c r="Y34" s="163"/>
      <c r="Z34" s="180">
        <v>0</v>
      </c>
      <c r="AA34" s="181">
        <v>0</v>
      </c>
      <c r="AB34" s="181">
        <v>0</v>
      </c>
      <c r="AC34" s="181">
        <v>0</v>
      </c>
      <c r="AD34" s="181">
        <v>0</v>
      </c>
      <c r="AE34" s="176"/>
      <c r="AF34" s="156"/>
    </row>
    <row r="35" spans="1:32" ht="13" x14ac:dyDescent="0.3">
      <c r="A35" s="164">
        <f t="shared" si="6"/>
        <v>2</v>
      </c>
      <c r="B35" s="52" t="s">
        <v>22</v>
      </c>
      <c r="C35" s="53"/>
      <c r="D35" s="177">
        <v>2</v>
      </c>
      <c r="E35" s="154"/>
      <c r="F35" s="182" t="s">
        <v>22</v>
      </c>
      <c r="G35" s="154"/>
      <c r="H35" s="167">
        <v>221.1819286085281</v>
      </c>
      <c r="I35" s="168">
        <v>239.64853729056361</v>
      </c>
      <c r="J35" s="168">
        <v>263.13097073644758</v>
      </c>
      <c r="K35" s="168">
        <v>292.25246030902758</v>
      </c>
      <c r="L35" s="169">
        <v>326.18342063953088</v>
      </c>
      <c r="M35" s="149"/>
      <c r="N35" s="179">
        <v>582.5243947603733</v>
      </c>
      <c r="O35" s="171">
        <v>671.49176125810561</v>
      </c>
      <c r="P35" s="171">
        <v>743.38296847217214</v>
      </c>
      <c r="Q35" s="171">
        <v>815.36556011089556</v>
      </c>
      <c r="R35" s="171">
        <v>894.3410545628202</v>
      </c>
      <c r="S35" s="163"/>
      <c r="T35" s="172">
        <v>582.5243947603733</v>
      </c>
      <c r="U35" s="173">
        <v>671.49176125810561</v>
      </c>
      <c r="V35" s="173">
        <v>743.38296847217214</v>
      </c>
      <c r="W35" s="173">
        <v>815.36556011089556</v>
      </c>
      <c r="X35" s="173">
        <v>894.3410545628202</v>
      </c>
      <c r="Y35" s="163"/>
      <c r="Z35" s="180">
        <v>0</v>
      </c>
      <c r="AA35" s="181">
        <v>0</v>
      </c>
      <c r="AB35" s="181">
        <v>0</v>
      </c>
      <c r="AC35" s="181">
        <v>0</v>
      </c>
      <c r="AD35" s="181">
        <v>0</v>
      </c>
      <c r="AE35" s="176"/>
      <c r="AF35" s="156"/>
    </row>
    <row r="36" spans="1:32" ht="13" x14ac:dyDescent="0.3">
      <c r="A36" s="164">
        <f t="shared" si="6"/>
        <v>2</v>
      </c>
      <c r="B36" s="52" t="s">
        <v>24</v>
      </c>
      <c r="C36" s="53"/>
      <c r="D36" s="177"/>
      <c r="E36" s="154"/>
      <c r="F36" s="183" t="s">
        <v>24</v>
      </c>
      <c r="G36" s="154"/>
      <c r="H36" s="184">
        <v>2990.7247139006122</v>
      </c>
      <c r="I36" s="185">
        <v>3275.5362470816949</v>
      </c>
      <c r="J36" s="185">
        <v>3539.142289205271</v>
      </c>
      <c r="K36" s="185">
        <v>3857.438448842408</v>
      </c>
      <c r="L36" s="186">
        <v>4212.352047581875</v>
      </c>
      <c r="M36" s="149"/>
      <c r="N36" s="187">
        <v>2017.0479163128771</v>
      </c>
      <c r="O36" s="188">
        <v>2204.7871615701019</v>
      </c>
      <c r="P36" s="188">
        <v>1937.4438099457229</v>
      </c>
      <c r="Q36" s="188">
        <v>2095.0666470571709</v>
      </c>
      <c r="R36" s="188">
        <v>2285.152168558493</v>
      </c>
      <c r="S36" s="163"/>
      <c r="T36" s="189">
        <v>2017.0479163128771</v>
      </c>
      <c r="U36" s="190">
        <v>2204.7871615701019</v>
      </c>
      <c r="V36" s="190">
        <v>1937.4438099457229</v>
      </c>
      <c r="W36" s="190">
        <v>2095.0666470571709</v>
      </c>
      <c r="X36" s="190">
        <v>2285.152168558493</v>
      </c>
      <c r="Y36" s="163"/>
      <c r="Z36" s="191">
        <v>0</v>
      </c>
      <c r="AA36" s="192">
        <v>0</v>
      </c>
      <c r="AB36" s="192">
        <v>0</v>
      </c>
      <c r="AC36" s="192">
        <v>0</v>
      </c>
      <c r="AD36" s="192">
        <v>0</v>
      </c>
      <c r="AE36" s="176"/>
      <c r="AF36" s="156"/>
    </row>
    <row r="37" spans="1:32" ht="13" x14ac:dyDescent="0.3">
      <c r="A37" s="164">
        <f t="shared" si="6"/>
        <v>2</v>
      </c>
      <c r="B37" s="56"/>
      <c r="C37" s="60"/>
      <c r="D37" s="193"/>
      <c r="E37" s="194"/>
      <c r="F37" s="195" t="s">
        <v>25</v>
      </c>
      <c r="G37" s="194"/>
      <c r="H37" s="196">
        <f>SUM(H33:H36)</f>
        <v>51782.801180739421</v>
      </c>
      <c r="I37" s="197">
        <f>SUM(I33:I36)</f>
        <v>55128.50474488116</v>
      </c>
      <c r="J37" s="197">
        <f>SUM(J33:J36)</f>
        <v>58488.416076709953</v>
      </c>
      <c r="K37" s="197">
        <f>SUM(K33:K36)</f>
        <v>62567.87418440904</v>
      </c>
      <c r="L37" s="198">
        <f>SUM(L33:L36)</f>
        <v>66387.293490880562</v>
      </c>
      <c r="M37" s="199"/>
      <c r="N37" s="200">
        <f>IF(H37=0,0,SUMPRODUCT(N33:N36,H33:H36)/H37)</f>
        <v>347.62216544317084</v>
      </c>
      <c r="O37" s="201">
        <f>IF(I37=0,0,SUMPRODUCT(O33:O36,I33:I36)/I37)</f>
        <v>396.25543737174723</v>
      </c>
      <c r="P37" s="201">
        <f>IF(J37=0,0,SUMPRODUCT(P33:P36,J33:J36)/J37)</f>
        <v>412.35276249562952</v>
      </c>
      <c r="Q37" s="201">
        <f>IF(K37=0,0,SUMPRODUCT(Q33:Q36,K33:K36)/K37)</f>
        <v>452.57198066895432</v>
      </c>
      <c r="R37" s="201">
        <f>IF(L37=0,0,SUMPRODUCT(R33:R36,L33:L36)/L37)</f>
        <v>502.99245079303637</v>
      </c>
      <c r="S37" s="202"/>
      <c r="T37" s="200">
        <f>IF(H37=0,0,SUMPRODUCT(T33:T36,H33:H36)/H37)</f>
        <v>347.62216544317084</v>
      </c>
      <c r="U37" s="201">
        <f>IF(I37=0,0,SUMPRODUCT(U33:U36,I33:I36)/I37)</f>
        <v>396.25543737174723</v>
      </c>
      <c r="V37" s="201">
        <f>IF(J37=0,0,SUMPRODUCT(V33:V36,J33:J36)/J37)</f>
        <v>412.35276249562952</v>
      </c>
      <c r="W37" s="201">
        <f>IF(K37=0,0,SUMPRODUCT(W33:W36,K33:K36)/K37)</f>
        <v>452.57198066895432</v>
      </c>
      <c r="X37" s="201">
        <f>IF(L37=0,0,SUMPRODUCT(X33:X36,L33:L36)/L37)</f>
        <v>502.99245079303637</v>
      </c>
      <c r="Y37" s="202"/>
      <c r="Z37" s="203">
        <f>SUM(Z33:Z36)</f>
        <v>0</v>
      </c>
      <c r="AA37" s="204">
        <f>SUM(AA33:AA36)</f>
        <v>0</v>
      </c>
      <c r="AB37" s="204">
        <f>SUM(AB33:AB36)</f>
        <v>0</v>
      </c>
      <c r="AC37" s="204">
        <f>SUM(AC33:AC36)</f>
        <v>0</v>
      </c>
      <c r="AD37" s="204">
        <f>SUM(AD33:AD36)</f>
        <v>0</v>
      </c>
      <c r="AE37" s="205"/>
      <c r="AF37" s="51"/>
    </row>
    <row r="38" spans="1:32" ht="15.65" customHeight="1" x14ac:dyDescent="0.3">
      <c r="A38" s="164">
        <f t="shared" si="6"/>
        <v>2</v>
      </c>
      <c r="B38" s="157"/>
      <c r="C38" s="148"/>
      <c r="D38" s="150"/>
      <c r="E38" s="206"/>
      <c r="F38" s="206"/>
      <c r="G38" s="206"/>
      <c r="H38" s="206"/>
      <c r="I38" s="206"/>
      <c r="J38" s="206"/>
      <c r="K38" s="206"/>
      <c r="L38" s="206"/>
      <c r="M38" s="206"/>
      <c r="N38" s="207">
        <f>SUM(N37*H37)</f>
        <v>18000849.479161821</v>
      </c>
      <c r="O38" s="207">
        <f>SUM(O37*I37)</f>
        <v>21844969.759333327</v>
      </c>
      <c r="P38" s="207">
        <f>SUM(P37*J37)</f>
        <v>24117859.943225138</v>
      </c>
      <c r="Q38" s="207">
        <f>SUM(Q37*K37)</f>
        <v>28316466.745883934</v>
      </c>
      <c r="R38" s="207">
        <f>SUM(R37*L37)</f>
        <v>33392307.454494603</v>
      </c>
      <c r="S38" s="208"/>
      <c r="T38" s="207">
        <f>SUM(T37*H37)</f>
        <v>18000849.479161821</v>
      </c>
      <c r="U38" s="207">
        <f>SUM(U37*I37)</f>
        <v>21844969.759333327</v>
      </c>
      <c r="V38" s="207">
        <f>SUM(V37*J37)</f>
        <v>24117859.943225138</v>
      </c>
      <c r="W38" s="207">
        <f>SUM(W37*K37)</f>
        <v>28316466.745883934</v>
      </c>
      <c r="X38" s="207">
        <f>SUM(X37*L37)</f>
        <v>33392307.454494603</v>
      </c>
      <c r="Y38" s="149"/>
      <c r="Z38" s="209">
        <f>IFERROR(Z37/SUMPRODUCT(N33:N36,H33:H36), 0)</f>
        <v>0</v>
      </c>
      <c r="AA38" s="209">
        <f>IFERROR(AA37/SUMPRODUCT(O33:O36,I33:I36), 0)</f>
        <v>0</v>
      </c>
      <c r="AB38" s="209">
        <f>IFERROR(AB37/SUMPRODUCT(P33:P36,J33:J36), 0)</f>
        <v>0</v>
      </c>
      <c r="AC38" s="209">
        <f>IFERROR(AC37/SUMPRODUCT(Q33:Q36,K33:K36), 0)</f>
        <v>0</v>
      </c>
      <c r="AD38" s="209">
        <f>IFERROR(AD37/SUMPRODUCT(R33:R36,L33:L36), 0)</f>
        <v>0</v>
      </c>
      <c r="AE38" s="210"/>
      <c r="AF38" s="156"/>
    </row>
    <row r="39" spans="1:32" ht="13" x14ac:dyDescent="0.3">
      <c r="A39" s="211">
        <f t="shared" si="6"/>
        <v>2</v>
      </c>
      <c r="B39" s="212"/>
      <c r="C39" s="148"/>
      <c r="D39" s="150"/>
      <c r="E39" s="206"/>
      <c r="F39" s="206"/>
      <c r="G39" s="206"/>
      <c r="H39" s="206"/>
      <c r="I39" s="206"/>
      <c r="J39" s="206"/>
      <c r="K39" s="206"/>
      <c r="L39" s="206"/>
      <c r="M39" s="206"/>
      <c r="N39" s="213"/>
      <c r="O39" s="206"/>
      <c r="P39" s="206"/>
      <c r="Q39" s="206"/>
      <c r="R39" s="214"/>
      <c r="S39" s="206"/>
      <c r="T39" s="206"/>
      <c r="U39" s="206"/>
      <c r="V39" s="206"/>
      <c r="W39" s="206"/>
      <c r="X39" s="206"/>
      <c r="Y39" s="149"/>
      <c r="Z39" s="210"/>
      <c r="AA39" s="210"/>
      <c r="AB39" s="210"/>
      <c r="AC39" s="210"/>
      <c r="AD39" s="215"/>
      <c r="AE39" s="210"/>
      <c r="AF39" s="156"/>
    </row>
    <row r="40" spans="1:32" ht="13" x14ac:dyDescent="0.3">
      <c r="A40" s="58">
        <v>3</v>
      </c>
      <c r="B40" s="147"/>
      <c r="C40" s="148"/>
      <c r="D40" s="149"/>
      <c r="E40" s="149"/>
      <c r="F40" s="150"/>
      <c r="G40" s="149"/>
      <c r="H40" s="151" t="s">
        <v>10</v>
      </c>
      <c r="I40" s="152"/>
      <c r="J40" s="152"/>
      <c r="K40" s="152"/>
      <c r="L40" s="153"/>
      <c r="M40" s="149"/>
      <c r="N40" s="151" t="s">
        <v>11</v>
      </c>
      <c r="O40" s="152"/>
      <c r="P40" s="152"/>
      <c r="Q40" s="152"/>
      <c r="R40" s="153"/>
      <c r="S40" s="154"/>
      <c r="T40" s="151" t="s">
        <v>12</v>
      </c>
      <c r="U40" s="152"/>
      <c r="V40" s="152"/>
      <c r="W40" s="152"/>
      <c r="X40" s="153"/>
      <c r="Y40" s="154"/>
      <c r="Z40" s="151" t="s">
        <v>13</v>
      </c>
      <c r="AA40" s="152"/>
      <c r="AB40" s="152"/>
      <c r="AC40" s="152"/>
      <c r="AD40" s="153"/>
      <c r="AE40" s="155"/>
      <c r="AF40" s="156"/>
    </row>
    <row r="41" spans="1:32" ht="13" x14ac:dyDescent="0.3">
      <c r="A41" s="59">
        <f t="shared" ref="A41:A48" si="7">A40</f>
        <v>3</v>
      </c>
      <c r="B41" s="157"/>
      <c r="C41" s="148"/>
      <c r="D41" s="149"/>
      <c r="E41" s="158"/>
      <c r="F41" s="159" t="s">
        <v>29</v>
      </c>
      <c r="G41" s="154"/>
      <c r="H41" s="160" t="s">
        <v>15</v>
      </c>
      <c r="I41" s="161" t="s">
        <v>16</v>
      </c>
      <c r="J41" s="161" t="s">
        <v>17</v>
      </c>
      <c r="K41" s="161" t="s">
        <v>18</v>
      </c>
      <c r="L41" s="162" t="s">
        <v>19</v>
      </c>
      <c r="M41" s="149"/>
      <c r="N41" s="160" t="s">
        <v>15</v>
      </c>
      <c r="O41" s="161" t="s">
        <v>16</v>
      </c>
      <c r="P41" s="161" t="s">
        <v>17</v>
      </c>
      <c r="Q41" s="161" t="s">
        <v>18</v>
      </c>
      <c r="R41" s="161" t="s">
        <v>19</v>
      </c>
      <c r="S41" s="163"/>
      <c r="T41" s="160" t="s">
        <v>15</v>
      </c>
      <c r="U41" s="161" t="s">
        <v>16</v>
      </c>
      <c r="V41" s="161" t="s">
        <v>17</v>
      </c>
      <c r="W41" s="161" t="s">
        <v>18</v>
      </c>
      <c r="X41" s="161" t="s">
        <v>19</v>
      </c>
      <c r="Y41" s="163"/>
      <c r="Z41" s="160" t="s">
        <v>15</v>
      </c>
      <c r="AA41" s="161" t="s">
        <v>16</v>
      </c>
      <c r="AB41" s="161" t="s">
        <v>17</v>
      </c>
      <c r="AC41" s="161" t="s">
        <v>18</v>
      </c>
      <c r="AD41" s="161" t="s">
        <v>19</v>
      </c>
      <c r="AE41" s="155"/>
      <c r="AF41" s="156"/>
    </row>
    <row r="42" spans="1:32" ht="13" x14ac:dyDescent="0.3">
      <c r="A42" s="164">
        <f t="shared" si="7"/>
        <v>3</v>
      </c>
      <c r="B42" s="52" t="s">
        <v>20</v>
      </c>
      <c r="C42" s="53"/>
      <c r="D42" s="165"/>
      <c r="E42" s="154"/>
      <c r="F42" s="166" t="s">
        <v>20</v>
      </c>
      <c r="G42" s="154"/>
      <c r="H42" s="167">
        <v>18087.481930469541</v>
      </c>
      <c r="I42" s="168">
        <v>19955.690946601429</v>
      </c>
      <c r="J42" s="168">
        <v>21561.67962577959</v>
      </c>
      <c r="K42" s="168">
        <v>22120.318248848591</v>
      </c>
      <c r="L42" s="169">
        <v>23812.421414490898</v>
      </c>
      <c r="M42" s="149"/>
      <c r="N42" s="170">
        <v>428.21809645246248</v>
      </c>
      <c r="O42" s="171">
        <v>468.50278779541202</v>
      </c>
      <c r="P42" s="171">
        <v>504.48870895848381</v>
      </c>
      <c r="Q42" s="171">
        <v>572.67210224259497</v>
      </c>
      <c r="R42" s="171">
        <v>615.42123278319923</v>
      </c>
      <c r="S42" s="163"/>
      <c r="T42" s="172">
        <v>428.21809645246248</v>
      </c>
      <c r="U42" s="173">
        <v>468.50278779541202</v>
      </c>
      <c r="V42" s="173">
        <v>504.48870895848381</v>
      </c>
      <c r="W42" s="173">
        <v>572.67210224259497</v>
      </c>
      <c r="X42" s="173">
        <v>615.42123278319923</v>
      </c>
      <c r="Y42" s="163"/>
      <c r="Z42" s="174">
        <v>0</v>
      </c>
      <c r="AA42" s="175">
        <v>0</v>
      </c>
      <c r="AB42" s="175">
        <v>0</v>
      </c>
      <c r="AC42" s="175">
        <v>0</v>
      </c>
      <c r="AD42" s="175">
        <v>0</v>
      </c>
      <c r="AE42" s="176"/>
      <c r="AF42" s="156"/>
    </row>
    <row r="43" spans="1:32" ht="13" x14ac:dyDescent="0.3">
      <c r="A43" s="164">
        <f t="shared" si="7"/>
        <v>3</v>
      </c>
      <c r="B43" s="52" t="s">
        <v>21</v>
      </c>
      <c r="C43" s="53"/>
      <c r="D43" s="177"/>
      <c r="E43" s="154"/>
      <c r="F43" s="178" t="s">
        <v>21</v>
      </c>
      <c r="G43" s="154"/>
      <c r="H43" s="167">
        <v>4654.8131308061284</v>
      </c>
      <c r="I43" s="168">
        <v>5105.4852619904259</v>
      </c>
      <c r="J43" s="168">
        <v>5597.2288506820641</v>
      </c>
      <c r="K43" s="168">
        <v>5387.1224904418741</v>
      </c>
      <c r="L43" s="169">
        <v>6002.0637225815271</v>
      </c>
      <c r="M43" s="149"/>
      <c r="N43" s="179">
        <v>813.60602229472136</v>
      </c>
      <c r="O43" s="171">
        <v>895.86167142063186</v>
      </c>
      <c r="P43" s="171">
        <v>960.65787545332648</v>
      </c>
      <c r="Q43" s="171">
        <v>1154.100511191823</v>
      </c>
      <c r="R43" s="171">
        <v>1221.1330207575679</v>
      </c>
      <c r="S43" s="163"/>
      <c r="T43" s="172">
        <v>813.60602229472136</v>
      </c>
      <c r="U43" s="173">
        <v>895.86167142063186</v>
      </c>
      <c r="V43" s="173">
        <v>960.65787545332648</v>
      </c>
      <c r="W43" s="173">
        <v>1154.100511191823</v>
      </c>
      <c r="X43" s="173">
        <v>1221.1330207575679</v>
      </c>
      <c r="Y43" s="163"/>
      <c r="Z43" s="180">
        <v>0</v>
      </c>
      <c r="AA43" s="181">
        <v>0</v>
      </c>
      <c r="AB43" s="181">
        <v>0</v>
      </c>
      <c r="AC43" s="181">
        <v>0</v>
      </c>
      <c r="AD43" s="181">
        <v>0</v>
      </c>
      <c r="AE43" s="176"/>
      <c r="AF43" s="156"/>
    </row>
    <row r="44" spans="1:32" ht="13" x14ac:dyDescent="0.3">
      <c r="A44" s="164">
        <f t="shared" si="7"/>
        <v>3</v>
      </c>
      <c r="B44" s="52" t="s">
        <v>22</v>
      </c>
      <c r="C44" s="53"/>
      <c r="D44" s="177">
        <v>3</v>
      </c>
      <c r="E44" s="154"/>
      <c r="F44" s="182" t="s">
        <v>22</v>
      </c>
      <c r="G44" s="154"/>
      <c r="H44" s="167">
        <v>113.499513571218</v>
      </c>
      <c r="I44" s="168">
        <v>125.7028715305737</v>
      </c>
      <c r="J44" s="168">
        <v>140.8343910067029</v>
      </c>
      <c r="K44" s="168">
        <v>156.50410126298939</v>
      </c>
      <c r="L44" s="169">
        <v>179.5286944433204</v>
      </c>
      <c r="M44" s="149"/>
      <c r="N44" s="179">
        <v>1092.2937919680401</v>
      </c>
      <c r="O44" s="171">
        <v>1211.917558207494</v>
      </c>
      <c r="P44" s="171">
        <v>1297.6760745787569</v>
      </c>
      <c r="Q44" s="171">
        <v>1409.111996044609</v>
      </c>
      <c r="R44" s="171">
        <v>1493.294198900956</v>
      </c>
      <c r="S44" s="163"/>
      <c r="T44" s="172">
        <v>1092.2937919680401</v>
      </c>
      <c r="U44" s="173">
        <v>1211.917558207494</v>
      </c>
      <c r="V44" s="173">
        <v>1297.6760745787569</v>
      </c>
      <c r="W44" s="173">
        <v>1409.111996044609</v>
      </c>
      <c r="X44" s="173">
        <v>1493.294198900956</v>
      </c>
      <c r="Y44" s="163"/>
      <c r="Z44" s="180">
        <v>0</v>
      </c>
      <c r="AA44" s="181">
        <v>0</v>
      </c>
      <c r="AB44" s="181">
        <v>0</v>
      </c>
      <c r="AC44" s="181">
        <v>0</v>
      </c>
      <c r="AD44" s="181">
        <v>0</v>
      </c>
      <c r="AE44" s="176"/>
      <c r="AF44" s="156"/>
    </row>
    <row r="45" spans="1:32" ht="13" x14ac:dyDescent="0.3">
      <c r="A45" s="164">
        <f t="shared" si="7"/>
        <v>3</v>
      </c>
      <c r="B45" s="52" t="s">
        <v>24</v>
      </c>
      <c r="C45" s="53"/>
      <c r="D45" s="177"/>
      <c r="E45" s="154"/>
      <c r="F45" s="183" t="s">
        <v>24</v>
      </c>
      <c r="G45" s="154"/>
      <c r="H45" s="184">
        <v>1.183817273049723</v>
      </c>
      <c r="I45" s="185">
        <v>1.2145728458008329</v>
      </c>
      <c r="J45" s="185">
        <v>1.2514837145873929</v>
      </c>
      <c r="K45" s="185">
        <v>1.2768638043190861</v>
      </c>
      <c r="L45" s="186">
        <v>1.302758602272106</v>
      </c>
      <c r="M45" s="149"/>
      <c r="N45" s="187">
        <v>412.85080961778363</v>
      </c>
      <c r="O45" s="188">
        <v>450.71384854559187</v>
      </c>
      <c r="P45" s="188">
        <v>486.16088476203163</v>
      </c>
      <c r="Q45" s="188">
        <v>521.62436012175601</v>
      </c>
      <c r="R45" s="188">
        <v>561.67265132752755</v>
      </c>
      <c r="S45" s="163"/>
      <c r="T45" s="189">
        <v>412.85080961778363</v>
      </c>
      <c r="U45" s="190">
        <v>450.71384854559187</v>
      </c>
      <c r="V45" s="190">
        <v>486.16088476203163</v>
      </c>
      <c r="W45" s="190">
        <v>521.62436012175601</v>
      </c>
      <c r="X45" s="190">
        <v>561.67265132752755</v>
      </c>
      <c r="Y45" s="163"/>
      <c r="Z45" s="191">
        <v>0</v>
      </c>
      <c r="AA45" s="192">
        <v>0</v>
      </c>
      <c r="AB45" s="192">
        <v>0</v>
      </c>
      <c r="AC45" s="192">
        <v>0</v>
      </c>
      <c r="AD45" s="192">
        <v>0</v>
      </c>
      <c r="AE45" s="176"/>
      <c r="AF45" s="156"/>
    </row>
    <row r="46" spans="1:32" ht="13" x14ac:dyDescent="0.3">
      <c r="A46" s="164">
        <f t="shared" si="7"/>
        <v>3</v>
      </c>
      <c r="B46" s="56"/>
      <c r="C46" s="60"/>
      <c r="D46" s="193"/>
      <c r="E46" s="194"/>
      <c r="F46" s="195" t="s">
        <v>25</v>
      </c>
      <c r="G46" s="194"/>
      <c r="H46" s="196">
        <f>SUM(H42:H45)</f>
        <v>22856.978392119938</v>
      </c>
      <c r="I46" s="197">
        <f>SUM(I42:I45)</f>
        <v>25188.093652968233</v>
      </c>
      <c r="J46" s="197">
        <f>SUM(J42:J45)</f>
        <v>27300.994351182944</v>
      </c>
      <c r="K46" s="197">
        <f>SUM(K42:K45)</f>
        <v>27665.221704357773</v>
      </c>
      <c r="L46" s="198">
        <f>SUM(L42:L45)</f>
        <v>29995.316590118018</v>
      </c>
      <c r="M46" s="199"/>
      <c r="N46" s="200">
        <f>IF(H46=0,0,SUMPRODUCT(N42:N45,H42:H45)/H46)</f>
        <v>509.99893475718835</v>
      </c>
      <c r="O46" s="201">
        <f>IF(I46=0,0,SUMPRODUCT(O42:O45,I42:I45)/I46)</f>
        <v>558.83523925815246</v>
      </c>
      <c r="P46" s="201">
        <f>IF(J46=0,0,SUMPRODUCT(P42:P45,J42:J45)/J46)</f>
        <v>602.10304152944695</v>
      </c>
      <c r="Q46" s="201">
        <f>IF(K46=0,0,SUMPRODUCT(Q42:Q45,K42:K45)/K46)</f>
        <v>690.62044858619288</v>
      </c>
      <c r="R46" s="201">
        <f>IF(L46=0,0,SUMPRODUCT(R42:R45,L42:L45)/L46)</f>
        <v>741.87611128439607</v>
      </c>
      <c r="S46" s="202"/>
      <c r="T46" s="200">
        <f>IF(H46=0,0,SUMPRODUCT(T42:T45,H42:H45)/H46)</f>
        <v>509.99893475718835</v>
      </c>
      <c r="U46" s="201">
        <f>IF(I46=0,0,SUMPRODUCT(U42:U45,I42:I45)/I46)</f>
        <v>558.83523925815246</v>
      </c>
      <c r="V46" s="201">
        <f>IF(J46=0,0,SUMPRODUCT(V42:V45,J42:J45)/J46)</f>
        <v>602.10304152944695</v>
      </c>
      <c r="W46" s="201">
        <f>IF(K46=0,0,SUMPRODUCT(W42:W45,K42:K45)/K46)</f>
        <v>690.62044858619288</v>
      </c>
      <c r="X46" s="201">
        <f>IF(L46=0,0,SUMPRODUCT(X42:X45,L42:L45)/L46)</f>
        <v>741.87611128439607</v>
      </c>
      <c r="Y46" s="202"/>
      <c r="Z46" s="203">
        <f>SUM(Z42:Z45)</f>
        <v>0</v>
      </c>
      <c r="AA46" s="204">
        <f>SUM(AA42:AA45)</f>
        <v>0</v>
      </c>
      <c r="AB46" s="204">
        <f>SUM(AB42:AB45)</f>
        <v>0</v>
      </c>
      <c r="AC46" s="204">
        <f>SUM(AC42:AC45)</f>
        <v>0</v>
      </c>
      <c r="AD46" s="204">
        <f>SUM(AD42:AD45)</f>
        <v>0</v>
      </c>
      <c r="AE46" s="205"/>
      <c r="AF46" s="51"/>
    </row>
    <row r="47" spans="1:32" ht="15.65" customHeight="1" x14ac:dyDescent="0.3">
      <c r="A47" s="164">
        <f t="shared" si="7"/>
        <v>3</v>
      </c>
      <c r="B47" s="157"/>
      <c r="C47" s="148"/>
      <c r="D47" s="150"/>
      <c r="E47" s="206"/>
      <c r="F47" s="206"/>
      <c r="G47" s="206"/>
      <c r="H47" s="206"/>
      <c r="I47" s="206"/>
      <c r="J47" s="206"/>
      <c r="K47" s="206"/>
      <c r="L47" s="206"/>
      <c r="M47" s="206"/>
      <c r="N47" s="207">
        <f>SUM(N46*H46)</f>
        <v>11657034.631749241</v>
      </c>
      <c r="O47" s="207">
        <f>SUM(O46*I46)</f>
        <v>14075994.343013253</v>
      </c>
      <c r="P47" s="207">
        <f>SUM(P46*J46)</f>
        <v>16438011.735625502</v>
      </c>
      <c r="Q47" s="207">
        <f>SUM(Q46*K46)</f>
        <v>19106167.823700044</v>
      </c>
      <c r="R47" s="207">
        <f>SUM(R46*L46)</f>
        <v>22252808.828621086</v>
      </c>
      <c r="S47" s="208"/>
      <c r="T47" s="207">
        <f>SUM(T46*H46)</f>
        <v>11657034.631749241</v>
      </c>
      <c r="U47" s="207">
        <f>SUM(U46*I46)</f>
        <v>14075994.343013253</v>
      </c>
      <c r="V47" s="207">
        <f>SUM(V46*J46)</f>
        <v>16438011.735625502</v>
      </c>
      <c r="W47" s="207">
        <f>SUM(W46*K46)</f>
        <v>19106167.823700044</v>
      </c>
      <c r="X47" s="207">
        <f>SUM(X46*L46)</f>
        <v>22252808.828621086</v>
      </c>
      <c r="Y47" s="149"/>
      <c r="Z47" s="209">
        <f>IFERROR(Z46/SUMPRODUCT(N42:N45,H42:H45), 0)</f>
        <v>0</v>
      </c>
      <c r="AA47" s="209">
        <f>IFERROR(AA46/SUMPRODUCT(O42:O45,I42:I45), 0)</f>
        <v>0</v>
      </c>
      <c r="AB47" s="209">
        <f>IFERROR(AB46/SUMPRODUCT(P42:P45,J42:J45), 0)</f>
        <v>0</v>
      </c>
      <c r="AC47" s="209">
        <f>IFERROR(AC46/SUMPRODUCT(Q42:Q45,K42:K45), 0)</f>
        <v>0</v>
      </c>
      <c r="AD47" s="209">
        <f>IFERROR(AD46/SUMPRODUCT(R42:R45,L42:L45), 0)</f>
        <v>0</v>
      </c>
      <c r="AE47" s="210"/>
      <c r="AF47" s="156"/>
    </row>
    <row r="48" spans="1:32" ht="13" x14ac:dyDescent="0.3">
      <c r="A48" s="211">
        <f t="shared" si="7"/>
        <v>3</v>
      </c>
      <c r="B48" s="212"/>
      <c r="C48" s="148"/>
      <c r="D48" s="150"/>
      <c r="E48" s="206"/>
      <c r="F48" s="206"/>
      <c r="G48" s="206"/>
      <c r="H48" s="206"/>
      <c r="I48" s="206"/>
      <c r="J48" s="206"/>
      <c r="K48" s="206"/>
      <c r="L48" s="206"/>
      <c r="M48" s="206"/>
      <c r="N48" s="213"/>
      <c r="O48" s="206"/>
      <c r="P48" s="206"/>
      <c r="Q48" s="206"/>
      <c r="R48" s="214"/>
      <c r="S48" s="206"/>
      <c r="T48" s="206"/>
      <c r="U48" s="206"/>
      <c r="V48" s="206"/>
      <c r="W48" s="206"/>
      <c r="X48" s="206"/>
      <c r="Y48" s="149"/>
      <c r="Z48" s="210"/>
      <c r="AA48" s="210"/>
      <c r="AB48" s="210"/>
      <c r="AC48" s="210"/>
      <c r="AD48" s="215"/>
      <c r="AE48" s="210"/>
      <c r="AF48" s="156"/>
    </row>
    <row r="49" spans="1:32" ht="13" x14ac:dyDescent="0.3">
      <c r="A49" s="137" t="e">
        <f>#REF!+1</f>
        <v>#REF!</v>
      </c>
      <c r="B49" s="135"/>
      <c r="C49" s="124"/>
      <c r="D49" s="7"/>
      <c r="E49" s="120"/>
      <c r="F49" s="120"/>
      <c r="G49" s="120"/>
      <c r="H49" s="120"/>
      <c r="I49" s="120"/>
      <c r="J49" s="120"/>
      <c r="K49" s="120"/>
      <c r="L49" s="120"/>
      <c r="M49" s="120"/>
      <c r="N49" s="129"/>
      <c r="O49" s="120"/>
      <c r="P49" s="120"/>
      <c r="Q49" s="120"/>
      <c r="R49" s="25"/>
      <c r="S49" s="120"/>
      <c r="T49" s="120"/>
      <c r="U49" s="120"/>
      <c r="V49" s="120"/>
      <c r="W49" s="120"/>
      <c r="X49" s="120"/>
      <c r="Y49" s="126"/>
      <c r="Z49" s="5"/>
      <c r="AA49" s="5"/>
      <c r="AB49" s="5"/>
      <c r="AC49" s="5"/>
      <c r="AD49" s="3"/>
      <c r="AE49" s="5"/>
      <c r="AF49" s="132"/>
    </row>
    <row r="50" spans="1:32" x14ac:dyDescent="0.25">
      <c r="A50" s="130"/>
      <c r="B50" s="124"/>
      <c r="C50" s="124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90"/>
    </row>
    <row r="51" spans="1:32" ht="15.5" x14ac:dyDescent="0.35">
      <c r="A51" s="130"/>
      <c r="B51" s="124"/>
      <c r="C51" s="124"/>
      <c r="D51" s="91" t="s">
        <v>30</v>
      </c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32"/>
    </row>
    <row r="52" spans="1:32" ht="13" x14ac:dyDescent="0.3">
      <c r="A52" s="130"/>
      <c r="B52" s="124"/>
      <c r="C52" s="124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07" t="s">
        <v>31</v>
      </c>
      <c r="U52" s="138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32"/>
    </row>
    <row r="53" spans="1:32" ht="13" x14ac:dyDescent="0.3">
      <c r="A53" s="130"/>
      <c r="B53" s="124"/>
      <c r="C53" s="124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2" t="s">
        <v>32</v>
      </c>
      <c r="U53" s="120"/>
      <c r="V53" s="108">
        <f>T15</f>
        <v>630.92625343477096</v>
      </c>
      <c r="W53" s="120"/>
      <c r="X53" s="120"/>
      <c r="Y53" s="120"/>
      <c r="Z53" s="120"/>
      <c r="AA53" s="120"/>
      <c r="AB53" s="120"/>
      <c r="AC53" s="120"/>
      <c r="AD53" s="120"/>
      <c r="AE53" s="120"/>
      <c r="AF53" s="132"/>
    </row>
    <row r="54" spans="1:32" ht="13" x14ac:dyDescent="0.3">
      <c r="A54" s="130"/>
      <c r="B54" s="124"/>
      <c r="C54" s="124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2" t="s">
        <v>33</v>
      </c>
      <c r="U54" s="120"/>
      <c r="V54" s="109">
        <f>U15</f>
        <v>733.02663335733132</v>
      </c>
      <c r="W54" s="120"/>
      <c r="X54" s="120"/>
      <c r="Y54" s="120"/>
      <c r="Z54" s="120"/>
      <c r="AA54" s="120"/>
      <c r="AB54" s="120"/>
      <c r="AC54" s="120"/>
      <c r="AD54" s="120"/>
      <c r="AE54" s="120"/>
      <c r="AF54" s="132"/>
    </row>
    <row r="55" spans="1:32" ht="13" x14ac:dyDescent="0.3">
      <c r="A55" s="130"/>
      <c r="B55" s="124"/>
      <c r="C55" s="124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2" t="s">
        <v>34</v>
      </c>
      <c r="U55" s="120"/>
      <c r="V55" s="109">
        <f>V15</f>
        <v>821.65159361459644</v>
      </c>
      <c r="W55" s="120"/>
      <c r="X55" s="120"/>
      <c r="Y55" s="120"/>
      <c r="Z55" s="120"/>
      <c r="AA55" s="120"/>
      <c r="AB55" s="120"/>
      <c r="AC55" s="120"/>
      <c r="AD55" s="120"/>
      <c r="AE55" s="120"/>
      <c r="AF55" s="132"/>
    </row>
    <row r="56" spans="1:32" ht="13" x14ac:dyDescent="0.3">
      <c r="A56" s="130"/>
      <c r="B56" s="124"/>
      <c r="C56" s="124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2" t="s">
        <v>35</v>
      </c>
      <c r="U56" s="120"/>
      <c r="V56" s="109">
        <f>W15</f>
        <v>898.16649450107434</v>
      </c>
      <c r="W56" s="120"/>
      <c r="X56" s="120"/>
      <c r="Y56" s="120"/>
      <c r="Z56" s="120"/>
      <c r="AA56" s="120"/>
      <c r="AB56" s="120"/>
      <c r="AC56" s="120"/>
      <c r="AD56" s="120"/>
      <c r="AE56" s="120"/>
      <c r="AF56" s="132"/>
    </row>
    <row r="57" spans="1:32" ht="13" x14ac:dyDescent="0.3">
      <c r="A57" s="130"/>
      <c r="B57" s="124"/>
      <c r="C57" s="124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2" t="s">
        <v>36</v>
      </c>
      <c r="U57" s="120"/>
      <c r="V57" s="109">
        <f>X15</f>
        <v>966.90042410797662</v>
      </c>
      <c r="W57" s="120"/>
      <c r="X57" s="120"/>
      <c r="Y57" s="120"/>
      <c r="Z57" s="120"/>
      <c r="AA57" s="120"/>
      <c r="AB57" s="120"/>
      <c r="AC57" s="120"/>
      <c r="AD57" s="120"/>
      <c r="AE57" s="120"/>
      <c r="AF57" s="132"/>
    </row>
    <row r="58" spans="1:32" ht="13" x14ac:dyDescent="0.3">
      <c r="A58" s="130"/>
      <c r="B58" s="124"/>
      <c r="C58" s="124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2"/>
      <c r="U58" s="120"/>
      <c r="V58" s="109"/>
      <c r="W58" s="120"/>
      <c r="X58" s="120"/>
      <c r="Y58" s="120"/>
      <c r="Z58" s="120"/>
      <c r="AA58" s="120"/>
      <c r="AB58" s="120"/>
      <c r="AC58" s="120"/>
      <c r="AD58" s="120"/>
      <c r="AE58" s="120"/>
      <c r="AF58" s="132"/>
    </row>
    <row r="59" spans="1:32" ht="13" x14ac:dyDescent="0.3">
      <c r="A59" s="130"/>
      <c r="B59" s="124"/>
      <c r="C59" s="124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2" t="s">
        <v>37</v>
      </c>
      <c r="U59" s="120"/>
      <c r="V59" s="109">
        <f>T13</f>
        <v>250.03375219691924</v>
      </c>
      <c r="W59" s="120"/>
      <c r="X59" s="120"/>
      <c r="Y59" s="120"/>
      <c r="Z59" s="120"/>
      <c r="AA59" s="120"/>
      <c r="AB59" s="120"/>
      <c r="AC59" s="120"/>
      <c r="AD59" s="120"/>
      <c r="AE59" s="120"/>
      <c r="AF59" s="132"/>
    </row>
    <row r="60" spans="1:32" ht="13" x14ac:dyDescent="0.3">
      <c r="A60" s="130"/>
      <c r="B60" s="124"/>
      <c r="C60" s="124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2" t="s">
        <v>38</v>
      </c>
      <c r="U60" s="120"/>
      <c r="V60" s="109">
        <f>U13</f>
        <v>285.81492737152689</v>
      </c>
      <c r="W60" s="120"/>
      <c r="X60" s="120"/>
      <c r="Y60" s="120"/>
      <c r="Z60" s="120"/>
      <c r="AA60" s="120"/>
      <c r="AB60" s="120"/>
      <c r="AC60" s="120"/>
      <c r="AD60" s="120"/>
      <c r="AE60" s="120"/>
      <c r="AF60" s="132"/>
    </row>
    <row r="61" spans="1:32" ht="13" x14ac:dyDescent="0.3">
      <c r="A61" s="130"/>
      <c r="B61" s="124"/>
      <c r="C61" s="124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2" t="s">
        <v>39</v>
      </c>
      <c r="U61" s="120"/>
      <c r="V61" s="109">
        <f>V13</f>
        <v>318.46257156323355</v>
      </c>
      <c r="W61" s="120"/>
      <c r="X61" s="120"/>
      <c r="Y61" s="120"/>
      <c r="Z61" s="120"/>
      <c r="AA61" s="120"/>
      <c r="AB61" s="120"/>
      <c r="AC61" s="120"/>
      <c r="AD61" s="120"/>
      <c r="AE61" s="120"/>
      <c r="AF61" s="132"/>
    </row>
    <row r="62" spans="1:32" ht="13" x14ac:dyDescent="0.3">
      <c r="A62" s="130"/>
      <c r="B62" s="124"/>
      <c r="C62" s="124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2" t="s">
        <v>40</v>
      </c>
      <c r="U62" s="120"/>
      <c r="V62" s="109">
        <f>W13</f>
        <v>351.50298363062109</v>
      </c>
      <c r="W62" s="120"/>
      <c r="X62" s="120"/>
      <c r="Y62" s="120"/>
      <c r="Z62" s="120"/>
      <c r="AA62" s="120"/>
      <c r="AB62" s="120"/>
      <c r="AC62" s="120"/>
      <c r="AD62" s="120"/>
      <c r="AE62" s="120"/>
      <c r="AF62" s="132"/>
    </row>
    <row r="63" spans="1:32" ht="13" x14ac:dyDescent="0.3">
      <c r="A63" s="130"/>
      <c r="B63" s="124"/>
      <c r="C63" s="124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2" t="s">
        <v>41</v>
      </c>
      <c r="U63" s="120"/>
      <c r="V63" s="109">
        <f>X13</f>
        <v>380.46212699318897</v>
      </c>
      <c r="W63" s="120"/>
      <c r="X63" s="120"/>
      <c r="Y63" s="120"/>
      <c r="Z63" s="120"/>
      <c r="AA63" s="120"/>
      <c r="AB63" s="120"/>
      <c r="AC63" s="120"/>
      <c r="AD63" s="120"/>
      <c r="AE63" s="120"/>
      <c r="AF63" s="132"/>
    </row>
    <row r="64" spans="1:32" ht="13" x14ac:dyDescent="0.3">
      <c r="A64" s="130"/>
      <c r="B64" s="124"/>
      <c r="C64" s="124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2"/>
      <c r="U64" s="120"/>
      <c r="V64" s="109"/>
      <c r="W64" s="120"/>
      <c r="X64" s="120"/>
      <c r="Y64" s="120"/>
      <c r="Z64" s="120"/>
      <c r="AA64" s="120"/>
      <c r="AB64" s="120"/>
      <c r="AC64" s="120"/>
      <c r="AD64" s="120"/>
      <c r="AE64" s="120"/>
      <c r="AF64" s="132"/>
    </row>
    <row r="65" spans="1:32" ht="13" x14ac:dyDescent="0.3">
      <c r="A65" s="130"/>
      <c r="B65" s="124"/>
      <c r="C65" s="124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2" t="s">
        <v>42</v>
      </c>
      <c r="U65" s="120"/>
      <c r="V65" s="109">
        <f>T14</f>
        <v>383.6690993458372</v>
      </c>
      <c r="W65" s="120"/>
      <c r="X65" s="120"/>
      <c r="Y65" s="120"/>
      <c r="Z65" s="120"/>
      <c r="AA65" s="120"/>
      <c r="AB65" s="120"/>
      <c r="AC65" s="120"/>
      <c r="AD65" s="120"/>
      <c r="AE65" s="120"/>
      <c r="AF65" s="132"/>
    </row>
    <row r="66" spans="1:32" ht="13" x14ac:dyDescent="0.3">
      <c r="A66" s="130"/>
      <c r="B66" s="124"/>
      <c r="C66" s="124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2" t="s">
        <v>43</v>
      </c>
      <c r="U66" s="120"/>
      <c r="V66" s="109">
        <f>U14</f>
        <v>447.43558994810707</v>
      </c>
      <c r="W66" s="120"/>
      <c r="X66" s="120"/>
      <c r="Y66" s="120"/>
      <c r="Z66" s="120"/>
      <c r="AA66" s="120"/>
      <c r="AB66" s="120"/>
      <c r="AC66" s="120"/>
      <c r="AD66" s="120"/>
      <c r="AE66" s="120"/>
      <c r="AF66" s="132"/>
    </row>
    <row r="67" spans="1:32" ht="13" x14ac:dyDescent="0.3">
      <c r="A67" s="130"/>
      <c r="B67" s="124"/>
      <c r="C67" s="124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2" t="s">
        <v>44</v>
      </c>
      <c r="U67" s="120"/>
      <c r="V67" s="109">
        <f>V14</f>
        <v>517.34629833396957</v>
      </c>
      <c r="W67" s="120"/>
      <c r="X67" s="120"/>
      <c r="Y67" s="120"/>
      <c r="Z67" s="120"/>
      <c r="AA67" s="120"/>
      <c r="AB67" s="120"/>
      <c r="AC67" s="120"/>
      <c r="AD67" s="120"/>
      <c r="AE67" s="120"/>
      <c r="AF67" s="132"/>
    </row>
    <row r="68" spans="1:32" ht="13" x14ac:dyDescent="0.3">
      <c r="A68" s="130"/>
      <c r="B68" s="124"/>
      <c r="C68" s="124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2" t="s">
        <v>45</v>
      </c>
      <c r="U68" s="120"/>
      <c r="V68" s="109">
        <f>W14</f>
        <v>567.83820527204296</v>
      </c>
      <c r="W68" s="120"/>
      <c r="X68" s="120"/>
      <c r="Y68" s="120"/>
      <c r="Z68" s="120"/>
      <c r="AA68" s="120"/>
      <c r="AB68" s="120"/>
      <c r="AC68" s="120"/>
      <c r="AD68" s="120"/>
      <c r="AE68" s="120"/>
      <c r="AF68" s="132"/>
    </row>
    <row r="69" spans="1:32" ht="13" x14ac:dyDescent="0.3">
      <c r="A69" s="130"/>
      <c r="B69" s="124"/>
      <c r="C69" s="124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2" t="s">
        <v>46</v>
      </c>
      <c r="U69" s="120"/>
      <c r="V69" s="109">
        <f>X14</f>
        <v>607.70381943123868</v>
      </c>
      <c r="W69" s="120"/>
      <c r="X69" s="120"/>
      <c r="Y69" s="120"/>
      <c r="Z69" s="120"/>
      <c r="AA69" s="120"/>
      <c r="AB69" s="120"/>
      <c r="AC69" s="120"/>
      <c r="AD69" s="120"/>
      <c r="AE69" s="120"/>
      <c r="AF69" s="132"/>
    </row>
    <row r="70" spans="1:32" ht="13" x14ac:dyDescent="0.3">
      <c r="A70" s="130"/>
      <c r="B70" s="124"/>
      <c r="C70" s="124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2"/>
      <c r="U70" s="120"/>
      <c r="V70" s="109"/>
      <c r="W70" s="120"/>
      <c r="X70" s="120"/>
      <c r="Y70" s="120"/>
      <c r="Z70" s="120"/>
      <c r="AA70" s="120"/>
      <c r="AB70" s="120"/>
      <c r="AC70" s="120"/>
      <c r="AD70" s="120"/>
      <c r="AE70" s="120"/>
      <c r="AF70" s="132"/>
    </row>
    <row r="71" spans="1:32" ht="13" x14ac:dyDescent="0.3">
      <c r="A71" s="130"/>
      <c r="B71" s="124"/>
      <c r="C71" s="124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2" t="s">
        <v>47</v>
      </c>
      <c r="U71" s="120"/>
      <c r="V71" s="110"/>
      <c r="W71" s="120"/>
      <c r="X71" s="120"/>
      <c r="Y71" s="120"/>
      <c r="Z71" s="120"/>
      <c r="AA71" s="120"/>
      <c r="AB71" s="120"/>
      <c r="AC71" s="120"/>
      <c r="AD71" s="120"/>
      <c r="AE71" s="120"/>
      <c r="AF71" s="132"/>
    </row>
    <row r="72" spans="1:32" ht="13" x14ac:dyDescent="0.3">
      <c r="A72" s="130"/>
      <c r="B72" s="124"/>
      <c r="C72" s="124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2" t="s">
        <v>48</v>
      </c>
      <c r="U72" s="120"/>
      <c r="V72" s="110"/>
      <c r="W72" s="120"/>
      <c r="X72" s="120"/>
      <c r="Y72" s="120"/>
      <c r="Z72" s="120"/>
      <c r="AA72" s="120"/>
      <c r="AB72" s="120"/>
      <c r="AC72" s="120"/>
      <c r="AD72" s="120"/>
      <c r="AE72" s="120"/>
      <c r="AF72" s="132"/>
    </row>
    <row r="73" spans="1:32" ht="13" x14ac:dyDescent="0.3">
      <c r="A73" s="130"/>
      <c r="B73" s="124"/>
      <c r="C73" s="124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2" t="s">
        <v>49</v>
      </c>
      <c r="U73" s="120"/>
      <c r="V73" s="110"/>
      <c r="W73" s="120"/>
      <c r="X73" s="120"/>
      <c r="Y73" s="120"/>
      <c r="Z73" s="120"/>
      <c r="AA73" s="120"/>
      <c r="AB73" s="120"/>
      <c r="AC73" s="120"/>
      <c r="AD73" s="120"/>
      <c r="AE73" s="120"/>
      <c r="AF73" s="132"/>
    </row>
    <row r="74" spans="1:32" ht="13" x14ac:dyDescent="0.3">
      <c r="A74" s="130"/>
      <c r="B74" s="124"/>
      <c r="C74" s="124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2" t="s">
        <v>50</v>
      </c>
      <c r="U74" s="120"/>
      <c r="V74" s="110"/>
      <c r="W74" s="120"/>
      <c r="X74" s="120"/>
      <c r="Y74" s="120"/>
      <c r="Z74" s="120"/>
      <c r="AA74" s="120"/>
      <c r="AB74" s="120"/>
      <c r="AC74" s="120"/>
      <c r="AD74" s="120"/>
      <c r="AE74" s="120"/>
      <c r="AF74" s="132"/>
    </row>
    <row r="75" spans="1:32" ht="13" x14ac:dyDescent="0.3">
      <c r="A75" s="130"/>
      <c r="B75" s="124"/>
      <c r="C75" s="124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2" t="s">
        <v>51</v>
      </c>
      <c r="U75" s="120"/>
      <c r="V75" s="110"/>
      <c r="W75" s="120"/>
      <c r="X75" s="120"/>
      <c r="Y75" s="120"/>
      <c r="Z75" s="120"/>
      <c r="AA75" s="120"/>
      <c r="AB75" s="120"/>
      <c r="AC75" s="120"/>
      <c r="AD75" s="120"/>
      <c r="AE75" s="120"/>
      <c r="AF75" s="132"/>
    </row>
    <row r="76" spans="1:32" ht="13" x14ac:dyDescent="0.3">
      <c r="A76" s="130"/>
      <c r="B76" s="124"/>
      <c r="C76" s="124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2"/>
      <c r="U76" s="120"/>
      <c r="V76" s="109"/>
      <c r="W76" s="120"/>
      <c r="X76" s="120"/>
      <c r="Y76" s="120"/>
      <c r="Z76" s="120"/>
      <c r="AA76" s="120"/>
      <c r="AB76" s="120"/>
      <c r="AC76" s="120"/>
      <c r="AD76" s="120"/>
      <c r="AE76" s="120"/>
      <c r="AF76" s="132"/>
    </row>
    <row r="77" spans="1:32" ht="13" x14ac:dyDescent="0.3">
      <c r="A77" s="130"/>
      <c r="B77" s="124"/>
      <c r="C77" s="124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2" t="s">
        <v>52</v>
      </c>
      <c r="U77" s="120"/>
      <c r="V77" s="110"/>
      <c r="W77" s="120"/>
      <c r="X77" s="120"/>
      <c r="Y77" s="120"/>
      <c r="Z77" s="120"/>
      <c r="AA77" s="120"/>
      <c r="AB77" s="120"/>
      <c r="AC77" s="120"/>
      <c r="AD77" s="120"/>
      <c r="AE77" s="120"/>
      <c r="AF77" s="132"/>
    </row>
    <row r="78" spans="1:32" ht="13" x14ac:dyDescent="0.3">
      <c r="A78" s="130"/>
      <c r="B78" s="124"/>
      <c r="C78" s="124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2" t="s">
        <v>53</v>
      </c>
      <c r="U78" s="120"/>
      <c r="V78" s="110"/>
      <c r="W78" s="120"/>
      <c r="X78" s="120"/>
      <c r="Y78" s="120"/>
      <c r="Z78" s="120"/>
      <c r="AA78" s="120"/>
      <c r="AB78" s="120"/>
      <c r="AC78" s="120"/>
      <c r="AD78" s="120"/>
      <c r="AE78" s="120"/>
      <c r="AF78" s="132"/>
    </row>
    <row r="79" spans="1:32" ht="13" x14ac:dyDescent="0.3">
      <c r="A79" s="130"/>
      <c r="B79" s="124"/>
      <c r="C79" s="124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2" t="s">
        <v>54</v>
      </c>
      <c r="U79" s="120"/>
      <c r="V79" s="110"/>
      <c r="W79" s="120"/>
      <c r="X79" s="120"/>
      <c r="Y79" s="120"/>
      <c r="Z79" s="120"/>
      <c r="AA79" s="120"/>
      <c r="AB79" s="120"/>
      <c r="AC79" s="120"/>
      <c r="AD79" s="120"/>
      <c r="AE79" s="120"/>
      <c r="AF79" s="132"/>
    </row>
    <row r="80" spans="1:32" ht="13" x14ac:dyDescent="0.3">
      <c r="A80" s="130"/>
      <c r="B80" s="124"/>
      <c r="C80" s="124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2" t="s">
        <v>55</v>
      </c>
      <c r="U80" s="120"/>
      <c r="V80" s="110"/>
      <c r="W80" s="120"/>
      <c r="X80" s="120"/>
      <c r="Y80" s="120"/>
      <c r="Z80" s="120"/>
      <c r="AA80" s="120"/>
      <c r="AB80" s="120"/>
      <c r="AC80" s="120"/>
      <c r="AD80" s="120"/>
      <c r="AE80" s="120"/>
      <c r="AF80" s="132"/>
    </row>
    <row r="81" spans="1:32" ht="13" x14ac:dyDescent="0.3">
      <c r="A81" s="130"/>
      <c r="B81" s="124"/>
      <c r="C81" s="124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2" t="s">
        <v>56</v>
      </c>
      <c r="U81" s="120"/>
      <c r="V81" s="110"/>
      <c r="W81" s="120"/>
      <c r="X81" s="120"/>
      <c r="Y81" s="120"/>
      <c r="Z81" s="120"/>
      <c r="AA81" s="120"/>
      <c r="AB81" s="120"/>
      <c r="AC81" s="120"/>
      <c r="AD81" s="120"/>
      <c r="AE81" s="120"/>
      <c r="AF81" s="132"/>
    </row>
    <row r="82" spans="1:32" ht="13" x14ac:dyDescent="0.3">
      <c r="A82" s="130"/>
      <c r="B82" s="124"/>
      <c r="C82" s="124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2"/>
      <c r="U82" s="120"/>
      <c r="V82" s="109"/>
      <c r="W82" s="120"/>
      <c r="X82" s="120"/>
      <c r="Y82" s="120"/>
      <c r="Z82" s="120"/>
      <c r="AA82" s="120"/>
      <c r="AB82" s="120"/>
      <c r="AC82" s="120"/>
      <c r="AD82" s="120"/>
      <c r="AE82" s="120"/>
      <c r="AF82" s="132"/>
    </row>
    <row r="83" spans="1:32" ht="13" x14ac:dyDescent="0.3">
      <c r="A83" s="130"/>
      <c r="B83" s="124"/>
      <c r="C83" s="124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2" t="s">
        <v>57</v>
      </c>
      <c r="U83" s="120"/>
      <c r="V83" s="109">
        <f>T16</f>
        <v>1947.2131802592355</v>
      </c>
      <c r="W83" s="120"/>
      <c r="X83" s="120"/>
      <c r="Y83" s="120"/>
      <c r="Z83" s="120"/>
      <c r="AA83" s="120"/>
      <c r="AB83" s="120"/>
      <c r="AC83" s="120"/>
      <c r="AD83" s="120"/>
      <c r="AE83" s="120"/>
      <c r="AF83" s="132"/>
    </row>
    <row r="84" spans="1:32" ht="13" x14ac:dyDescent="0.3">
      <c r="A84" s="130"/>
      <c r="B84" s="124"/>
      <c r="C84" s="124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2" t="s">
        <v>58</v>
      </c>
      <c r="U84" s="120"/>
      <c r="V84" s="109">
        <f>U16</f>
        <v>2119.6895255698605</v>
      </c>
      <c r="W84" s="120"/>
      <c r="X84" s="120"/>
      <c r="Y84" s="120"/>
      <c r="Z84" s="120"/>
      <c r="AA84" s="120"/>
      <c r="AB84" s="120"/>
      <c r="AC84" s="120"/>
      <c r="AD84" s="120"/>
      <c r="AE84" s="120"/>
      <c r="AF84" s="132"/>
    </row>
    <row r="85" spans="1:32" ht="13" x14ac:dyDescent="0.3">
      <c r="A85" s="130"/>
      <c r="B85" s="124"/>
      <c r="C85" s="124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2" t="s">
        <v>59</v>
      </c>
      <c r="U85" s="120"/>
      <c r="V85" s="109">
        <f>V16</f>
        <v>1872.9428960704445</v>
      </c>
      <c r="W85" s="120"/>
      <c r="X85" s="120"/>
      <c r="Y85" s="120"/>
      <c r="Z85" s="120"/>
      <c r="AA85" s="120"/>
      <c r="AB85" s="120"/>
      <c r="AC85" s="120"/>
      <c r="AD85" s="120"/>
      <c r="AE85" s="120"/>
      <c r="AF85" s="132"/>
    </row>
    <row r="86" spans="1:32" ht="13" x14ac:dyDescent="0.3">
      <c r="A86" s="130"/>
      <c r="B86" s="124"/>
      <c r="C86" s="124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2" t="s">
        <v>60</v>
      </c>
      <c r="U86" s="120"/>
      <c r="V86" s="109">
        <f>W16</f>
        <v>2024.4243858670477</v>
      </c>
      <c r="W86" s="120"/>
      <c r="X86" s="120"/>
      <c r="Y86" s="120"/>
      <c r="Z86" s="120"/>
      <c r="AA86" s="120"/>
      <c r="AB86" s="120"/>
      <c r="AC86" s="120"/>
      <c r="AD86" s="120"/>
      <c r="AE86" s="120"/>
      <c r="AF86" s="132"/>
    </row>
    <row r="87" spans="1:32" ht="13" x14ac:dyDescent="0.3">
      <c r="A87" s="130"/>
      <c r="B87" s="124"/>
      <c r="C87" s="124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2" t="s">
        <v>61</v>
      </c>
      <c r="U87" s="120"/>
      <c r="V87" s="111">
        <f>X16</f>
        <v>2204.8388272665165</v>
      </c>
      <c r="W87" s="120"/>
      <c r="X87" s="120"/>
      <c r="Y87" s="120"/>
      <c r="Z87" s="120"/>
      <c r="AA87" s="120"/>
      <c r="AB87" s="120"/>
      <c r="AC87" s="120"/>
      <c r="AD87" s="120"/>
      <c r="AE87" s="120"/>
      <c r="AF87" s="132"/>
    </row>
    <row r="88" spans="1:32" x14ac:dyDescent="0.25">
      <c r="A88" s="130"/>
      <c r="B88" s="124"/>
      <c r="C88" s="124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/>
      <c r="AC88" s="120"/>
      <c r="AD88" s="120"/>
      <c r="AE88" s="120"/>
      <c r="AF88" s="132"/>
    </row>
    <row r="89" spans="1:32" x14ac:dyDescent="0.25">
      <c r="A89" s="130"/>
      <c r="B89" s="124"/>
      <c r="C89" s="124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90"/>
    </row>
    <row r="90" spans="1:32" x14ac:dyDescent="0.25">
      <c r="A90" s="130"/>
      <c r="B90" s="124"/>
      <c r="C90" s="124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  <c r="AA90" s="120"/>
      <c r="AB90" s="120"/>
      <c r="AC90" s="120"/>
      <c r="AD90" s="120"/>
      <c r="AE90" s="120"/>
      <c r="AF90" s="132"/>
    </row>
    <row r="91" spans="1:32" ht="13" x14ac:dyDescent="0.3">
      <c r="A91" s="139"/>
      <c r="B91" s="121"/>
      <c r="C91" s="121"/>
      <c r="D91" s="61" t="s">
        <v>5</v>
      </c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  <c r="Z91" s="132"/>
      <c r="AA91" s="132"/>
      <c r="AB91" s="132"/>
      <c r="AC91" s="132"/>
      <c r="AD91" s="132"/>
      <c r="AE91" s="132"/>
      <c r="AF91" s="132"/>
    </row>
    <row r="92" spans="1:32" ht="13" x14ac:dyDescent="0.3">
      <c r="A92" s="140"/>
      <c r="B92" s="122"/>
      <c r="C92" s="122"/>
      <c r="D92" s="1" t="s">
        <v>6</v>
      </c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</row>
    <row r="93" spans="1:32" x14ac:dyDescent="0.25">
      <c r="A93" s="140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</row>
    <row r="94" spans="1:32" x14ac:dyDescent="0.25">
      <c r="A94" s="140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122"/>
      <c r="AF94" s="122"/>
    </row>
    <row r="95" spans="1:32" x14ac:dyDescent="0.25">
      <c r="A95" s="140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  <c r="AF95" s="122"/>
    </row>
    <row r="96" spans="1:32" x14ac:dyDescent="0.25">
      <c r="A96" s="140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  <c r="AF96" s="122"/>
    </row>
    <row r="97" spans="1:32" x14ac:dyDescent="0.25">
      <c r="A97" s="140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  <c r="AE97" s="122"/>
      <c r="AF97" s="122"/>
    </row>
    <row r="98" spans="1:32" x14ac:dyDescent="0.25">
      <c r="A98" s="140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  <c r="AE98" s="122"/>
      <c r="AF98" s="122"/>
    </row>
    <row r="99" spans="1:32" x14ac:dyDescent="0.25">
      <c r="A99" s="140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  <c r="AC99" s="122"/>
      <c r="AD99" s="122"/>
      <c r="AE99" s="122"/>
      <c r="AF99" s="122"/>
    </row>
    <row r="100" spans="1:32" x14ac:dyDescent="0.25">
      <c r="A100" s="140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  <c r="AE100" s="122"/>
      <c r="AF100" s="122"/>
    </row>
    <row r="101" spans="1:32" x14ac:dyDescent="0.25">
      <c r="A101" s="140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</row>
    <row r="102" spans="1:32" x14ac:dyDescent="0.25">
      <c r="A102" s="140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</row>
    <row r="103" spans="1:32" x14ac:dyDescent="0.25">
      <c r="A103" s="140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  <c r="AF103" s="122"/>
    </row>
    <row r="104" spans="1:32" x14ac:dyDescent="0.25">
      <c r="A104" s="140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  <c r="AF104" s="122"/>
    </row>
    <row r="105" spans="1:32" x14ac:dyDescent="0.25">
      <c r="J105" s="122"/>
      <c r="K105" s="122"/>
      <c r="L105" s="122"/>
      <c r="M105" s="122"/>
    </row>
    <row r="106" spans="1:32" x14ac:dyDescent="0.25">
      <c r="J106" s="122"/>
      <c r="K106" s="122"/>
      <c r="L106" s="122"/>
      <c r="M106" s="122"/>
    </row>
    <row r="107" spans="1:32" x14ac:dyDescent="0.25">
      <c r="J107" s="122"/>
      <c r="K107" s="122"/>
      <c r="L107" s="122"/>
      <c r="M107" s="122"/>
    </row>
    <row r="108" spans="1:32" x14ac:dyDescent="0.25">
      <c r="J108" s="122"/>
      <c r="K108" s="122"/>
      <c r="L108" s="122"/>
      <c r="M108" s="122"/>
    </row>
    <row r="109" spans="1:32" x14ac:dyDescent="0.25">
      <c r="J109" s="122"/>
      <c r="K109" s="122"/>
      <c r="L109" s="122"/>
      <c r="M109" s="122"/>
    </row>
    <row r="110" spans="1:32" x14ac:dyDescent="0.25">
      <c r="J110" s="122"/>
      <c r="K110" s="122"/>
      <c r="L110" s="122"/>
      <c r="M110" s="122"/>
    </row>
    <row r="111" spans="1:32" x14ac:dyDescent="0.25">
      <c r="J111" s="122"/>
      <c r="K111" s="122"/>
      <c r="L111" s="122"/>
      <c r="M111" s="122"/>
    </row>
    <row r="112" spans="1:32" x14ac:dyDescent="0.25">
      <c r="J112" s="122"/>
      <c r="K112" s="122"/>
      <c r="L112" s="122"/>
      <c r="M112" s="122"/>
    </row>
    <row r="113" spans="10:13" x14ac:dyDescent="0.25">
      <c r="J113" s="122"/>
      <c r="K113" s="122"/>
      <c r="L113" s="122"/>
      <c r="M113" s="122"/>
    </row>
    <row r="114" spans="10:13" x14ac:dyDescent="0.25">
      <c r="J114" s="122"/>
      <c r="K114" s="122"/>
      <c r="L114" s="122"/>
      <c r="M114" s="122"/>
    </row>
    <row r="115" spans="10:13" x14ac:dyDescent="0.25">
      <c r="J115" s="122"/>
      <c r="K115" s="122"/>
      <c r="L115" s="122"/>
      <c r="M115" s="122"/>
    </row>
    <row r="116" spans="10:13" x14ac:dyDescent="0.25">
      <c r="J116" s="122"/>
      <c r="K116" s="122"/>
      <c r="L116" s="122"/>
      <c r="M116" s="122"/>
    </row>
    <row r="117" spans="10:13" x14ac:dyDescent="0.25">
      <c r="J117" s="122"/>
      <c r="K117" s="122"/>
      <c r="L117" s="122"/>
      <c r="M117" s="122"/>
    </row>
    <row r="118" spans="10:13" x14ac:dyDescent="0.25">
      <c r="J118" s="122"/>
      <c r="K118" s="122"/>
      <c r="L118" s="122"/>
      <c r="M118" s="122"/>
    </row>
    <row r="119" spans="10:13" x14ac:dyDescent="0.25">
      <c r="J119" s="122"/>
      <c r="K119" s="122"/>
      <c r="L119" s="122"/>
      <c r="M119" s="122"/>
    </row>
    <row r="120" spans="10:13" x14ac:dyDescent="0.25">
      <c r="J120" s="122"/>
      <c r="K120" s="122"/>
      <c r="L120" s="122"/>
      <c r="M120" s="122"/>
    </row>
    <row r="121" spans="10:13" x14ac:dyDescent="0.25">
      <c r="J121" s="122"/>
      <c r="K121" s="122"/>
      <c r="L121" s="122"/>
      <c r="M121" s="122"/>
    </row>
    <row r="122" spans="10:13" x14ac:dyDescent="0.25">
      <c r="J122" s="122"/>
      <c r="K122" s="122"/>
      <c r="L122" s="122"/>
      <c r="M122" s="122"/>
    </row>
    <row r="123" spans="10:13" x14ac:dyDescent="0.25">
      <c r="J123" s="122"/>
      <c r="K123" s="122"/>
      <c r="L123" s="122"/>
      <c r="M123" s="122"/>
    </row>
    <row r="124" spans="10:13" x14ac:dyDescent="0.25">
      <c r="J124" s="122"/>
      <c r="K124" s="122"/>
      <c r="L124" s="122"/>
      <c r="M124" s="122"/>
    </row>
    <row r="125" spans="10:13" x14ac:dyDescent="0.25">
      <c r="J125" s="122"/>
      <c r="K125" s="122"/>
      <c r="L125" s="122"/>
      <c r="M125" s="122"/>
    </row>
    <row r="126" spans="10:13" x14ac:dyDescent="0.25">
      <c r="J126" s="122"/>
      <c r="K126" s="122"/>
      <c r="L126" s="122"/>
      <c r="M126" s="122"/>
    </row>
    <row r="127" spans="10:13" x14ac:dyDescent="0.25">
      <c r="J127" s="122"/>
      <c r="K127" s="122"/>
      <c r="L127" s="122"/>
      <c r="M127" s="122"/>
    </row>
    <row r="128" spans="10:13" x14ac:dyDescent="0.25">
      <c r="J128" s="122"/>
      <c r="K128" s="122"/>
      <c r="L128" s="122"/>
      <c r="M128" s="122"/>
    </row>
    <row r="129" spans="10:13" x14ac:dyDescent="0.25">
      <c r="J129" s="122"/>
      <c r="K129" s="122"/>
      <c r="L129" s="122"/>
      <c r="M129" s="122"/>
    </row>
    <row r="130" spans="10:13" x14ac:dyDescent="0.25">
      <c r="J130" s="122"/>
      <c r="K130" s="122"/>
      <c r="L130" s="122"/>
      <c r="M130" s="122"/>
    </row>
    <row r="131" spans="10:13" x14ac:dyDescent="0.25">
      <c r="J131" s="122"/>
      <c r="K131" s="122"/>
      <c r="L131" s="122"/>
      <c r="M131" s="122"/>
    </row>
    <row r="132" spans="10:13" x14ac:dyDescent="0.25">
      <c r="J132" s="122"/>
      <c r="K132" s="122"/>
      <c r="L132" s="122"/>
      <c r="M132" s="122"/>
    </row>
    <row r="133" spans="10:13" x14ac:dyDescent="0.25">
      <c r="J133" s="122"/>
      <c r="K133" s="122"/>
      <c r="L133" s="122"/>
      <c r="M133" s="122"/>
    </row>
    <row r="134" spans="10:13" x14ac:dyDescent="0.25">
      <c r="J134" s="122"/>
      <c r="K134" s="122"/>
      <c r="L134" s="122"/>
      <c r="M134" s="122"/>
    </row>
    <row r="135" spans="10:13" x14ac:dyDescent="0.25">
      <c r="J135" s="122"/>
      <c r="K135" s="122"/>
      <c r="L135" s="122"/>
      <c r="M135" s="122"/>
    </row>
    <row r="136" spans="10:13" x14ac:dyDescent="0.25">
      <c r="J136" s="122"/>
      <c r="K136" s="122"/>
      <c r="L136" s="122"/>
      <c r="M136" s="122"/>
    </row>
    <row r="137" spans="10:13" x14ac:dyDescent="0.25">
      <c r="J137" s="122"/>
      <c r="K137" s="122"/>
      <c r="L137" s="122"/>
      <c r="M137" s="122"/>
    </row>
    <row r="138" spans="10:13" x14ac:dyDescent="0.25">
      <c r="J138" s="122"/>
      <c r="K138" s="122"/>
      <c r="L138" s="122"/>
      <c r="M138" s="122"/>
    </row>
    <row r="139" spans="10:13" x14ac:dyDescent="0.25">
      <c r="J139" s="122"/>
      <c r="K139" s="122"/>
      <c r="L139" s="122"/>
      <c r="M139" s="122"/>
    </row>
    <row r="140" spans="10:13" x14ac:dyDescent="0.25">
      <c r="J140" s="122"/>
      <c r="K140" s="122"/>
      <c r="L140" s="122"/>
      <c r="M140" s="122"/>
    </row>
    <row r="141" spans="10:13" x14ac:dyDescent="0.25">
      <c r="J141" s="122"/>
      <c r="K141" s="122"/>
      <c r="L141" s="122"/>
      <c r="M141" s="122"/>
    </row>
    <row r="142" spans="10:13" x14ac:dyDescent="0.25">
      <c r="J142" s="122"/>
      <c r="K142" s="122"/>
      <c r="L142" s="122"/>
      <c r="M142" s="122"/>
    </row>
    <row r="143" spans="10:13" x14ac:dyDescent="0.25">
      <c r="J143" s="122"/>
      <c r="K143" s="122"/>
      <c r="L143" s="122"/>
      <c r="M143" s="122"/>
    </row>
    <row r="144" spans="10:13" x14ac:dyDescent="0.25">
      <c r="J144" s="122"/>
      <c r="K144" s="122"/>
      <c r="L144" s="122"/>
      <c r="M144" s="122"/>
    </row>
    <row r="145" spans="10:13" x14ac:dyDescent="0.25">
      <c r="J145" s="122"/>
      <c r="K145" s="122"/>
      <c r="L145" s="122"/>
      <c r="M145" s="122"/>
    </row>
    <row r="146" spans="10:13" x14ac:dyDescent="0.25">
      <c r="J146" s="122"/>
      <c r="K146" s="122"/>
      <c r="L146" s="122"/>
      <c r="M146" s="122"/>
    </row>
    <row r="147" spans="10:13" x14ac:dyDescent="0.25">
      <c r="J147" s="122"/>
      <c r="K147" s="122"/>
      <c r="L147" s="122"/>
      <c r="M147" s="122"/>
    </row>
    <row r="148" spans="10:13" x14ac:dyDescent="0.25">
      <c r="J148" s="122"/>
      <c r="K148" s="122"/>
      <c r="L148" s="122"/>
      <c r="M148" s="122"/>
    </row>
    <row r="149" spans="10:13" x14ac:dyDescent="0.25">
      <c r="J149" s="122"/>
      <c r="K149" s="122"/>
      <c r="L149" s="122"/>
      <c r="M149" s="122"/>
    </row>
    <row r="150" spans="10:13" x14ac:dyDescent="0.25">
      <c r="J150" s="122"/>
      <c r="K150" s="122"/>
      <c r="L150" s="122"/>
      <c r="M150" s="122"/>
    </row>
    <row r="151" spans="10:13" x14ac:dyDescent="0.25">
      <c r="J151" s="122"/>
      <c r="K151" s="122"/>
      <c r="L151" s="122"/>
      <c r="M151" s="122"/>
    </row>
    <row r="152" spans="10:13" x14ac:dyDescent="0.25">
      <c r="J152" s="122"/>
      <c r="K152" s="122"/>
      <c r="L152" s="122"/>
      <c r="M152" s="122"/>
    </row>
    <row r="153" spans="10:13" x14ac:dyDescent="0.25">
      <c r="J153" s="122"/>
      <c r="K153" s="122"/>
      <c r="L153" s="122"/>
      <c r="M153" s="122"/>
    </row>
    <row r="154" spans="10:13" x14ac:dyDescent="0.25">
      <c r="J154" s="122"/>
      <c r="K154" s="122"/>
      <c r="L154" s="122"/>
      <c r="M154" s="122"/>
    </row>
    <row r="155" spans="10:13" x14ac:dyDescent="0.25">
      <c r="J155" s="122"/>
      <c r="K155" s="122"/>
      <c r="L155" s="122"/>
      <c r="M155" s="122"/>
    </row>
    <row r="156" spans="10:13" x14ac:dyDescent="0.25">
      <c r="J156" s="122"/>
      <c r="K156" s="122"/>
      <c r="L156" s="122"/>
      <c r="M156" s="122"/>
    </row>
    <row r="157" spans="10:13" x14ac:dyDescent="0.25">
      <c r="J157" s="122"/>
      <c r="K157" s="122"/>
      <c r="L157" s="122"/>
      <c r="M157" s="122"/>
    </row>
    <row r="158" spans="10:13" x14ac:dyDescent="0.25">
      <c r="J158" s="122"/>
      <c r="K158" s="122"/>
      <c r="L158" s="122"/>
      <c r="M158" s="122"/>
    </row>
    <row r="159" spans="10:13" x14ac:dyDescent="0.25">
      <c r="J159" s="122"/>
      <c r="K159" s="122"/>
      <c r="L159" s="122"/>
      <c r="M159" s="122"/>
    </row>
    <row r="160" spans="10:13" x14ac:dyDescent="0.25">
      <c r="J160" s="122"/>
      <c r="K160" s="122"/>
      <c r="L160" s="122"/>
      <c r="M160" s="122"/>
    </row>
    <row r="161" spans="10:13" x14ac:dyDescent="0.25">
      <c r="J161" s="122"/>
      <c r="K161" s="122"/>
      <c r="L161" s="122"/>
      <c r="M161" s="122"/>
    </row>
    <row r="162" spans="10:13" x14ac:dyDescent="0.25">
      <c r="J162" s="122"/>
      <c r="K162" s="122"/>
      <c r="L162" s="122"/>
      <c r="M162" s="122"/>
    </row>
    <row r="163" spans="10:13" x14ac:dyDescent="0.25">
      <c r="J163" s="122"/>
      <c r="K163" s="122"/>
      <c r="L163" s="122"/>
      <c r="M163" s="122"/>
    </row>
    <row r="164" spans="10:13" x14ac:dyDescent="0.25">
      <c r="J164" s="122"/>
      <c r="K164" s="122"/>
      <c r="L164" s="122"/>
      <c r="M164" s="122"/>
    </row>
    <row r="165" spans="10:13" x14ac:dyDescent="0.25">
      <c r="J165" s="122"/>
      <c r="K165" s="122"/>
      <c r="L165" s="122"/>
      <c r="M165" s="122"/>
    </row>
    <row r="166" spans="10:13" x14ac:dyDescent="0.25">
      <c r="J166" s="122"/>
      <c r="K166" s="122"/>
      <c r="L166" s="122"/>
      <c r="M166" s="122"/>
    </row>
    <row r="167" spans="10:13" x14ac:dyDescent="0.25">
      <c r="J167" s="122"/>
      <c r="K167" s="122"/>
      <c r="L167" s="122"/>
      <c r="M167" s="122"/>
    </row>
    <row r="168" spans="10:13" x14ac:dyDescent="0.25">
      <c r="J168" s="122"/>
      <c r="K168" s="122"/>
      <c r="L168" s="122"/>
      <c r="M168" s="122"/>
    </row>
    <row r="169" spans="10:13" x14ac:dyDescent="0.25">
      <c r="J169" s="122"/>
      <c r="K169" s="122"/>
      <c r="L169" s="122"/>
      <c r="M169" s="122"/>
    </row>
    <row r="170" spans="10:13" x14ac:dyDescent="0.25">
      <c r="J170" s="122"/>
      <c r="K170" s="122"/>
      <c r="L170" s="122"/>
      <c r="M170" s="122"/>
    </row>
    <row r="171" spans="10:13" x14ac:dyDescent="0.25">
      <c r="J171" s="122"/>
      <c r="K171" s="122"/>
      <c r="L171" s="122"/>
      <c r="M171" s="122"/>
    </row>
    <row r="172" spans="10:13" x14ac:dyDescent="0.25">
      <c r="J172" s="122"/>
      <c r="K172" s="122"/>
      <c r="L172" s="122"/>
      <c r="M172" s="122"/>
    </row>
    <row r="173" spans="10:13" x14ac:dyDescent="0.25">
      <c r="J173" s="122"/>
      <c r="K173" s="122"/>
      <c r="L173" s="122"/>
      <c r="M173" s="122"/>
    </row>
    <row r="174" spans="10:13" x14ac:dyDescent="0.25">
      <c r="J174" s="122"/>
      <c r="K174" s="122"/>
      <c r="L174" s="122"/>
      <c r="M174" s="122"/>
    </row>
    <row r="175" spans="10:13" x14ac:dyDescent="0.25">
      <c r="J175" s="122"/>
      <c r="K175" s="122"/>
      <c r="L175" s="122"/>
      <c r="M175" s="122"/>
    </row>
    <row r="176" spans="10:13" x14ac:dyDescent="0.25">
      <c r="J176" s="122"/>
      <c r="K176" s="122"/>
      <c r="L176" s="122"/>
      <c r="M176" s="122"/>
    </row>
    <row r="177" spans="10:13" x14ac:dyDescent="0.25">
      <c r="J177" s="122"/>
      <c r="K177" s="122"/>
      <c r="L177" s="122"/>
      <c r="M177" s="122"/>
    </row>
    <row r="178" spans="10:13" x14ac:dyDescent="0.25">
      <c r="J178" s="122"/>
      <c r="K178" s="122"/>
      <c r="L178" s="122"/>
      <c r="M178" s="122"/>
    </row>
    <row r="179" spans="10:13" x14ac:dyDescent="0.25">
      <c r="J179" s="122"/>
      <c r="K179" s="122"/>
      <c r="L179" s="122"/>
      <c r="M179" s="122"/>
    </row>
    <row r="180" spans="10:13" x14ac:dyDescent="0.25">
      <c r="J180" s="122"/>
      <c r="K180" s="122"/>
      <c r="L180" s="122"/>
      <c r="M180" s="122"/>
    </row>
    <row r="181" spans="10:13" x14ac:dyDescent="0.25">
      <c r="J181" s="122"/>
      <c r="K181" s="122"/>
      <c r="L181" s="122"/>
      <c r="M181" s="122"/>
    </row>
    <row r="182" spans="10:13" x14ac:dyDescent="0.25">
      <c r="J182" s="122"/>
      <c r="K182" s="122"/>
      <c r="L182" s="122"/>
      <c r="M182" s="122"/>
    </row>
    <row r="183" spans="10:13" x14ac:dyDescent="0.25">
      <c r="J183" s="122"/>
      <c r="K183" s="122"/>
      <c r="L183" s="122"/>
      <c r="M183" s="122"/>
    </row>
    <row r="184" spans="10:13" x14ac:dyDescent="0.25">
      <c r="J184" s="122"/>
      <c r="K184" s="122"/>
      <c r="L184" s="122"/>
      <c r="M184" s="122"/>
    </row>
    <row r="185" spans="10:13" x14ac:dyDescent="0.25">
      <c r="J185" s="122"/>
      <c r="K185" s="122"/>
      <c r="L185" s="122"/>
      <c r="M185" s="122"/>
    </row>
    <row r="186" spans="10:13" x14ac:dyDescent="0.25">
      <c r="J186" s="122"/>
      <c r="K186" s="122"/>
      <c r="L186" s="122"/>
      <c r="M186" s="122"/>
    </row>
    <row r="187" spans="10:13" x14ac:dyDescent="0.25">
      <c r="J187" s="122"/>
      <c r="K187" s="122"/>
      <c r="L187" s="122"/>
      <c r="M187" s="122"/>
    </row>
    <row r="188" spans="10:13" x14ac:dyDescent="0.25">
      <c r="J188" s="122"/>
      <c r="K188" s="122"/>
      <c r="L188" s="122"/>
      <c r="M188" s="122"/>
    </row>
    <row r="189" spans="10:13" x14ac:dyDescent="0.25">
      <c r="J189" s="122"/>
      <c r="K189" s="122"/>
      <c r="L189" s="122"/>
      <c r="M189" s="122"/>
    </row>
    <row r="190" spans="10:13" x14ac:dyDescent="0.25">
      <c r="J190" s="122"/>
      <c r="K190" s="122"/>
      <c r="L190" s="122"/>
      <c r="M190" s="122"/>
    </row>
    <row r="191" spans="10:13" x14ac:dyDescent="0.25">
      <c r="J191" s="122"/>
      <c r="K191" s="122"/>
      <c r="L191" s="122"/>
      <c r="M191" s="122"/>
    </row>
    <row r="192" spans="10:13" x14ac:dyDescent="0.25">
      <c r="J192" s="122"/>
      <c r="K192" s="122"/>
      <c r="L192" s="122"/>
      <c r="M192" s="122"/>
    </row>
    <row r="193" spans="10:13" x14ac:dyDescent="0.25">
      <c r="J193" s="122"/>
      <c r="K193" s="122"/>
      <c r="L193" s="122"/>
      <c r="M193" s="122"/>
    </row>
    <row r="194" spans="10:13" x14ac:dyDescent="0.25">
      <c r="J194" s="122"/>
      <c r="K194" s="122"/>
      <c r="L194" s="122"/>
      <c r="M194" s="122"/>
    </row>
    <row r="195" spans="10:13" x14ac:dyDescent="0.25">
      <c r="J195" s="122"/>
      <c r="K195" s="122"/>
      <c r="L195" s="122"/>
      <c r="M195" s="122"/>
    </row>
    <row r="196" spans="10:13" x14ac:dyDescent="0.25">
      <c r="J196" s="122"/>
      <c r="K196" s="122"/>
      <c r="L196" s="122"/>
      <c r="M196" s="122"/>
    </row>
    <row r="197" spans="10:13" x14ac:dyDescent="0.25">
      <c r="J197" s="122"/>
      <c r="K197" s="122"/>
      <c r="L197" s="122"/>
      <c r="M197" s="122"/>
    </row>
    <row r="198" spans="10:13" x14ac:dyDescent="0.25">
      <c r="J198" s="122"/>
      <c r="K198" s="122"/>
      <c r="L198" s="122"/>
      <c r="M198" s="122"/>
    </row>
    <row r="199" spans="10:13" x14ac:dyDescent="0.25">
      <c r="J199" s="122"/>
      <c r="K199" s="122"/>
      <c r="L199" s="122"/>
      <c r="M199" s="122"/>
    </row>
    <row r="200" spans="10:13" x14ac:dyDescent="0.25">
      <c r="J200" s="122"/>
      <c r="K200" s="122"/>
      <c r="L200" s="122"/>
      <c r="M200" s="122"/>
    </row>
    <row r="201" spans="10:13" x14ac:dyDescent="0.25">
      <c r="J201" s="122"/>
      <c r="K201" s="122"/>
      <c r="L201" s="122"/>
      <c r="M201" s="122"/>
    </row>
    <row r="202" spans="10:13" x14ac:dyDescent="0.25">
      <c r="J202" s="122"/>
      <c r="K202" s="122"/>
      <c r="L202" s="122"/>
      <c r="M202" s="122"/>
    </row>
    <row r="203" spans="10:13" x14ac:dyDescent="0.25">
      <c r="J203" s="122"/>
      <c r="K203" s="122"/>
      <c r="L203" s="122"/>
      <c r="M203" s="122"/>
    </row>
    <row r="204" spans="10:13" x14ac:dyDescent="0.25">
      <c r="J204" s="122"/>
      <c r="K204" s="122"/>
      <c r="L204" s="122"/>
      <c r="M204" s="122"/>
    </row>
    <row r="205" spans="10:13" x14ac:dyDescent="0.25">
      <c r="J205" s="122"/>
      <c r="K205" s="122"/>
      <c r="L205" s="122"/>
      <c r="M205" s="122"/>
    </row>
    <row r="206" spans="10:13" x14ac:dyDescent="0.25">
      <c r="J206" s="122"/>
      <c r="K206" s="122"/>
      <c r="L206" s="122"/>
      <c r="M206" s="122"/>
    </row>
    <row r="207" spans="10:13" x14ac:dyDescent="0.25">
      <c r="J207" s="122"/>
      <c r="K207" s="122"/>
      <c r="L207" s="122"/>
      <c r="M207" s="122"/>
    </row>
    <row r="208" spans="10:13" x14ac:dyDescent="0.25">
      <c r="J208" s="122"/>
      <c r="K208" s="122"/>
      <c r="L208" s="122"/>
      <c r="M208" s="122"/>
    </row>
    <row r="209" spans="10:13" x14ac:dyDescent="0.25">
      <c r="J209" s="122"/>
      <c r="K209" s="122"/>
      <c r="L209" s="122"/>
      <c r="M209" s="122"/>
    </row>
    <row r="210" spans="10:13" x14ac:dyDescent="0.25">
      <c r="J210" s="122"/>
      <c r="K210" s="122"/>
      <c r="L210" s="122"/>
      <c r="M210" s="122"/>
    </row>
    <row r="211" spans="10:13" x14ac:dyDescent="0.25">
      <c r="J211" s="122"/>
      <c r="K211" s="122"/>
      <c r="L211" s="122"/>
      <c r="M211" s="122"/>
    </row>
    <row r="212" spans="10:13" x14ac:dyDescent="0.25">
      <c r="J212" s="122"/>
      <c r="K212" s="122"/>
      <c r="L212" s="122"/>
      <c r="M212" s="122"/>
    </row>
    <row r="213" spans="10:13" x14ac:dyDescent="0.25">
      <c r="J213" s="122"/>
      <c r="K213" s="122"/>
      <c r="L213" s="122"/>
      <c r="M213" s="122"/>
    </row>
    <row r="214" spans="10:13" x14ac:dyDescent="0.25">
      <c r="J214" s="122"/>
      <c r="K214" s="122"/>
      <c r="L214" s="122"/>
      <c r="M214" s="122"/>
    </row>
    <row r="215" spans="10:13" x14ac:dyDescent="0.25">
      <c r="J215" s="122"/>
      <c r="K215" s="122"/>
      <c r="L215" s="122"/>
      <c r="M215" s="122"/>
    </row>
    <row r="216" spans="10:13" x14ac:dyDescent="0.25">
      <c r="J216" s="122"/>
      <c r="K216" s="122"/>
      <c r="L216" s="122"/>
      <c r="M216" s="122"/>
    </row>
    <row r="217" spans="10:13" x14ac:dyDescent="0.25">
      <c r="J217" s="122"/>
      <c r="K217" s="122"/>
      <c r="L217" s="122"/>
      <c r="M217" s="122"/>
    </row>
    <row r="218" spans="10:13" x14ac:dyDescent="0.25">
      <c r="J218" s="122"/>
      <c r="K218" s="122"/>
      <c r="L218" s="122"/>
      <c r="M218" s="122"/>
    </row>
    <row r="219" spans="10:13" x14ac:dyDescent="0.25">
      <c r="J219" s="122"/>
      <c r="K219" s="122"/>
      <c r="L219" s="122"/>
      <c r="M219" s="122"/>
    </row>
    <row r="220" spans="10:13" x14ac:dyDescent="0.25">
      <c r="J220" s="122"/>
      <c r="K220" s="122"/>
      <c r="L220" s="122"/>
      <c r="M220" s="122"/>
    </row>
    <row r="221" spans="10:13" x14ac:dyDescent="0.25">
      <c r="J221" s="122"/>
      <c r="K221" s="122"/>
      <c r="L221" s="122"/>
      <c r="M221" s="122"/>
    </row>
    <row r="222" spans="10:13" x14ac:dyDescent="0.25">
      <c r="J222" s="122"/>
      <c r="K222" s="122"/>
      <c r="L222" s="122"/>
      <c r="M222" s="122"/>
    </row>
    <row r="223" spans="10:13" x14ac:dyDescent="0.25">
      <c r="J223" s="122"/>
      <c r="K223" s="122"/>
      <c r="L223" s="122"/>
      <c r="M223" s="122"/>
    </row>
    <row r="224" spans="10:13" x14ac:dyDescent="0.25">
      <c r="J224" s="122"/>
      <c r="K224" s="122"/>
      <c r="L224" s="122"/>
      <c r="M224" s="122"/>
    </row>
    <row r="225" spans="10:13" x14ac:dyDescent="0.25">
      <c r="J225" s="122"/>
      <c r="K225" s="122"/>
      <c r="L225" s="122"/>
      <c r="M225" s="122"/>
    </row>
    <row r="226" spans="10:13" x14ac:dyDescent="0.25">
      <c r="J226" s="122"/>
      <c r="K226" s="122"/>
      <c r="L226" s="122"/>
      <c r="M226" s="122"/>
    </row>
    <row r="227" spans="10:13" x14ac:dyDescent="0.25">
      <c r="J227" s="122"/>
      <c r="K227" s="122"/>
      <c r="L227" s="122"/>
      <c r="M227" s="122"/>
    </row>
    <row r="228" spans="10:13" x14ac:dyDescent="0.25">
      <c r="J228" s="122"/>
      <c r="K228" s="122"/>
      <c r="L228" s="122"/>
      <c r="M228" s="122"/>
    </row>
    <row r="229" spans="10:13" x14ac:dyDescent="0.25">
      <c r="J229" s="122"/>
      <c r="K229" s="122"/>
      <c r="L229" s="122"/>
      <c r="M229" s="122"/>
    </row>
    <row r="230" spans="10:13" x14ac:dyDescent="0.25">
      <c r="J230" s="122"/>
      <c r="K230" s="122"/>
      <c r="L230" s="122"/>
      <c r="M230" s="122"/>
    </row>
    <row r="231" spans="10:13" x14ac:dyDescent="0.25">
      <c r="J231" s="122"/>
      <c r="K231" s="122"/>
      <c r="L231" s="122"/>
      <c r="M231" s="122"/>
    </row>
    <row r="232" spans="10:13" x14ac:dyDescent="0.25">
      <c r="J232" s="122"/>
      <c r="K232" s="122"/>
      <c r="L232" s="122"/>
      <c r="M232" s="122"/>
    </row>
    <row r="233" spans="10:13" x14ac:dyDescent="0.25">
      <c r="J233" s="122"/>
      <c r="K233" s="122"/>
      <c r="L233" s="122"/>
      <c r="M233" s="122"/>
    </row>
    <row r="234" spans="10:13" x14ac:dyDescent="0.25">
      <c r="J234" s="122"/>
      <c r="K234" s="122"/>
      <c r="L234" s="122"/>
      <c r="M234" s="122"/>
    </row>
    <row r="235" spans="10:13" x14ac:dyDescent="0.25">
      <c r="J235" s="122"/>
      <c r="K235" s="122"/>
      <c r="L235" s="122"/>
      <c r="M235" s="122"/>
    </row>
    <row r="236" spans="10:13" x14ac:dyDescent="0.25">
      <c r="J236" s="122"/>
      <c r="K236" s="122"/>
      <c r="L236" s="122"/>
      <c r="M236" s="122"/>
    </row>
    <row r="237" spans="10:13" x14ac:dyDescent="0.25">
      <c r="J237" s="122"/>
      <c r="K237" s="122"/>
      <c r="L237" s="122"/>
      <c r="M237" s="122"/>
    </row>
    <row r="238" spans="10:13" x14ac:dyDescent="0.25">
      <c r="J238" s="122"/>
      <c r="K238" s="122"/>
      <c r="L238" s="122"/>
      <c r="M238" s="122"/>
    </row>
    <row r="239" spans="10:13" x14ac:dyDescent="0.25">
      <c r="J239" s="122"/>
      <c r="K239" s="122"/>
      <c r="L239" s="122"/>
      <c r="M239" s="122"/>
    </row>
    <row r="240" spans="10:13" x14ac:dyDescent="0.25">
      <c r="J240" s="122"/>
      <c r="K240" s="122"/>
      <c r="L240" s="122"/>
      <c r="M240" s="122"/>
    </row>
    <row r="241" spans="10:13" x14ac:dyDescent="0.25">
      <c r="J241" s="122"/>
      <c r="K241" s="122"/>
      <c r="L241" s="122"/>
      <c r="M241" s="122"/>
    </row>
    <row r="242" spans="10:13" x14ac:dyDescent="0.25">
      <c r="J242" s="122"/>
      <c r="K242" s="122"/>
      <c r="L242" s="122"/>
      <c r="M242" s="122"/>
    </row>
    <row r="243" spans="10:13" x14ac:dyDescent="0.25">
      <c r="J243" s="122"/>
      <c r="K243" s="122"/>
      <c r="L243" s="122"/>
      <c r="M243" s="122"/>
    </row>
    <row r="244" spans="10:13" x14ac:dyDescent="0.25">
      <c r="J244" s="122"/>
      <c r="K244" s="122"/>
      <c r="L244" s="122"/>
      <c r="M244" s="122"/>
    </row>
    <row r="245" spans="10:13" x14ac:dyDescent="0.25">
      <c r="J245" s="122"/>
      <c r="K245" s="122"/>
      <c r="L245" s="122"/>
      <c r="M245" s="122"/>
    </row>
    <row r="246" spans="10:13" x14ac:dyDescent="0.25">
      <c r="J246" s="122"/>
      <c r="K246" s="122"/>
      <c r="L246" s="122"/>
      <c r="M246" s="122"/>
    </row>
    <row r="247" spans="10:13" x14ac:dyDescent="0.25">
      <c r="J247" s="122"/>
      <c r="K247" s="122"/>
      <c r="L247" s="122"/>
      <c r="M247" s="122"/>
    </row>
    <row r="248" spans="10:13" x14ac:dyDescent="0.25">
      <c r="J248" s="122"/>
      <c r="K248" s="122"/>
      <c r="L248" s="122"/>
      <c r="M248" s="122"/>
    </row>
    <row r="249" spans="10:13" x14ac:dyDescent="0.25">
      <c r="J249" s="122"/>
      <c r="K249" s="122"/>
      <c r="L249" s="122"/>
      <c r="M249" s="122"/>
    </row>
    <row r="250" spans="10:13" x14ac:dyDescent="0.25">
      <c r="J250" s="122"/>
      <c r="K250" s="122"/>
      <c r="L250" s="122"/>
      <c r="M250" s="122"/>
    </row>
    <row r="251" spans="10:13" x14ac:dyDescent="0.25">
      <c r="J251" s="122"/>
      <c r="K251" s="122"/>
      <c r="L251" s="122"/>
      <c r="M251" s="122"/>
    </row>
    <row r="252" spans="10:13" x14ac:dyDescent="0.25">
      <c r="J252" s="122"/>
      <c r="K252" s="122"/>
      <c r="L252" s="122"/>
      <c r="M252" s="122"/>
    </row>
    <row r="253" spans="10:13" x14ac:dyDescent="0.25">
      <c r="J253" s="122"/>
      <c r="K253" s="122"/>
      <c r="L253" s="122"/>
      <c r="M253" s="122"/>
    </row>
    <row r="254" spans="10:13" x14ac:dyDescent="0.25">
      <c r="J254" s="122"/>
      <c r="K254" s="122"/>
      <c r="L254" s="122"/>
      <c r="M254" s="122"/>
    </row>
    <row r="255" spans="10:13" x14ac:dyDescent="0.25">
      <c r="J255" s="122"/>
      <c r="K255" s="122"/>
      <c r="L255" s="122"/>
      <c r="M255" s="122"/>
    </row>
    <row r="256" spans="10:13" x14ac:dyDescent="0.25">
      <c r="J256" s="122"/>
      <c r="K256" s="122"/>
      <c r="L256" s="122"/>
      <c r="M256" s="122"/>
    </row>
    <row r="257" spans="10:13" x14ac:dyDescent="0.25">
      <c r="J257" s="122"/>
      <c r="K257" s="122"/>
      <c r="L257" s="122"/>
      <c r="M257" s="122"/>
    </row>
    <row r="258" spans="10:13" x14ac:dyDescent="0.25">
      <c r="J258" s="122"/>
      <c r="K258" s="122"/>
      <c r="L258" s="122"/>
      <c r="M258" s="122"/>
    </row>
    <row r="259" spans="10:13" x14ac:dyDescent="0.25">
      <c r="J259" s="122"/>
      <c r="K259" s="122"/>
      <c r="L259" s="122"/>
      <c r="M259" s="122"/>
    </row>
    <row r="260" spans="10:13" x14ac:dyDescent="0.25">
      <c r="J260" s="122"/>
      <c r="K260" s="122"/>
      <c r="L260" s="122"/>
      <c r="M260" s="122"/>
    </row>
    <row r="261" spans="10:13" x14ac:dyDescent="0.25">
      <c r="J261" s="122"/>
      <c r="K261" s="122"/>
      <c r="L261" s="122"/>
      <c r="M261" s="122"/>
    </row>
    <row r="262" spans="10:13" x14ac:dyDescent="0.25">
      <c r="J262" s="122"/>
      <c r="K262" s="122"/>
      <c r="L262" s="122"/>
      <c r="M262" s="122"/>
    </row>
    <row r="263" spans="10:13" x14ac:dyDescent="0.25">
      <c r="J263" s="122"/>
      <c r="K263" s="122"/>
      <c r="L263" s="122"/>
      <c r="M263" s="122"/>
    </row>
    <row r="264" spans="10:13" x14ac:dyDescent="0.25">
      <c r="J264" s="122"/>
      <c r="K264" s="122"/>
      <c r="L264" s="122"/>
      <c r="M264" s="122"/>
    </row>
    <row r="265" spans="10:13" x14ac:dyDescent="0.25">
      <c r="J265" s="122"/>
      <c r="K265" s="122"/>
      <c r="L265" s="122"/>
      <c r="M265" s="122"/>
    </row>
    <row r="266" spans="10:13" x14ac:dyDescent="0.25">
      <c r="J266" s="122"/>
      <c r="K266" s="122"/>
      <c r="L266" s="122"/>
      <c r="M266" s="122"/>
    </row>
    <row r="267" spans="10:13" x14ac:dyDescent="0.25">
      <c r="J267" s="122"/>
      <c r="K267" s="122"/>
      <c r="L267" s="122"/>
      <c r="M267" s="122"/>
    </row>
    <row r="268" spans="10:13" x14ac:dyDescent="0.25">
      <c r="J268" s="122"/>
      <c r="K268" s="122"/>
      <c r="L268" s="122"/>
      <c r="M268" s="122"/>
    </row>
    <row r="269" spans="10:13" x14ac:dyDescent="0.25">
      <c r="J269" s="122"/>
      <c r="K269" s="122"/>
      <c r="L269" s="122"/>
      <c r="M269" s="122"/>
    </row>
    <row r="270" spans="10:13" x14ac:dyDescent="0.25">
      <c r="J270" s="122"/>
      <c r="K270" s="122"/>
      <c r="L270" s="122"/>
      <c r="M270" s="122"/>
    </row>
    <row r="271" spans="10:13" x14ac:dyDescent="0.25">
      <c r="J271" s="122"/>
      <c r="K271" s="122"/>
      <c r="L271" s="122"/>
      <c r="M271" s="122"/>
    </row>
    <row r="272" spans="10:13" x14ac:dyDescent="0.25">
      <c r="J272" s="122"/>
      <c r="K272" s="122"/>
      <c r="L272" s="122"/>
      <c r="M272" s="122"/>
    </row>
    <row r="273" spans="10:13" x14ac:dyDescent="0.25">
      <c r="J273" s="122"/>
      <c r="K273" s="122"/>
      <c r="L273" s="122"/>
      <c r="M273" s="122"/>
    </row>
    <row r="274" spans="10:13" x14ac:dyDescent="0.25">
      <c r="J274" s="122"/>
      <c r="K274" s="122"/>
      <c r="L274" s="122"/>
      <c r="M274" s="122"/>
    </row>
    <row r="275" spans="10:13" x14ac:dyDescent="0.25">
      <c r="J275" s="122"/>
      <c r="K275" s="122"/>
      <c r="L275" s="122"/>
      <c r="M275" s="122"/>
    </row>
    <row r="276" spans="10:13" x14ac:dyDescent="0.25">
      <c r="J276" s="122"/>
      <c r="K276" s="122"/>
      <c r="L276" s="122"/>
      <c r="M276" s="122"/>
    </row>
    <row r="277" spans="10:13" x14ac:dyDescent="0.25">
      <c r="J277" s="122"/>
      <c r="K277" s="122"/>
      <c r="L277" s="122"/>
      <c r="M277" s="122"/>
    </row>
    <row r="278" spans="10:13" x14ac:dyDescent="0.25">
      <c r="J278" s="122"/>
      <c r="K278" s="122"/>
      <c r="L278" s="122"/>
      <c r="M278" s="122"/>
    </row>
    <row r="279" spans="10:13" x14ac:dyDescent="0.25">
      <c r="J279" s="122"/>
      <c r="K279" s="122"/>
      <c r="L279" s="122"/>
      <c r="M279" s="122"/>
    </row>
    <row r="280" spans="10:13" x14ac:dyDescent="0.25">
      <c r="J280" s="122"/>
      <c r="K280" s="122"/>
      <c r="L280" s="122"/>
      <c r="M280" s="122"/>
    </row>
    <row r="281" spans="10:13" x14ac:dyDescent="0.25">
      <c r="J281" s="122"/>
      <c r="K281" s="122"/>
      <c r="L281" s="122"/>
      <c r="M281" s="122"/>
    </row>
    <row r="282" spans="10:13" x14ac:dyDescent="0.25">
      <c r="J282" s="122"/>
      <c r="K282" s="122"/>
      <c r="L282" s="122"/>
      <c r="M282" s="122"/>
    </row>
    <row r="283" spans="10:13" x14ac:dyDescent="0.25">
      <c r="J283" s="122"/>
      <c r="K283" s="122"/>
      <c r="L283" s="122"/>
      <c r="M283" s="122"/>
    </row>
    <row r="284" spans="10:13" x14ac:dyDescent="0.25">
      <c r="J284" s="122"/>
      <c r="K284" s="122"/>
      <c r="L284" s="122"/>
      <c r="M284" s="122"/>
    </row>
    <row r="285" spans="10:13" x14ac:dyDescent="0.25">
      <c r="J285" s="122"/>
      <c r="K285" s="122"/>
      <c r="L285" s="122"/>
      <c r="M285" s="122"/>
    </row>
    <row r="286" spans="10:13" x14ac:dyDescent="0.25">
      <c r="J286" s="122"/>
      <c r="K286" s="122"/>
      <c r="L286" s="122"/>
      <c r="M286" s="122"/>
    </row>
    <row r="287" spans="10:13" x14ac:dyDescent="0.25">
      <c r="J287" s="122"/>
      <c r="K287" s="122"/>
      <c r="L287" s="122"/>
      <c r="M287" s="122"/>
    </row>
    <row r="288" spans="10:13" x14ac:dyDescent="0.25">
      <c r="J288" s="122"/>
      <c r="K288" s="122"/>
      <c r="L288" s="122"/>
      <c r="M288" s="122"/>
    </row>
    <row r="289" spans="10:13" x14ac:dyDescent="0.25">
      <c r="J289" s="122"/>
      <c r="K289" s="122"/>
      <c r="L289" s="122"/>
      <c r="M289" s="122"/>
    </row>
    <row r="290" spans="10:13" x14ac:dyDescent="0.25">
      <c r="J290" s="122"/>
      <c r="K290" s="122"/>
      <c r="L290" s="122"/>
      <c r="M290" s="122"/>
    </row>
    <row r="291" spans="10:13" x14ac:dyDescent="0.25">
      <c r="J291" s="122"/>
      <c r="K291" s="122"/>
      <c r="L291" s="122"/>
      <c r="M291" s="122"/>
    </row>
    <row r="292" spans="10:13" x14ac:dyDescent="0.25">
      <c r="J292" s="122"/>
      <c r="K292" s="122"/>
      <c r="L292" s="122"/>
      <c r="M292" s="122"/>
    </row>
    <row r="293" spans="10:13" x14ac:dyDescent="0.25">
      <c r="J293" s="122"/>
      <c r="K293" s="122"/>
      <c r="L293" s="122"/>
      <c r="M293" s="122"/>
    </row>
    <row r="294" spans="10:13" x14ac:dyDescent="0.25">
      <c r="J294" s="122"/>
      <c r="K294" s="122"/>
      <c r="L294" s="122"/>
      <c r="M294" s="122"/>
    </row>
    <row r="295" spans="10:13" x14ac:dyDescent="0.25">
      <c r="J295" s="122"/>
      <c r="K295" s="122"/>
      <c r="L295" s="122"/>
      <c r="M295" s="122"/>
    </row>
    <row r="296" spans="10:13" x14ac:dyDescent="0.25">
      <c r="J296" s="122"/>
      <c r="K296" s="122"/>
      <c r="L296" s="122"/>
      <c r="M296" s="122"/>
    </row>
    <row r="297" spans="10:13" x14ac:dyDescent="0.25">
      <c r="J297" s="122"/>
      <c r="K297" s="122"/>
      <c r="L297" s="122"/>
      <c r="M297" s="122"/>
    </row>
    <row r="298" spans="10:13" x14ac:dyDescent="0.25">
      <c r="J298" s="122"/>
      <c r="K298" s="122"/>
      <c r="L298" s="122"/>
      <c r="M298" s="122"/>
    </row>
    <row r="299" spans="10:13" x14ac:dyDescent="0.25">
      <c r="J299" s="122"/>
      <c r="K299" s="122"/>
      <c r="L299" s="122"/>
      <c r="M299" s="122"/>
    </row>
    <row r="300" spans="10:13" x14ac:dyDescent="0.25">
      <c r="J300" s="122"/>
      <c r="K300" s="122"/>
      <c r="L300" s="122"/>
      <c r="M300" s="122"/>
    </row>
    <row r="301" spans="10:13" x14ac:dyDescent="0.25">
      <c r="J301" s="122"/>
      <c r="K301" s="122"/>
      <c r="L301" s="122"/>
      <c r="M301" s="122"/>
    </row>
    <row r="302" spans="10:13" x14ac:dyDescent="0.25">
      <c r="J302" s="122"/>
      <c r="K302" s="122"/>
      <c r="L302" s="122"/>
      <c r="M302" s="122"/>
    </row>
    <row r="303" spans="10:13" x14ac:dyDescent="0.25">
      <c r="J303" s="122"/>
      <c r="K303" s="122"/>
      <c r="L303" s="122"/>
      <c r="M303" s="122"/>
    </row>
    <row r="304" spans="10:13" x14ac:dyDescent="0.25">
      <c r="J304" s="122"/>
      <c r="K304" s="122"/>
      <c r="L304" s="122"/>
      <c r="M304" s="122"/>
    </row>
    <row r="305" spans="10:13" x14ac:dyDescent="0.25">
      <c r="J305" s="122"/>
      <c r="K305" s="122"/>
      <c r="L305" s="122"/>
      <c r="M305" s="122"/>
    </row>
    <row r="306" spans="10:13" x14ac:dyDescent="0.25">
      <c r="J306" s="122"/>
      <c r="K306" s="122"/>
      <c r="L306" s="122"/>
      <c r="M306" s="122"/>
    </row>
    <row r="307" spans="10:13" x14ac:dyDescent="0.25">
      <c r="J307" s="122"/>
      <c r="K307" s="122"/>
      <c r="L307" s="122"/>
      <c r="M307" s="122"/>
    </row>
    <row r="308" spans="10:13" x14ac:dyDescent="0.25">
      <c r="J308" s="122"/>
      <c r="K308" s="122"/>
      <c r="L308" s="122"/>
      <c r="M308" s="122"/>
    </row>
    <row r="309" spans="10:13" x14ac:dyDescent="0.25">
      <c r="J309" s="122"/>
      <c r="K309" s="122"/>
      <c r="L309" s="122"/>
      <c r="M309" s="122"/>
    </row>
    <row r="310" spans="10:13" x14ac:dyDescent="0.25">
      <c r="J310" s="122"/>
      <c r="K310" s="122"/>
      <c r="L310" s="122"/>
      <c r="M310" s="122"/>
    </row>
    <row r="311" spans="10:13" x14ac:dyDescent="0.25">
      <c r="J311" s="122"/>
      <c r="K311" s="122"/>
      <c r="L311" s="122"/>
      <c r="M311" s="122"/>
    </row>
    <row r="312" spans="10:13" x14ac:dyDescent="0.25">
      <c r="J312" s="122"/>
      <c r="K312" s="122"/>
      <c r="L312" s="122"/>
      <c r="M312" s="122"/>
    </row>
    <row r="313" spans="10:13" x14ac:dyDescent="0.25">
      <c r="J313" s="122"/>
      <c r="K313" s="122"/>
      <c r="L313" s="122"/>
      <c r="M313" s="122"/>
    </row>
    <row r="314" spans="10:13" x14ac:dyDescent="0.25">
      <c r="J314" s="122"/>
      <c r="K314" s="122"/>
      <c r="L314" s="122"/>
      <c r="M314" s="122"/>
    </row>
    <row r="315" spans="10:13" x14ac:dyDescent="0.25">
      <c r="J315" s="122"/>
      <c r="K315" s="122"/>
      <c r="L315" s="122"/>
      <c r="M315" s="122"/>
    </row>
    <row r="316" spans="10:13" x14ac:dyDescent="0.25">
      <c r="J316" s="122"/>
      <c r="K316" s="122"/>
      <c r="L316" s="122"/>
      <c r="M316" s="122"/>
    </row>
    <row r="317" spans="10:13" x14ac:dyDescent="0.25">
      <c r="J317" s="122"/>
      <c r="K317" s="122"/>
      <c r="L317" s="122"/>
      <c r="M317" s="122"/>
    </row>
    <row r="318" spans="10:13" x14ac:dyDescent="0.25">
      <c r="J318" s="122"/>
      <c r="K318" s="122"/>
      <c r="L318" s="122"/>
      <c r="M318" s="122"/>
    </row>
    <row r="319" spans="10:13" x14ac:dyDescent="0.25">
      <c r="J319" s="122"/>
      <c r="K319" s="122"/>
      <c r="L319" s="122"/>
      <c r="M319" s="122"/>
    </row>
    <row r="320" spans="10:13" x14ac:dyDescent="0.25">
      <c r="J320" s="122"/>
      <c r="K320" s="122"/>
      <c r="L320" s="122"/>
      <c r="M320" s="122"/>
    </row>
    <row r="321" spans="10:13" x14ac:dyDescent="0.25">
      <c r="J321" s="122"/>
      <c r="K321" s="122"/>
      <c r="L321" s="122"/>
      <c r="M321" s="122"/>
    </row>
    <row r="322" spans="10:13" x14ac:dyDescent="0.25">
      <c r="J322" s="122"/>
      <c r="K322" s="122"/>
      <c r="L322" s="122"/>
      <c r="M322" s="122"/>
    </row>
    <row r="323" spans="10:13" x14ac:dyDescent="0.25">
      <c r="J323" s="122"/>
      <c r="K323" s="122"/>
      <c r="L323" s="122"/>
      <c r="M323" s="122"/>
    </row>
    <row r="324" spans="10:13" x14ac:dyDescent="0.25">
      <c r="J324" s="122"/>
      <c r="K324" s="122"/>
      <c r="L324" s="122"/>
      <c r="M324" s="122"/>
    </row>
    <row r="325" spans="10:13" x14ac:dyDescent="0.25">
      <c r="J325" s="122"/>
      <c r="K325" s="122"/>
      <c r="L325" s="122"/>
      <c r="M325" s="122"/>
    </row>
    <row r="326" spans="10:13" x14ac:dyDescent="0.25">
      <c r="J326" s="122"/>
      <c r="K326" s="122"/>
      <c r="L326" s="122"/>
      <c r="M326" s="122"/>
    </row>
    <row r="327" spans="10:13" x14ac:dyDescent="0.25">
      <c r="J327" s="122"/>
      <c r="K327" s="122"/>
      <c r="L327" s="122"/>
      <c r="M327" s="122"/>
    </row>
    <row r="328" spans="10:13" x14ac:dyDescent="0.25">
      <c r="J328" s="122"/>
      <c r="K328" s="122"/>
      <c r="L328" s="122"/>
      <c r="M328" s="122"/>
    </row>
    <row r="329" spans="10:13" x14ac:dyDescent="0.25">
      <c r="J329" s="122"/>
      <c r="K329" s="122"/>
      <c r="L329" s="122"/>
      <c r="M329" s="122"/>
    </row>
    <row r="330" spans="10:13" x14ac:dyDescent="0.25">
      <c r="J330" s="122"/>
      <c r="K330" s="122"/>
      <c r="L330" s="122"/>
      <c r="M330" s="122"/>
    </row>
    <row r="331" spans="10:13" x14ac:dyDescent="0.25">
      <c r="J331" s="122"/>
      <c r="K331" s="122"/>
      <c r="L331" s="122"/>
      <c r="M331" s="122"/>
    </row>
    <row r="332" spans="10:13" x14ac:dyDescent="0.25">
      <c r="J332" s="122"/>
      <c r="K332" s="122"/>
      <c r="L332" s="122"/>
      <c r="M332" s="122"/>
    </row>
    <row r="333" spans="10:13" x14ac:dyDescent="0.25">
      <c r="J333" s="122"/>
      <c r="K333" s="122"/>
      <c r="L333" s="122"/>
      <c r="M333" s="122"/>
    </row>
    <row r="334" spans="10:13" x14ac:dyDescent="0.25">
      <c r="J334" s="122"/>
      <c r="K334" s="122"/>
      <c r="L334" s="122"/>
      <c r="M334" s="122"/>
    </row>
    <row r="335" spans="10:13" x14ac:dyDescent="0.25">
      <c r="J335" s="122"/>
      <c r="K335" s="122"/>
      <c r="L335" s="122"/>
      <c r="M335" s="122"/>
    </row>
    <row r="336" spans="10:13" x14ac:dyDescent="0.25">
      <c r="J336" s="122"/>
      <c r="K336" s="122"/>
      <c r="L336" s="122"/>
      <c r="M336" s="122"/>
    </row>
    <row r="337" spans="10:13" x14ac:dyDescent="0.25">
      <c r="J337" s="122"/>
      <c r="K337" s="122"/>
      <c r="L337" s="122"/>
      <c r="M337" s="122"/>
    </row>
    <row r="338" spans="10:13" x14ac:dyDescent="0.25">
      <c r="J338" s="122"/>
      <c r="K338" s="122"/>
      <c r="L338" s="122"/>
      <c r="M338" s="122"/>
    </row>
    <row r="339" spans="10:13" x14ac:dyDescent="0.25">
      <c r="J339" s="122"/>
      <c r="K339" s="122"/>
      <c r="L339" s="122"/>
      <c r="M339" s="122"/>
    </row>
    <row r="340" spans="10:13" x14ac:dyDescent="0.25">
      <c r="J340" s="122"/>
      <c r="K340" s="122"/>
      <c r="L340" s="122"/>
      <c r="M340" s="122"/>
    </row>
    <row r="341" spans="10:13" x14ac:dyDescent="0.25">
      <c r="J341" s="122"/>
      <c r="K341" s="122"/>
      <c r="L341" s="122"/>
      <c r="M341" s="122"/>
    </row>
    <row r="342" spans="10:13" x14ac:dyDescent="0.25">
      <c r="J342" s="122"/>
      <c r="K342" s="122"/>
      <c r="L342" s="122"/>
      <c r="M342" s="122"/>
    </row>
    <row r="343" spans="10:13" x14ac:dyDescent="0.25">
      <c r="J343" s="122"/>
      <c r="K343" s="122"/>
      <c r="L343" s="122"/>
      <c r="M343" s="122"/>
    </row>
    <row r="344" spans="10:13" x14ac:dyDescent="0.25">
      <c r="J344" s="122"/>
      <c r="K344" s="122"/>
      <c r="L344" s="122"/>
      <c r="M344" s="122"/>
    </row>
    <row r="345" spans="10:13" x14ac:dyDescent="0.25">
      <c r="J345" s="122"/>
      <c r="K345" s="122"/>
      <c r="L345" s="122"/>
      <c r="M345" s="122"/>
    </row>
    <row r="346" spans="10:13" x14ac:dyDescent="0.25">
      <c r="J346" s="122"/>
      <c r="K346" s="122"/>
      <c r="L346" s="122"/>
      <c r="M346" s="122"/>
    </row>
    <row r="347" spans="10:13" x14ac:dyDescent="0.25">
      <c r="J347" s="122"/>
      <c r="K347" s="122"/>
      <c r="L347" s="122"/>
      <c r="M347" s="122"/>
    </row>
    <row r="348" spans="10:13" x14ac:dyDescent="0.25">
      <c r="J348" s="122"/>
      <c r="K348" s="122"/>
      <c r="L348" s="122"/>
      <c r="M348" s="122"/>
    </row>
    <row r="349" spans="10:13" x14ac:dyDescent="0.25">
      <c r="J349" s="122"/>
      <c r="K349" s="122"/>
      <c r="L349" s="122"/>
      <c r="M349" s="122"/>
    </row>
    <row r="350" spans="10:13" x14ac:dyDescent="0.25">
      <c r="J350" s="122"/>
      <c r="K350" s="122"/>
      <c r="L350" s="122"/>
      <c r="M350" s="122"/>
    </row>
    <row r="351" spans="10:13" x14ac:dyDescent="0.25">
      <c r="J351" s="122"/>
      <c r="K351" s="122"/>
      <c r="L351" s="122"/>
      <c r="M351" s="122"/>
    </row>
    <row r="352" spans="10:13" x14ac:dyDescent="0.25">
      <c r="J352" s="122"/>
      <c r="K352" s="122"/>
      <c r="L352" s="122"/>
      <c r="M352" s="122"/>
    </row>
    <row r="353" spans="10:13" x14ac:dyDescent="0.25">
      <c r="J353" s="122"/>
      <c r="K353" s="122"/>
      <c r="L353" s="122"/>
      <c r="M353" s="122"/>
    </row>
    <row r="354" spans="10:13" x14ac:dyDescent="0.25">
      <c r="J354" s="122"/>
      <c r="K354" s="122"/>
      <c r="L354" s="122"/>
      <c r="M354" s="122"/>
    </row>
    <row r="355" spans="10:13" x14ac:dyDescent="0.25">
      <c r="J355" s="122"/>
      <c r="K355" s="122"/>
      <c r="L355" s="122"/>
      <c r="M355" s="122"/>
    </row>
    <row r="356" spans="10:13" x14ac:dyDescent="0.25">
      <c r="J356" s="122"/>
      <c r="K356" s="122"/>
      <c r="L356" s="122"/>
      <c r="M356" s="122"/>
    </row>
    <row r="357" spans="10:13" x14ac:dyDescent="0.25">
      <c r="J357" s="122"/>
      <c r="K357" s="122"/>
      <c r="L357" s="122"/>
      <c r="M357" s="122"/>
    </row>
    <row r="358" spans="10:13" x14ac:dyDescent="0.25">
      <c r="J358" s="122"/>
      <c r="K358" s="122"/>
      <c r="L358" s="122"/>
      <c r="M358" s="122"/>
    </row>
    <row r="359" spans="10:13" x14ac:dyDescent="0.25">
      <c r="J359" s="122"/>
      <c r="K359" s="122"/>
      <c r="L359" s="122"/>
      <c r="M359" s="122"/>
    </row>
    <row r="360" spans="10:13" x14ac:dyDescent="0.25">
      <c r="J360" s="122"/>
      <c r="K360" s="122"/>
      <c r="L360" s="122"/>
      <c r="M360" s="122"/>
    </row>
    <row r="361" spans="10:13" x14ac:dyDescent="0.25">
      <c r="J361" s="122"/>
      <c r="K361" s="122"/>
      <c r="L361" s="122"/>
      <c r="M361" s="122"/>
    </row>
    <row r="362" spans="10:13" x14ac:dyDescent="0.25">
      <c r="J362" s="122"/>
      <c r="K362" s="122"/>
      <c r="L362" s="122"/>
      <c r="M362" s="122"/>
    </row>
    <row r="363" spans="10:13" x14ac:dyDescent="0.25">
      <c r="J363" s="122"/>
      <c r="K363" s="122"/>
      <c r="L363" s="122"/>
      <c r="M363" s="122"/>
    </row>
    <row r="364" spans="10:13" x14ac:dyDescent="0.25">
      <c r="J364" s="122"/>
      <c r="K364" s="122"/>
      <c r="L364" s="122"/>
      <c r="M364" s="122"/>
    </row>
    <row r="365" spans="10:13" x14ac:dyDescent="0.25">
      <c r="J365" s="122"/>
      <c r="K365" s="122"/>
      <c r="L365" s="122"/>
      <c r="M365" s="122"/>
    </row>
    <row r="366" spans="10:13" x14ac:dyDescent="0.25">
      <c r="J366" s="122"/>
      <c r="K366" s="122"/>
      <c r="L366" s="122"/>
      <c r="M366" s="122"/>
    </row>
    <row r="367" spans="10:13" x14ac:dyDescent="0.25">
      <c r="J367" s="122"/>
      <c r="K367" s="122"/>
      <c r="L367" s="122"/>
      <c r="M367" s="122"/>
    </row>
    <row r="368" spans="10:13" x14ac:dyDescent="0.25">
      <c r="J368" s="122"/>
      <c r="K368" s="122"/>
      <c r="L368" s="122"/>
      <c r="M368" s="122"/>
    </row>
    <row r="369" spans="10:13" x14ac:dyDescent="0.25">
      <c r="J369" s="122"/>
      <c r="K369" s="122"/>
      <c r="L369" s="122"/>
      <c r="M369" s="122"/>
    </row>
    <row r="370" spans="10:13" x14ac:dyDescent="0.25">
      <c r="J370" s="122"/>
      <c r="K370" s="122"/>
      <c r="L370" s="122"/>
      <c r="M370" s="122"/>
    </row>
    <row r="371" spans="10:13" x14ac:dyDescent="0.25">
      <c r="J371" s="122"/>
      <c r="K371" s="122"/>
      <c r="L371" s="122"/>
      <c r="M371" s="122"/>
    </row>
    <row r="372" spans="10:13" x14ac:dyDescent="0.25">
      <c r="J372" s="122"/>
      <c r="K372" s="122"/>
      <c r="L372" s="122"/>
      <c r="M372" s="122"/>
    </row>
    <row r="373" spans="10:13" x14ac:dyDescent="0.25">
      <c r="J373" s="122"/>
      <c r="K373" s="122"/>
      <c r="L373" s="122"/>
      <c r="M373" s="122"/>
    </row>
    <row r="374" spans="10:13" x14ac:dyDescent="0.25">
      <c r="J374" s="122"/>
      <c r="K374" s="122"/>
      <c r="L374" s="122"/>
      <c r="M374" s="122"/>
    </row>
    <row r="375" spans="10:13" x14ac:dyDescent="0.25">
      <c r="J375" s="122"/>
      <c r="K375" s="122"/>
      <c r="L375" s="122"/>
      <c r="M375" s="122"/>
    </row>
    <row r="376" spans="10:13" x14ac:dyDescent="0.25">
      <c r="J376" s="122"/>
      <c r="K376" s="122"/>
      <c r="L376" s="122"/>
      <c r="M376" s="122"/>
    </row>
    <row r="377" spans="10:13" x14ac:dyDescent="0.25">
      <c r="J377" s="122"/>
      <c r="K377" s="122"/>
      <c r="L377" s="122"/>
      <c r="M377" s="122"/>
    </row>
    <row r="378" spans="10:13" x14ac:dyDescent="0.25">
      <c r="J378" s="122"/>
      <c r="K378" s="122"/>
      <c r="L378" s="122"/>
      <c r="M378" s="122"/>
    </row>
    <row r="379" spans="10:13" x14ac:dyDescent="0.25">
      <c r="J379" s="122"/>
      <c r="K379" s="122"/>
      <c r="L379" s="122"/>
      <c r="M379" s="122"/>
    </row>
    <row r="380" spans="10:13" x14ac:dyDescent="0.25">
      <c r="J380" s="122"/>
      <c r="K380" s="122"/>
      <c r="L380" s="122"/>
      <c r="M380" s="122"/>
    </row>
    <row r="381" spans="10:13" x14ac:dyDescent="0.25">
      <c r="J381" s="122"/>
      <c r="K381" s="122"/>
      <c r="L381" s="122"/>
      <c r="M381" s="122"/>
    </row>
    <row r="382" spans="10:13" x14ac:dyDescent="0.25">
      <c r="J382" s="122"/>
      <c r="K382" s="122"/>
      <c r="L382" s="122"/>
      <c r="M382" s="122"/>
    </row>
    <row r="383" spans="10:13" x14ac:dyDescent="0.25">
      <c r="J383" s="122"/>
      <c r="K383" s="122"/>
      <c r="L383" s="122"/>
      <c r="M383" s="122"/>
    </row>
    <row r="384" spans="10:13" x14ac:dyDescent="0.25">
      <c r="J384" s="122"/>
      <c r="K384" s="122"/>
      <c r="L384" s="122"/>
      <c r="M384" s="122"/>
    </row>
    <row r="385" spans="10:13" x14ac:dyDescent="0.25">
      <c r="J385" s="122"/>
      <c r="K385" s="122"/>
      <c r="L385" s="122"/>
      <c r="M385" s="122"/>
    </row>
    <row r="386" spans="10:13" x14ac:dyDescent="0.25">
      <c r="J386" s="122"/>
      <c r="K386" s="122"/>
      <c r="L386" s="122"/>
      <c r="M386" s="122"/>
    </row>
    <row r="387" spans="10:13" x14ac:dyDescent="0.25">
      <c r="J387" s="122"/>
      <c r="K387" s="122"/>
      <c r="L387" s="122"/>
      <c r="M387" s="122"/>
    </row>
    <row r="388" spans="10:13" x14ac:dyDescent="0.25">
      <c r="J388" s="122"/>
      <c r="K388" s="122"/>
      <c r="L388" s="122"/>
      <c r="M388" s="122"/>
    </row>
    <row r="389" spans="10:13" x14ac:dyDescent="0.25">
      <c r="J389" s="122"/>
      <c r="K389" s="122"/>
      <c r="L389" s="122"/>
      <c r="M389" s="122"/>
    </row>
    <row r="390" spans="10:13" x14ac:dyDescent="0.25">
      <c r="J390" s="122"/>
      <c r="K390" s="122"/>
      <c r="L390" s="122"/>
      <c r="M390" s="122"/>
    </row>
    <row r="391" spans="10:13" x14ac:dyDescent="0.25">
      <c r="J391" s="122"/>
      <c r="K391" s="122"/>
      <c r="L391" s="122"/>
      <c r="M391" s="122"/>
    </row>
    <row r="392" spans="10:13" x14ac:dyDescent="0.25">
      <c r="J392" s="122"/>
      <c r="K392" s="122"/>
      <c r="L392" s="122"/>
      <c r="M392" s="122"/>
    </row>
    <row r="393" spans="10:13" x14ac:dyDescent="0.25">
      <c r="J393" s="122"/>
      <c r="K393" s="122"/>
      <c r="L393" s="122"/>
      <c r="M393" s="122"/>
    </row>
    <row r="394" spans="10:13" x14ac:dyDescent="0.25">
      <c r="J394" s="122"/>
      <c r="K394" s="122"/>
      <c r="L394" s="122"/>
      <c r="M394" s="122"/>
    </row>
    <row r="395" spans="10:13" x14ac:dyDescent="0.25">
      <c r="J395" s="122"/>
      <c r="K395" s="122"/>
      <c r="L395" s="122"/>
      <c r="M395" s="122"/>
    </row>
    <row r="396" spans="10:13" x14ac:dyDescent="0.25">
      <c r="J396" s="122"/>
      <c r="K396" s="122"/>
      <c r="L396" s="122"/>
      <c r="M396" s="122"/>
    </row>
    <row r="397" spans="10:13" x14ac:dyDescent="0.25">
      <c r="J397" s="122"/>
      <c r="K397" s="122"/>
      <c r="L397" s="122"/>
      <c r="M397" s="122"/>
    </row>
    <row r="398" spans="10:13" x14ac:dyDescent="0.25">
      <c r="J398" s="122"/>
      <c r="K398" s="122"/>
      <c r="L398" s="122"/>
      <c r="M398" s="122"/>
    </row>
    <row r="399" spans="10:13" x14ac:dyDescent="0.25">
      <c r="J399" s="122"/>
      <c r="K399" s="122"/>
      <c r="L399" s="122"/>
      <c r="M399" s="122"/>
    </row>
    <row r="400" spans="10:13" x14ac:dyDescent="0.25">
      <c r="J400" s="122"/>
      <c r="K400" s="122"/>
      <c r="L400" s="122"/>
      <c r="M400" s="122"/>
    </row>
    <row r="401" spans="10:13" x14ac:dyDescent="0.25">
      <c r="J401" s="122"/>
      <c r="K401" s="122"/>
      <c r="L401" s="122"/>
      <c r="M401" s="122"/>
    </row>
    <row r="402" spans="10:13" x14ac:dyDescent="0.25">
      <c r="J402" s="122"/>
      <c r="K402" s="122"/>
      <c r="L402" s="122"/>
      <c r="M402" s="122"/>
    </row>
    <row r="403" spans="10:13" x14ac:dyDescent="0.25">
      <c r="J403" s="122"/>
      <c r="K403" s="122"/>
      <c r="L403" s="122"/>
      <c r="M403" s="122"/>
    </row>
    <row r="404" spans="10:13" x14ac:dyDescent="0.25">
      <c r="J404" s="122"/>
      <c r="K404" s="122"/>
      <c r="L404" s="122"/>
      <c r="M404" s="122"/>
    </row>
    <row r="405" spans="10:13" x14ac:dyDescent="0.25">
      <c r="J405" s="122"/>
      <c r="K405" s="122"/>
      <c r="L405" s="122"/>
      <c r="M405" s="122"/>
    </row>
    <row r="406" spans="10:13" x14ac:dyDescent="0.25">
      <c r="J406" s="122"/>
      <c r="K406" s="122"/>
      <c r="L406" s="122"/>
      <c r="M406" s="122"/>
    </row>
    <row r="407" spans="10:13" x14ac:dyDescent="0.25">
      <c r="J407" s="122"/>
      <c r="K407" s="122"/>
      <c r="L407" s="122"/>
      <c r="M407" s="122"/>
    </row>
    <row r="408" spans="10:13" x14ac:dyDescent="0.25">
      <c r="J408" s="122"/>
      <c r="K408" s="122"/>
      <c r="L408" s="122"/>
      <c r="M408" s="122"/>
    </row>
    <row r="409" spans="10:13" x14ac:dyDescent="0.25">
      <c r="J409" s="122"/>
      <c r="K409" s="122"/>
      <c r="L409" s="122"/>
      <c r="M409" s="122"/>
    </row>
    <row r="410" spans="10:13" x14ac:dyDescent="0.25">
      <c r="J410" s="122"/>
      <c r="K410" s="122"/>
      <c r="L410" s="122"/>
      <c r="M410" s="122"/>
    </row>
    <row r="411" spans="10:13" x14ac:dyDescent="0.25">
      <c r="J411" s="122"/>
      <c r="K411" s="122"/>
      <c r="L411" s="122"/>
      <c r="M411" s="122"/>
    </row>
    <row r="412" spans="10:13" x14ac:dyDescent="0.25">
      <c r="J412" s="122"/>
      <c r="K412" s="122"/>
      <c r="L412" s="122"/>
      <c r="M412" s="122"/>
    </row>
    <row r="413" spans="10:13" x14ac:dyDescent="0.25">
      <c r="J413" s="122"/>
      <c r="K413" s="122"/>
      <c r="L413" s="122"/>
      <c r="M413" s="122"/>
    </row>
    <row r="414" spans="10:13" x14ac:dyDescent="0.25">
      <c r="J414" s="122"/>
      <c r="K414" s="122"/>
      <c r="L414" s="122"/>
      <c r="M414" s="122"/>
    </row>
    <row r="415" spans="10:13" x14ac:dyDescent="0.25">
      <c r="J415" s="122"/>
      <c r="K415" s="122"/>
      <c r="L415" s="122"/>
      <c r="M415" s="122"/>
    </row>
    <row r="416" spans="10:13" x14ac:dyDescent="0.25">
      <c r="J416" s="122"/>
      <c r="K416" s="122"/>
      <c r="L416" s="122"/>
      <c r="M416" s="122"/>
    </row>
    <row r="417" spans="10:13" x14ac:dyDescent="0.25">
      <c r="J417" s="122"/>
      <c r="K417" s="122"/>
      <c r="L417" s="122"/>
      <c r="M417" s="122"/>
    </row>
    <row r="418" spans="10:13" x14ac:dyDescent="0.25">
      <c r="J418" s="122"/>
      <c r="K418" s="122"/>
      <c r="L418" s="122"/>
      <c r="M418" s="122"/>
    </row>
    <row r="419" spans="10:13" x14ac:dyDescent="0.25">
      <c r="J419" s="122"/>
      <c r="K419" s="122"/>
      <c r="L419" s="122"/>
      <c r="M419" s="122"/>
    </row>
    <row r="420" spans="10:13" x14ac:dyDescent="0.25">
      <c r="J420" s="122"/>
      <c r="K420" s="122"/>
      <c r="L420" s="122"/>
      <c r="M420" s="122"/>
    </row>
    <row r="421" spans="10:13" x14ac:dyDescent="0.25">
      <c r="J421" s="122"/>
      <c r="K421" s="122"/>
      <c r="L421" s="122"/>
      <c r="M421" s="122"/>
    </row>
    <row r="422" spans="10:13" x14ac:dyDescent="0.25">
      <c r="J422" s="122"/>
      <c r="K422" s="122"/>
      <c r="L422" s="122"/>
      <c r="M422" s="122"/>
    </row>
    <row r="423" spans="10:13" x14ac:dyDescent="0.25">
      <c r="J423" s="122"/>
      <c r="K423" s="122"/>
      <c r="L423" s="122"/>
      <c r="M423" s="122"/>
    </row>
    <row r="424" spans="10:13" x14ac:dyDescent="0.25">
      <c r="J424" s="122"/>
      <c r="K424" s="122"/>
      <c r="L424" s="122"/>
      <c r="M424" s="122"/>
    </row>
    <row r="425" spans="10:13" x14ac:dyDescent="0.25">
      <c r="J425" s="122"/>
      <c r="K425" s="122"/>
      <c r="L425" s="122"/>
      <c r="M425" s="122"/>
    </row>
    <row r="426" spans="10:13" x14ac:dyDescent="0.25">
      <c r="J426" s="122"/>
      <c r="K426" s="122"/>
      <c r="L426" s="122"/>
      <c r="M426" s="122"/>
    </row>
    <row r="427" spans="10:13" x14ac:dyDescent="0.25">
      <c r="J427" s="122"/>
      <c r="K427" s="122"/>
      <c r="L427" s="122"/>
      <c r="M427" s="122"/>
    </row>
    <row r="428" spans="10:13" x14ac:dyDescent="0.25">
      <c r="J428" s="122"/>
      <c r="K428" s="122"/>
      <c r="L428" s="122"/>
      <c r="M428" s="122"/>
    </row>
    <row r="429" spans="10:13" x14ac:dyDescent="0.25">
      <c r="J429" s="122"/>
      <c r="K429" s="122"/>
      <c r="L429" s="122"/>
      <c r="M429" s="122"/>
    </row>
    <row r="430" spans="10:13" x14ac:dyDescent="0.25">
      <c r="J430" s="122"/>
      <c r="K430" s="122"/>
      <c r="L430" s="122"/>
      <c r="M430" s="122"/>
    </row>
    <row r="431" spans="10:13" x14ac:dyDescent="0.25">
      <c r="J431" s="122"/>
      <c r="K431" s="122"/>
      <c r="L431" s="122"/>
      <c r="M431" s="122"/>
    </row>
    <row r="432" spans="10:13" x14ac:dyDescent="0.25">
      <c r="J432" s="122"/>
      <c r="K432" s="122"/>
      <c r="L432" s="122"/>
      <c r="M432" s="122"/>
    </row>
    <row r="433" spans="10:13" x14ac:dyDescent="0.25">
      <c r="J433" s="122"/>
      <c r="K433" s="122"/>
      <c r="L433" s="122"/>
      <c r="M433" s="122"/>
    </row>
    <row r="434" spans="10:13" x14ac:dyDescent="0.25">
      <c r="J434" s="122"/>
      <c r="K434" s="122"/>
      <c r="L434" s="122"/>
      <c r="M434" s="122"/>
    </row>
    <row r="435" spans="10:13" x14ac:dyDescent="0.25">
      <c r="J435" s="122"/>
      <c r="K435" s="122"/>
      <c r="L435" s="122"/>
      <c r="M435" s="122"/>
    </row>
    <row r="436" spans="10:13" x14ac:dyDescent="0.25">
      <c r="J436" s="122"/>
      <c r="K436" s="122"/>
      <c r="L436" s="122"/>
      <c r="M436" s="122"/>
    </row>
    <row r="437" spans="10:13" x14ac:dyDescent="0.25">
      <c r="J437" s="122"/>
      <c r="K437" s="122"/>
      <c r="L437" s="122"/>
      <c r="M437" s="122"/>
    </row>
    <row r="438" spans="10:13" x14ac:dyDescent="0.25">
      <c r="J438" s="122"/>
      <c r="K438" s="122"/>
      <c r="L438" s="122"/>
      <c r="M438" s="122"/>
    </row>
    <row r="439" spans="10:13" x14ac:dyDescent="0.25">
      <c r="J439" s="122"/>
      <c r="K439" s="122"/>
      <c r="L439" s="122"/>
      <c r="M439" s="122"/>
    </row>
    <row r="440" spans="10:13" x14ac:dyDescent="0.25">
      <c r="J440" s="122"/>
      <c r="K440" s="122"/>
      <c r="L440" s="122"/>
      <c r="M440" s="122"/>
    </row>
    <row r="441" spans="10:13" x14ac:dyDescent="0.25">
      <c r="J441" s="122"/>
      <c r="K441" s="122"/>
      <c r="L441" s="122"/>
      <c r="M441" s="122"/>
    </row>
    <row r="442" spans="10:13" x14ac:dyDescent="0.25">
      <c r="J442" s="122"/>
      <c r="K442" s="122"/>
      <c r="L442" s="122"/>
      <c r="M442" s="122"/>
    </row>
    <row r="443" spans="10:13" x14ac:dyDescent="0.25">
      <c r="J443" s="122"/>
      <c r="K443" s="122"/>
      <c r="L443" s="122"/>
      <c r="M443" s="122"/>
    </row>
    <row r="444" spans="10:13" x14ac:dyDescent="0.25">
      <c r="J444" s="122"/>
      <c r="K444" s="122"/>
      <c r="L444" s="122"/>
      <c r="M444" s="122"/>
    </row>
    <row r="445" spans="10:13" x14ac:dyDescent="0.25">
      <c r="J445" s="122"/>
      <c r="K445" s="122"/>
      <c r="L445" s="122"/>
      <c r="M445" s="122"/>
    </row>
    <row r="446" spans="10:13" x14ac:dyDescent="0.25">
      <c r="J446" s="122"/>
      <c r="K446" s="122"/>
      <c r="L446" s="122"/>
      <c r="M446" s="122"/>
    </row>
    <row r="447" spans="10:13" x14ac:dyDescent="0.25">
      <c r="J447" s="122"/>
      <c r="K447" s="122"/>
      <c r="L447" s="122"/>
      <c r="M447" s="122"/>
    </row>
    <row r="448" spans="10:13" x14ac:dyDescent="0.25">
      <c r="J448" s="122"/>
      <c r="K448" s="122"/>
      <c r="L448" s="122"/>
      <c r="M448" s="122"/>
    </row>
    <row r="449" spans="10:13" x14ac:dyDescent="0.25">
      <c r="J449" s="122"/>
      <c r="K449" s="122"/>
      <c r="L449" s="122"/>
      <c r="M449" s="122"/>
    </row>
    <row r="450" spans="10:13" x14ac:dyDescent="0.25">
      <c r="J450" s="122"/>
      <c r="K450" s="122"/>
      <c r="L450" s="122"/>
      <c r="M450" s="122"/>
    </row>
    <row r="451" spans="10:13" x14ac:dyDescent="0.25">
      <c r="J451" s="122"/>
      <c r="K451" s="122"/>
      <c r="L451" s="122"/>
      <c r="M451" s="122"/>
    </row>
    <row r="452" spans="10:13" x14ac:dyDescent="0.25">
      <c r="J452" s="122"/>
      <c r="K452" s="122"/>
      <c r="L452" s="122"/>
      <c r="M452" s="122"/>
    </row>
    <row r="453" spans="10:13" x14ac:dyDescent="0.25">
      <c r="J453" s="122"/>
      <c r="K453" s="122"/>
      <c r="L453" s="122"/>
      <c r="M453" s="122"/>
    </row>
    <row r="454" spans="10:13" x14ac:dyDescent="0.25">
      <c r="J454" s="122"/>
      <c r="K454" s="122"/>
      <c r="L454" s="122"/>
      <c r="M454" s="122"/>
    </row>
    <row r="455" spans="10:13" x14ac:dyDescent="0.25">
      <c r="J455" s="122"/>
      <c r="K455" s="122"/>
      <c r="L455" s="122"/>
      <c r="M455" s="122"/>
    </row>
    <row r="456" spans="10:13" x14ac:dyDescent="0.25">
      <c r="J456" s="122"/>
      <c r="K456" s="122"/>
      <c r="L456" s="122"/>
      <c r="M456" s="122"/>
    </row>
    <row r="457" spans="10:13" x14ac:dyDescent="0.25">
      <c r="J457" s="122"/>
      <c r="K457" s="122"/>
      <c r="L457" s="122"/>
      <c r="M457" s="122"/>
    </row>
    <row r="458" spans="10:13" x14ac:dyDescent="0.25">
      <c r="J458" s="122"/>
      <c r="K458" s="122"/>
      <c r="L458" s="122"/>
      <c r="M458" s="122"/>
    </row>
    <row r="459" spans="10:13" x14ac:dyDescent="0.25">
      <c r="J459" s="122"/>
      <c r="K459" s="122"/>
      <c r="L459" s="122"/>
      <c r="M459" s="122"/>
    </row>
    <row r="460" spans="10:13" x14ac:dyDescent="0.25">
      <c r="J460" s="122"/>
      <c r="K460" s="122"/>
      <c r="L460" s="122"/>
      <c r="M460" s="122"/>
    </row>
    <row r="461" spans="10:13" x14ac:dyDescent="0.25">
      <c r="J461" s="122"/>
      <c r="K461" s="122"/>
      <c r="L461" s="122"/>
      <c r="M461" s="122"/>
    </row>
    <row r="462" spans="10:13" x14ac:dyDescent="0.25">
      <c r="J462" s="122"/>
      <c r="K462" s="122"/>
      <c r="L462" s="122"/>
      <c r="M462" s="122"/>
    </row>
    <row r="463" spans="10:13" x14ac:dyDescent="0.25">
      <c r="J463" s="122"/>
      <c r="K463" s="122"/>
      <c r="L463" s="122"/>
      <c r="M463" s="122"/>
    </row>
    <row r="464" spans="10:13" x14ac:dyDescent="0.25">
      <c r="J464" s="122"/>
      <c r="K464" s="122"/>
      <c r="L464" s="122"/>
      <c r="M464" s="122"/>
    </row>
    <row r="465" spans="10:13" x14ac:dyDescent="0.25">
      <c r="J465" s="122"/>
      <c r="K465" s="122"/>
      <c r="L465" s="122"/>
      <c r="M465" s="122"/>
    </row>
    <row r="466" spans="10:13" x14ac:dyDescent="0.25">
      <c r="J466" s="122"/>
      <c r="K466" s="122"/>
      <c r="L466" s="122"/>
      <c r="M466" s="122"/>
    </row>
    <row r="467" spans="10:13" x14ac:dyDescent="0.25">
      <c r="J467" s="122"/>
      <c r="K467" s="122"/>
      <c r="L467" s="122"/>
      <c r="M467" s="122"/>
    </row>
    <row r="468" spans="10:13" x14ac:dyDescent="0.25">
      <c r="J468" s="122"/>
      <c r="K468" s="122"/>
      <c r="L468" s="122"/>
      <c r="M468" s="122"/>
    </row>
    <row r="469" spans="10:13" x14ac:dyDescent="0.25">
      <c r="J469" s="122"/>
      <c r="K469" s="122"/>
      <c r="L469" s="122"/>
      <c r="M469" s="122"/>
    </row>
    <row r="470" spans="10:13" x14ac:dyDescent="0.25">
      <c r="J470" s="122"/>
      <c r="K470" s="122"/>
      <c r="L470" s="122"/>
      <c r="M470" s="122"/>
    </row>
    <row r="471" spans="10:13" x14ac:dyDescent="0.25">
      <c r="J471" s="122"/>
      <c r="K471" s="122"/>
      <c r="L471" s="122"/>
      <c r="M471" s="122"/>
    </row>
    <row r="472" spans="10:13" x14ac:dyDescent="0.25">
      <c r="J472" s="122"/>
      <c r="K472" s="122"/>
      <c r="L472" s="122"/>
      <c r="M472" s="122"/>
    </row>
    <row r="473" spans="10:13" x14ac:dyDescent="0.25">
      <c r="J473" s="122"/>
      <c r="K473" s="122"/>
      <c r="L473" s="122"/>
      <c r="M473" s="122"/>
    </row>
    <row r="474" spans="10:13" x14ac:dyDescent="0.25">
      <c r="J474" s="122"/>
      <c r="K474" s="122"/>
      <c r="L474" s="122"/>
      <c r="M474" s="122"/>
    </row>
    <row r="475" spans="10:13" x14ac:dyDescent="0.25">
      <c r="J475" s="122"/>
      <c r="K475" s="122"/>
      <c r="L475" s="122"/>
      <c r="M475" s="122"/>
    </row>
    <row r="476" spans="10:13" x14ac:dyDescent="0.25">
      <c r="J476" s="122"/>
      <c r="K476" s="122"/>
      <c r="L476" s="122"/>
      <c r="M476" s="122"/>
    </row>
    <row r="477" spans="10:13" x14ac:dyDescent="0.25">
      <c r="J477" s="122"/>
      <c r="K477" s="122"/>
      <c r="L477" s="122"/>
      <c r="M477" s="122"/>
    </row>
    <row r="478" spans="10:13" x14ac:dyDescent="0.25">
      <c r="J478" s="122"/>
      <c r="K478" s="122"/>
      <c r="L478" s="122"/>
      <c r="M478" s="122"/>
    </row>
    <row r="479" spans="10:13" x14ac:dyDescent="0.25">
      <c r="J479" s="122"/>
      <c r="K479" s="122"/>
      <c r="L479" s="122"/>
      <c r="M479" s="122"/>
    </row>
    <row r="480" spans="10:13" x14ac:dyDescent="0.25">
      <c r="J480" s="122"/>
      <c r="K480" s="122"/>
      <c r="L480" s="122"/>
      <c r="M480" s="122"/>
    </row>
    <row r="481" spans="10:13" x14ac:dyDescent="0.25">
      <c r="J481" s="122"/>
      <c r="K481" s="122"/>
      <c r="L481" s="122"/>
      <c r="M481" s="122"/>
    </row>
    <row r="482" spans="10:13" x14ac:dyDescent="0.25">
      <c r="J482" s="122"/>
      <c r="K482" s="122"/>
      <c r="L482" s="122"/>
      <c r="M482" s="122"/>
    </row>
    <row r="483" spans="10:13" x14ac:dyDescent="0.25">
      <c r="J483" s="122"/>
      <c r="K483" s="122"/>
      <c r="L483" s="122"/>
      <c r="M483" s="122"/>
    </row>
    <row r="484" spans="10:13" x14ac:dyDescent="0.25">
      <c r="J484" s="122"/>
      <c r="K484" s="122"/>
      <c r="L484" s="122"/>
      <c r="M484" s="122"/>
    </row>
    <row r="485" spans="10:13" x14ac:dyDescent="0.25">
      <c r="J485" s="122"/>
      <c r="K485" s="122"/>
      <c r="L485" s="122"/>
      <c r="M485" s="122"/>
    </row>
    <row r="486" spans="10:13" x14ac:dyDescent="0.25">
      <c r="J486" s="122"/>
      <c r="K486" s="122"/>
      <c r="L486" s="122"/>
      <c r="M486" s="122"/>
    </row>
    <row r="487" spans="10:13" x14ac:dyDescent="0.25">
      <c r="J487" s="122"/>
      <c r="K487" s="122"/>
      <c r="L487" s="122"/>
      <c r="M487" s="122"/>
    </row>
    <row r="488" spans="10:13" x14ac:dyDescent="0.25">
      <c r="J488" s="122"/>
      <c r="K488" s="122"/>
      <c r="L488" s="122"/>
      <c r="M488" s="122"/>
    </row>
    <row r="489" spans="10:13" x14ac:dyDescent="0.25">
      <c r="J489" s="122"/>
      <c r="K489" s="122"/>
      <c r="L489" s="122"/>
      <c r="M489" s="122"/>
    </row>
    <row r="490" spans="10:13" x14ac:dyDescent="0.25">
      <c r="J490" s="122"/>
      <c r="K490" s="122"/>
      <c r="L490" s="122"/>
      <c r="M490" s="122"/>
    </row>
    <row r="491" spans="10:13" x14ac:dyDescent="0.25">
      <c r="J491" s="122"/>
      <c r="K491" s="122"/>
      <c r="L491" s="122"/>
      <c r="M491" s="122"/>
    </row>
    <row r="492" spans="10:13" x14ac:dyDescent="0.25">
      <c r="J492" s="122"/>
      <c r="K492" s="122"/>
      <c r="L492" s="122"/>
      <c r="M492" s="122"/>
    </row>
    <row r="493" spans="10:13" x14ac:dyDescent="0.25">
      <c r="J493" s="122"/>
      <c r="K493" s="122"/>
      <c r="L493" s="122"/>
      <c r="M493" s="122"/>
    </row>
    <row r="494" spans="10:13" x14ac:dyDescent="0.25">
      <c r="J494" s="122"/>
      <c r="K494" s="122"/>
      <c r="L494" s="122"/>
      <c r="M494" s="122"/>
    </row>
    <row r="495" spans="10:13" x14ac:dyDescent="0.25">
      <c r="J495" s="122"/>
      <c r="K495" s="122"/>
      <c r="L495" s="122"/>
      <c r="M495" s="122"/>
    </row>
    <row r="496" spans="10:13" x14ac:dyDescent="0.25">
      <c r="J496" s="122"/>
      <c r="K496" s="122"/>
      <c r="L496" s="122"/>
      <c r="M496" s="122"/>
    </row>
    <row r="497" spans="10:13" x14ac:dyDescent="0.25">
      <c r="J497" s="122"/>
      <c r="K497" s="122"/>
      <c r="L497" s="122"/>
      <c r="M497" s="122"/>
    </row>
    <row r="498" spans="10:13" x14ac:dyDescent="0.25">
      <c r="J498" s="122"/>
      <c r="K498" s="122"/>
      <c r="L498" s="122"/>
      <c r="M498" s="122"/>
    </row>
    <row r="499" spans="10:13" x14ac:dyDescent="0.25">
      <c r="J499" s="122"/>
      <c r="K499" s="122"/>
      <c r="L499" s="122"/>
      <c r="M499" s="122"/>
    </row>
    <row r="500" spans="10:13" x14ac:dyDescent="0.25">
      <c r="J500" s="122"/>
      <c r="K500" s="122"/>
      <c r="L500" s="122"/>
      <c r="M500" s="122"/>
    </row>
    <row r="501" spans="10:13" x14ac:dyDescent="0.25">
      <c r="J501" s="122"/>
      <c r="K501" s="122"/>
      <c r="L501" s="122"/>
      <c r="M501" s="122"/>
    </row>
    <row r="502" spans="10:13" x14ac:dyDescent="0.25">
      <c r="J502" s="122"/>
      <c r="K502" s="122"/>
      <c r="L502" s="122"/>
      <c r="M502" s="122"/>
    </row>
    <row r="503" spans="10:13" x14ac:dyDescent="0.25">
      <c r="J503" s="122"/>
      <c r="K503" s="122"/>
      <c r="L503" s="122"/>
      <c r="M503" s="122"/>
    </row>
    <row r="504" spans="10:13" x14ac:dyDescent="0.25">
      <c r="J504" s="122"/>
      <c r="K504" s="122"/>
      <c r="L504" s="122"/>
      <c r="M504" s="122"/>
    </row>
    <row r="505" spans="10:13" x14ac:dyDescent="0.25">
      <c r="J505" s="122"/>
      <c r="K505" s="122"/>
      <c r="L505" s="122"/>
      <c r="M505" s="122"/>
    </row>
    <row r="506" spans="10:13" x14ac:dyDescent="0.25">
      <c r="J506" s="122"/>
      <c r="K506" s="122"/>
      <c r="L506" s="122"/>
      <c r="M506" s="122"/>
    </row>
    <row r="507" spans="10:13" x14ac:dyDescent="0.25">
      <c r="J507" s="122"/>
      <c r="K507" s="122"/>
      <c r="L507" s="122"/>
      <c r="M507" s="122"/>
    </row>
    <row r="508" spans="10:13" x14ac:dyDescent="0.25">
      <c r="J508" s="122"/>
      <c r="K508" s="122"/>
      <c r="L508" s="122"/>
      <c r="M508" s="122"/>
    </row>
    <row r="509" spans="10:13" x14ac:dyDescent="0.25">
      <c r="J509" s="122"/>
      <c r="K509" s="122"/>
      <c r="L509" s="122"/>
      <c r="M509" s="122"/>
    </row>
    <row r="510" spans="10:13" x14ac:dyDescent="0.25">
      <c r="J510" s="122"/>
      <c r="K510" s="122"/>
      <c r="L510" s="122"/>
      <c r="M510" s="122"/>
    </row>
    <row r="511" spans="10:13" x14ac:dyDescent="0.25">
      <c r="J511" s="122"/>
      <c r="K511" s="122"/>
      <c r="L511" s="122"/>
      <c r="M511" s="122"/>
    </row>
    <row r="512" spans="10:13" x14ac:dyDescent="0.25">
      <c r="J512" s="122"/>
      <c r="K512" s="122"/>
      <c r="L512" s="122"/>
      <c r="M512" s="122"/>
    </row>
    <row r="513" spans="10:13" x14ac:dyDescent="0.25">
      <c r="J513" s="122"/>
      <c r="K513" s="122"/>
      <c r="L513" s="122"/>
      <c r="M513" s="122"/>
    </row>
    <row r="514" spans="10:13" x14ac:dyDescent="0.25">
      <c r="J514" s="122"/>
      <c r="K514" s="122"/>
      <c r="L514" s="122"/>
      <c r="M514" s="122"/>
    </row>
    <row r="515" spans="10:13" x14ac:dyDescent="0.25">
      <c r="J515" s="122"/>
      <c r="K515" s="122"/>
      <c r="L515" s="122"/>
      <c r="M515" s="122"/>
    </row>
    <row r="516" spans="10:13" x14ac:dyDescent="0.25">
      <c r="J516" s="122"/>
      <c r="K516" s="122"/>
      <c r="L516" s="122"/>
      <c r="M516" s="122"/>
    </row>
    <row r="517" spans="10:13" x14ac:dyDescent="0.25">
      <c r="J517" s="122"/>
      <c r="K517" s="122"/>
      <c r="L517" s="122"/>
      <c r="M517" s="122"/>
    </row>
    <row r="518" spans="10:13" x14ac:dyDescent="0.25">
      <c r="J518" s="122"/>
      <c r="K518" s="122"/>
      <c r="L518" s="122"/>
      <c r="M518" s="122"/>
    </row>
    <row r="519" spans="10:13" x14ac:dyDescent="0.25">
      <c r="J519" s="122"/>
      <c r="K519" s="122"/>
      <c r="L519" s="122"/>
      <c r="M519" s="122"/>
    </row>
    <row r="520" spans="10:13" x14ac:dyDescent="0.25">
      <c r="J520" s="122"/>
      <c r="K520" s="122"/>
      <c r="L520" s="122"/>
      <c r="M520" s="122"/>
    </row>
    <row r="521" spans="10:13" x14ac:dyDescent="0.25">
      <c r="J521" s="122"/>
      <c r="K521" s="122"/>
      <c r="L521" s="122"/>
      <c r="M521" s="122"/>
    </row>
    <row r="522" spans="10:13" x14ac:dyDescent="0.25">
      <c r="J522" s="122"/>
      <c r="K522" s="122"/>
      <c r="L522" s="122"/>
      <c r="M522" s="122"/>
    </row>
    <row r="523" spans="10:13" x14ac:dyDescent="0.25">
      <c r="J523" s="122"/>
      <c r="K523" s="122"/>
      <c r="L523" s="122"/>
      <c r="M523" s="122"/>
    </row>
    <row r="524" spans="10:13" x14ac:dyDescent="0.25">
      <c r="J524" s="122"/>
      <c r="K524" s="122"/>
      <c r="L524" s="122"/>
      <c r="M524" s="122"/>
    </row>
    <row r="525" spans="10:13" x14ac:dyDescent="0.25">
      <c r="J525" s="122"/>
      <c r="K525" s="122"/>
      <c r="L525" s="122"/>
      <c r="M525" s="122"/>
    </row>
    <row r="526" spans="10:13" x14ac:dyDescent="0.25">
      <c r="J526" s="122"/>
      <c r="K526" s="122"/>
      <c r="L526" s="122"/>
      <c r="M526" s="122"/>
    </row>
    <row r="527" spans="10:13" x14ac:dyDescent="0.25">
      <c r="J527" s="122"/>
      <c r="K527" s="122"/>
      <c r="L527" s="122"/>
      <c r="M527" s="122"/>
    </row>
    <row r="528" spans="10:13" x14ac:dyDescent="0.25">
      <c r="J528" s="122"/>
      <c r="K528" s="122"/>
      <c r="L528" s="122"/>
      <c r="M528" s="122"/>
    </row>
    <row r="529" spans="10:13" x14ac:dyDescent="0.25">
      <c r="J529" s="122"/>
      <c r="K529" s="122"/>
      <c r="L529" s="122"/>
      <c r="M529" s="122"/>
    </row>
    <row r="530" spans="10:13" x14ac:dyDescent="0.25">
      <c r="J530" s="122"/>
      <c r="K530" s="122"/>
      <c r="L530" s="122"/>
      <c r="M530" s="122"/>
    </row>
    <row r="531" spans="10:13" x14ac:dyDescent="0.25">
      <c r="J531" s="122"/>
      <c r="K531" s="122"/>
      <c r="L531" s="122"/>
      <c r="M531" s="122"/>
    </row>
    <row r="532" spans="10:13" x14ac:dyDescent="0.25">
      <c r="J532" s="122"/>
      <c r="K532" s="122"/>
      <c r="L532" s="122"/>
      <c r="M532" s="122"/>
    </row>
    <row r="533" spans="10:13" x14ac:dyDescent="0.25">
      <c r="J533" s="122"/>
      <c r="K533" s="122"/>
      <c r="L533" s="122"/>
      <c r="M533" s="122"/>
    </row>
    <row r="534" spans="10:13" x14ac:dyDescent="0.25">
      <c r="J534" s="122"/>
      <c r="K534" s="122"/>
      <c r="L534" s="122"/>
      <c r="M534" s="122"/>
    </row>
    <row r="535" spans="10:13" x14ac:dyDescent="0.25">
      <c r="J535" s="122"/>
      <c r="K535" s="122"/>
      <c r="L535" s="122"/>
      <c r="M535" s="122"/>
    </row>
    <row r="536" spans="10:13" x14ac:dyDescent="0.25">
      <c r="J536" s="122"/>
      <c r="K536" s="122"/>
      <c r="L536" s="122"/>
      <c r="M536" s="122"/>
    </row>
    <row r="537" spans="10:13" x14ac:dyDescent="0.25">
      <c r="J537" s="122"/>
      <c r="K537" s="122"/>
      <c r="L537" s="122"/>
      <c r="M537" s="122"/>
    </row>
    <row r="538" spans="10:13" x14ac:dyDescent="0.25">
      <c r="J538" s="122"/>
      <c r="K538" s="122"/>
      <c r="L538" s="122"/>
      <c r="M538" s="122"/>
    </row>
    <row r="539" spans="10:13" x14ac:dyDescent="0.25">
      <c r="J539" s="122"/>
      <c r="K539" s="122"/>
      <c r="L539" s="122"/>
      <c r="M539" s="122"/>
    </row>
    <row r="540" spans="10:13" x14ac:dyDescent="0.25">
      <c r="J540" s="122"/>
      <c r="K540" s="122"/>
      <c r="L540" s="122"/>
      <c r="M540" s="122"/>
    </row>
    <row r="541" spans="10:13" x14ac:dyDescent="0.25">
      <c r="J541" s="122"/>
      <c r="K541" s="122"/>
      <c r="L541" s="122"/>
      <c r="M541" s="122"/>
    </row>
    <row r="542" spans="10:13" x14ac:dyDescent="0.25">
      <c r="J542" s="122"/>
      <c r="K542" s="122"/>
      <c r="L542" s="122"/>
      <c r="M542" s="122"/>
    </row>
    <row r="543" spans="10:13" x14ac:dyDescent="0.25">
      <c r="J543" s="122"/>
      <c r="K543" s="122"/>
      <c r="L543" s="122"/>
      <c r="M543" s="122"/>
    </row>
    <row r="544" spans="10:13" x14ac:dyDescent="0.25">
      <c r="J544" s="122"/>
      <c r="K544" s="122"/>
      <c r="L544" s="122"/>
      <c r="M544" s="122"/>
    </row>
    <row r="545" spans="10:13" x14ac:dyDescent="0.25">
      <c r="J545" s="122"/>
      <c r="K545" s="122"/>
      <c r="L545" s="122"/>
      <c r="M545" s="122"/>
    </row>
    <row r="546" spans="10:13" x14ac:dyDescent="0.25">
      <c r="J546" s="122"/>
      <c r="K546" s="122"/>
      <c r="L546" s="122"/>
      <c r="M546" s="122"/>
    </row>
    <row r="547" spans="10:13" x14ac:dyDescent="0.25">
      <c r="J547" s="122"/>
      <c r="K547" s="122"/>
      <c r="L547" s="122"/>
      <c r="M547" s="122"/>
    </row>
    <row r="548" spans="10:13" x14ac:dyDescent="0.25">
      <c r="J548" s="122"/>
      <c r="K548" s="122"/>
      <c r="L548" s="122"/>
      <c r="M548" s="122"/>
    </row>
    <row r="549" spans="10:13" x14ac:dyDescent="0.25">
      <c r="J549" s="122"/>
      <c r="K549" s="122"/>
      <c r="L549" s="122"/>
      <c r="M549" s="122"/>
    </row>
    <row r="550" spans="10:13" x14ac:dyDescent="0.25">
      <c r="J550" s="122"/>
      <c r="K550" s="122"/>
      <c r="L550" s="122"/>
      <c r="M550" s="122"/>
    </row>
    <row r="551" spans="10:13" x14ac:dyDescent="0.25">
      <c r="J551" s="122"/>
      <c r="K551" s="122"/>
      <c r="L551" s="122"/>
      <c r="M551" s="122"/>
    </row>
    <row r="552" spans="10:13" x14ac:dyDescent="0.25">
      <c r="J552" s="122"/>
      <c r="K552" s="122"/>
      <c r="L552" s="122"/>
      <c r="M552" s="122"/>
    </row>
    <row r="553" spans="10:13" x14ac:dyDescent="0.25">
      <c r="J553" s="122"/>
      <c r="K553" s="122"/>
      <c r="L553" s="122"/>
      <c r="M553" s="122"/>
    </row>
    <row r="554" spans="10:13" x14ac:dyDescent="0.25">
      <c r="J554" s="122"/>
      <c r="K554" s="122"/>
      <c r="L554" s="122"/>
      <c r="M554" s="122"/>
    </row>
    <row r="555" spans="10:13" x14ac:dyDescent="0.25">
      <c r="J555" s="122"/>
      <c r="K555" s="122"/>
      <c r="L555" s="122"/>
      <c r="M555" s="122"/>
    </row>
    <row r="556" spans="10:13" x14ac:dyDescent="0.25">
      <c r="J556" s="122"/>
      <c r="K556" s="122"/>
      <c r="L556" s="122"/>
      <c r="M556" s="122"/>
    </row>
    <row r="557" spans="10:13" x14ac:dyDescent="0.25">
      <c r="J557" s="122"/>
      <c r="K557" s="122"/>
      <c r="L557" s="122"/>
      <c r="M557" s="122"/>
    </row>
    <row r="558" spans="10:13" x14ac:dyDescent="0.25">
      <c r="J558" s="122"/>
      <c r="K558" s="122"/>
      <c r="L558" s="122"/>
      <c r="M558" s="122"/>
    </row>
    <row r="559" spans="10:13" x14ac:dyDescent="0.25">
      <c r="J559" s="122"/>
      <c r="K559" s="122"/>
      <c r="L559" s="122"/>
      <c r="M559" s="122"/>
    </row>
    <row r="560" spans="10:13" x14ac:dyDescent="0.25">
      <c r="J560" s="122"/>
      <c r="K560" s="122"/>
      <c r="L560" s="122"/>
      <c r="M560" s="122"/>
    </row>
    <row r="561" spans="10:13" x14ac:dyDescent="0.25">
      <c r="J561" s="122"/>
      <c r="K561" s="122"/>
      <c r="L561" s="122"/>
      <c r="M561" s="122"/>
    </row>
    <row r="562" spans="10:13" x14ac:dyDescent="0.25">
      <c r="J562" s="122"/>
      <c r="K562" s="122"/>
      <c r="L562" s="122"/>
      <c r="M562" s="122"/>
    </row>
    <row r="563" spans="10:13" x14ac:dyDescent="0.25">
      <c r="J563" s="122"/>
      <c r="K563" s="122"/>
      <c r="L563" s="122"/>
      <c r="M563" s="122"/>
    </row>
    <row r="564" spans="10:13" x14ac:dyDescent="0.25">
      <c r="J564" s="122"/>
      <c r="K564" s="122"/>
      <c r="L564" s="122"/>
      <c r="M564" s="122"/>
    </row>
    <row r="565" spans="10:13" x14ac:dyDescent="0.25">
      <c r="J565" s="122"/>
      <c r="K565" s="122"/>
      <c r="L565" s="122"/>
      <c r="M565" s="122"/>
    </row>
    <row r="566" spans="10:13" x14ac:dyDescent="0.25">
      <c r="J566" s="122"/>
      <c r="K566" s="122"/>
      <c r="L566" s="122"/>
      <c r="M566" s="122"/>
    </row>
    <row r="567" spans="10:13" x14ac:dyDescent="0.25">
      <c r="J567" s="122"/>
      <c r="K567" s="122"/>
      <c r="L567" s="122"/>
      <c r="M567" s="122"/>
    </row>
    <row r="568" spans="10:13" x14ac:dyDescent="0.25">
      <c r="J568" s="122"/>
      <c r="K568" s="122"/>
      <c r="L568" s="122"/>
      <c r="M568" s="122"/>
    </row>
    <row r="569" spans="10:13" x14ac:dyDescent="0.25">
      <c r="J569" s="122"/>
      <c r="K569" s="122"/>
      <c r="L569" s="122"/>
      <c r="M569" s="122"/>
    </row>
    <row r="570" spans="10:13" x14ac:dyDescent="0.25">
      <c r="J570" s="122"/>
      <c r="K570" s="122"/>
      <c r="L570" s="122"/>
      <c r="M570" s="122"/>
    </row>
    <row r="571" spans="10:13" x14ac:dyDescent="0.25">
      <c r="J571" s="122"/>
      <c r="K571" s="122"/>
      <c r="L571" s="122"/>
      <c r="M571" s="122"/>
    </row>
    <row r="572" spans="10:13" x14ac:dyDescent="0.25">
      <c r="J572" s="122"/>
      <c r="K572" s="122"/>
      <c r="L572" s="122"/>
      <c r="M572" s="122"/>
    </row>
    <row r="573" spans="10:13" x14ac:dyDescent="0.25">
      <c r="J573" s="122"/>
      <c r="K573" s="122"/>
      <c r="L573" s="122"/>
      <c r="M573" s="122"/>
    </row>
    <row r="574" spans="10:13" x14ac:dyDescent="0.25">
      <c r="J574" s="122"/>
      <c r="K574" s="122"/>
      <c r="L574" s="122"/>
      <c r="M574" s="122"/>
    </row>
    <row r="575" spans="10:13" x14ac:dyDescent="0.25">
      <c r="J575" s="122"/>
      <c r="K575" s="122"/>
      <c r="L575" s="122"/>
      <c r="M575" s="122"/>
    </row>
    <row r="576" spans="10:13" x14ac:dyDescent="0.25">
      <c r="J576" s="122"/>
      <c r="K576" s="122"/>
      <c r="L576" s="122"/>
      <c r="M576" s="122"/>
    </row>
    <row r="577" spans="10:13" x14ac:dyDescent="0.25">
      <c r="J577" s="122"/>
      <c r="K577" s="122"/>
      <c r="L577" s="122"/>
      <c r="M577" s="122"/>
    </row>
    <row r="578" spans="10:13" x14ac:dyDescent="0.25">
      <c r="J578" s="122"/>
      <c r="K578" s="122"/>
      <c r="L578" s="122"/>
      <c r="M578" s="122"/>
    </row>
    <row r="579" spans="10:13" x14ac:dyDescent="0.25">
      <c r="J579" s="122"/>
      <c r="K579" s="122"/>
      <c r="L579" s="122"/>
      <c r="M579" s="122"/>
    </row>
    <row r="580" spans="10:13" x14ac:dyDescent="0.25">
      <c r="J580" s="122"/>
      <c r="K580" s="122"/>
      <c r="L580" s="122"/>
      <c r="M580" s="122"/>
    </row>
    <row r="581" spans="10:13" x14ac:dyDescent="0.25">
      <c r="J581" s="122"/>
      <c r="K581" s="122"/>
      <c r="L581" s="122"/>
      <c r="M581" s="122"/>
    </row>
    <row r="582" spans="10:13" x14ac:dyDescent="0.25">
      <c r="J582" s="122"/>
      <c r="K582" s="122"/>
      <c r="L582" s="122"/>
      <c r="M582" s="122"/>
    </row>
    <row r="583" spans="10:13" x14ac:dyDescent="0.25">
      <c r="J583" s="122"/>
      <c r="K583" s="122"/>
      <c r="L583" s="122"/>
      <c r="M583" s="122"/>
    </row>
    <row r="584" spans="10:13" x14ac:dyDescent="0.25">
      <c r="J584" s="122"/>
      <c r="K584" s="122"/>
      <c r="L584" s="122"/>
      <c r="M584" s="122"/>
    </row>
    <row r="585" spans="10:13" x14ac:dyDescent="0.25">
      <c r="J585" s="122"/>
      <c r="K585" s="122"/>
      <c r="L585" s="122"/>
      <c r="M585" s="122"/>
    </row>
    <row r="586" spans="10:13" x14ac:dyDescent="0.25">
      <c r="J586" s="122"/>
      <c r="K586" s="122"/>
      <c r="L586" s="122"/>
      <c r="M586" s="122"/>
    </row>
    <row r="587" spans="10:13" x14ac:dyDescent="0.25">
      <c r="J587" s="122"/>
      <c r="K587" s="122"/>
      <c r="L587" s="122"/>
      <c r="M587" s="122"/>
    </row>
    <row r="588" spans="10:13" x14ac:dyDescent="0.25">
      <c r="J588" s="122"/>
      <c r="K588" s="122"/>
      <c r="L588" s="122"/>
      <c r="M588" s="122"/>
    </row>
    <row r="589" spans="10:13" x14ac:dyDescent="0.25">
      <c r="J589" s="122"/>
      <c r="K589" s="122"/>
      <c r="L589" s="122"/>
      <c r="M589" s="122"/>
    </row>
    <row r="590" spans="10:13" x14ac:dyDescent="0.25">
      <c r="J590" s="122"/>
      <c r="K590" s="122"/>
      <c r="L590" s="122"/>
      <c r="M590" s="122"/>
    </row>
    <row r="591" spans="10:13" x14ac:dyDescent="0.25">
      <c r="J591" s="122"/>
      <c r="K591" s="122"/>
      <c r="L591" s="122"/>
      <c r="M591" s="122"/>
    </row>
    <row r="592" spans="10:13" x14ac:dyDescent="0.25">
      <c r="J592" s="122"/>
      <c r="K592" s="122"/>
      <c r="L592" s="122"/>
      <c r="M592" s="122"/>
    </row>
    <row r="593" spans="10:13" x14ac:dyDescent="0.25">
      <c r="J593" s="122"/>
      <c r="K593" s="122"/>
      <c r="L593" s="122"/>
      <c r="M593" s="122"/>
    </row>
    <row r="594" spans="10:13" x14ac:dyDescent="0.25">
      <c r="J594" s="122"/>
      <c r="K594" s="122"/>
      <c r="L594" s="122"/>
      <c r="M594" s="122"/>
    </row>
    <row r="595" spans="10:13" x14ac:dyDescent="0.25">
      <c r="J595" s="122"/>
      <c r="K595" s="122"/>
      <c r="L595" s="122"/>
      <c r="M595" s="122"/>
    </row>
    <row r="596" spans="10:13" x14ac:dyDescent="0.25">
      <c r="J596" s="122"/>
      <c r="K596" s="122"/>
      <c r="L596" s="122"/>
      <c r="M596" s="122"/>
    </row>
    <row r="597" spans="10:13" x14ac:dyDescent="0.25">
      <c r="J597" s="122"/>
      <c r="K597" s="122"/>
      <c r="L597" s="122"/>
      <c r="M597" s="122"/>
    </row>
    <row r="598" spans="10:13" x14ac:dyDescent="0.25">
      <c r="J598" s="122"/>
      <c r="K598" s="122"/>
      <c r="L598" s="122"/>
      <c r="M598" s="122"/>
    </row>
    <row r="599" spans="10:13" x14ac:dyDescent="0.25">
      <c r="J599" s="122"/>
      <c r="K599" s="122"/>
      <c r="L599" s="122"/>
      <c r="M599" s="122"/>
    </row>
    <row r="600" spans="10:13" x14ac:dyDescent="0.25">
      <c r="J600" s="122"/>
      <c r="K600" s="122"/>
      <c r="L600" s="122"/>
      <c r="M600" s="122"/>
    </row>
    <row r="601" spans="10:13" x14ac:dyDescent="0.25">
      <c r="J601" s="122"/>
      <c r="K601" s="122"/>
      <c r="L601" s="122"/>
      <c r="M601" s="122"/>
    </row>
    <row r="602" spans="10:13" x14ac:dyDescent="0.25">
      <c r="J602" s="122"/>
      <c r="K602" s="122"/>
      <c r="L602" s="122"/>
      <c r="M602" s="122"/>
    </row>
    <row r="603" spans="10:13" x14ac:dyDescent="0.25">
      <c r="J603" s="122"/>
      <c r="K603" s="122"/>
      <c r="L603" s="122"/>
      <c r="M603" s="122"/>
    </row>
    <row r="604" spans="10:13" x14ac:dyDescent="0.25">
      <c r="J604" s="122"/>
      <c r="K604" s="122"/>
      <c r="L604" s="122"/>
      <c r="M604" s="122"/>
    </row>
    <row r="605" spans="10:13" x14ac:dyDescent="0.25">
      <c r="J605" s="122"/>
      <c r="K605" s="122"/>
      <c r="L605" s="122"/>
      <c r="M605" s="122"/>
    </row>
    <row r="606" spans="10:13" x14ac:dyDescent="0.25">
      <c r="J606" s="122"/>
      <c r="K606" s="122"/>
      <c r="L606" s="122"/>
      <c r="M606" s="122"/>
    </row>
    <row r="607" spans="10:13" x14ac:dyDescent="0.25">
      <c r="J607" s="122"/>
      <c r="K607" s="122"/>
      <c r="L607" s="122"/>
      <c r="M607" s="122"/>
    </row>
    <row r="608" spans="10:13" x14ac:dyDescent="0.25">
      <c r="J608" s="122"/>
      <c r="K608" s="122"/>
      <c r="L608" s="122"/>
      <c r="M608" s="122"/>
    </row>
    <row r="609" spans="10:13" x14ac:dyDescent="0.25">
      <c r="J609" s="122"/>
      <c r="K609" s="122"/>
      <c r="L609" s="122"/>
      <c r="M609" s="122"/>
    </row>
    <row r="610" spans="10:13" x14ac:dyDescent="0.25">
      <c r="J610" s="122"/>
      <c r="K610" s="122"/>
      <c r="L610" s="122"/>
      <c r="M610" s="122"/>
    </row>
    <row r="611" spans="10:13" x14ac:dyDescent="0.25">
      <c r="J611" s="122"/>
      <c r="K611" s="122"/>
      <c r="L611" s="122"/>
      <c r="M611" s="122"/>
    </row>
    <row r="612" spans="10:13" x14ac:dyDescent="0.25">
      <c r="J612" s="122"/>
      <c r="K612" s="122"/>
      <c r="L612" s="122"/>
      <c r="M612" s="122"/>
    </row>
    <row r="613" spans="10:13" x14ac:dyDescent="0.25">
      <c r="J613" s="122"/>
      <c r="K613" s="122"/>
      <c r="L613" s="122"/>
      <c r="M613" s="122"/>
    </row>
    <row r="614" spans="10:13" x14ac:dyDescent="0.25">
      <c r="J614" s="122"/>
      <c r="K614" s="122"/>
      <c r="L614" s="122"/>
      <c r="M614" s="122"/>
    </row>
    <row r="615" spans="10:13" x14ac:dyDescent="0.25">
      <c r="J615" s="122"/>
      <c r="K615" s="122"/>
      <c r="L615" s="122"/>
      <c r="M615" s="122"/>
    </row>
    <row r="616" spans="10:13" x14ac:dyDescent="0.25">
      <c r="J616" s="122"/>
      <c r="K616" s="122"/>
      <c r="L616" s="122"/>
      <c r="M616" s="122"/>
    </row>
    <row r="617" spans="10:13" x14ac:dyDescent="0.25">
      <c r="J617" s="122"/>
      <c r="K617" s="122"/>
      <c r="L617" s="122"/>
      <c r="M617" s="122"/>
    </row>
    <row r="618" spans="10:13" x14ac:dyDescent="0.25">
      <c r="J618" s="122"/>
      <c r="K618" s="122"/>
      <c r="L618" s="122"/>
      <c r="M618" s="122"/>
    </row>
    <row r="619" spans="10:13" x14ac:dyDescent="0.25">
      <c r="J619" s="122"/>
      <c r="K619" s="122"/>
      <c r="L619" s="122"/>
      <c r="M619" s="122"/>
    </row>
    <row r="620" spans="10:13" x14ac:dyDescent="0.25">
      <c r="J620" s="122"/>
      <c r="K620" s="122"/>
      <c r="L620" s="122"/>
      <c r="M620" s="122"/>
    </row>
    <row r="621" spans="10:13" x14ac:dyDescent="0.25">
      <c r="J621" s="122"/>
      <c r="K621" s="122"/>
      <c r="L621" s="122"/>
      <c r="M621" s="122"/>
    </row>
    <row r="622" spans="10:13" x14ac:dyDescent="0.25">
      <c r="J622" s="122"/>
      <c r="K622" s="122"/>
      <c r="L622" s="122"/>
      <c r="M622" s="122"/>
    </row>
    <row r="623" spans="10:13" x14ac:dyDescent="0.25">
      <c r="J623" s="122"/>
      <c r="K623" s="122"/>
      <c r="L623" s="122"/>
      <c r="M623" s="122"/>
    </row>
    <row r="624" spans="10:13" x14ac:dyDescent="0.25">
      <c r="J624" s="122"/>
      <c r="K624" s="122"/>
      <c r="L624" s="122"/>
      <c r="M624" s="122"/>
    </row>
    <row r="625" spans="10:13" x14ac:dyDescent="0.25">
      <c r="J625" s="122"/>
      <c r="K625" s="122"/>
      <c r="L625" s="122"/>
      <c r="M625" s="122"/>
    </row>
    <row r="626" spans="10:13" x14ac:dyDescent="0.25">
      <c r="J626" s="122"/>
      <c r="K626" s="122"/>
      <c r="L626" s="122"/>
      <c r="M626" s="122"/>
    </row>
    <row r="627" spans="10:13" x14ac:dyDescent="0.25">
      <c r="J627" s="122"/>
      <c r="K627" s="122"/>
      <c r="L627" s="122"/>
      <c r="M627" s="122"/>
    </row>
    <row r="628" spans="10:13" x14ac:dyDescent="0.25">
      <c r="J628" s="122"/>
      <c r="K628" s="122"/>
      <c r="L628" s="122"/>
      <c r="M628" s="122"/>
    </row>
    <row r="629" spans="10:13" x14ac:dyDescent="0.25">
      <c r="J629" s="122"/>
      <c r="K629" s="122"/>
      <c r="L629" s="122"/>
      <c r="M629" s="122"/>
    </row>
    <row r="630" spans="10:13" x14ac:dyDescent="0.25">
      <c r="J630" s="122"/>
      <c r="K630" s="122"/>
      <c r="L630" s="122"/>
      <c r="M630" s="122"/>
    </row>
    <row r="631" spans="10:13" x14ac:dyDescent="0.25">
      <c r="J631" s="122"/>
      <c r="K631" s="122"/>
      <c r="L631" s="122"/>
      <c r="M631" s="122"/>
    </row>
    <row r="632" spans="10:13" x14ac:dyDescent="0.25">
      <c r="J632" s="122"/>
      <c r="K632" s="122"/>
      <c r="L632" s="122"/>
      <c r="M632" s="122"/>
    </row>
    <row r="633" spans="10:13" x14ac:dyDescent="0.25">
      <c r="J633" s="122"/>
      <c r="K633" s="122"/>
      <c r="L633" s="122"/>
      <c r="M633" s="122"/>
    </row>
    <row r="634" spans="10:13" x14ac:dyDescent="0.25">
      <c r="J634" s="122"/>
      <c r="K634" s="122"/>
      <c r="L634" s="122"/>
      <c r="M634" s="122"/>
    </row>
    <row r="635" spans="10:13" x14ac:dyDescent="0.25">
      <c r="J635" s="122"/>
      <c r="K635" s="122"/>
      <c r="L635" s="122"/>
      <c r="M635" s="122"/>
    </row>
    <row r="636" spans="10:13" x14ac:dyDescent="0.25">
      <c r="J636" s="122"/>
      <c r="K636" s="122"/>
      <c r="L636" s="122"/>
      <c r="M636" s="122"/>
    </row>
    <row r="637" spans="10:13" x14ac:dyDescent="0.25">
      <c r="J637" s="122"/>
      <c r="K637" s="122"/>
      <c r="L637" s="122"/>
      <c r="M637" s="122"/>
    </row>
    <row r="638" spans="10:13" x14ac:dyDescent="0.25">
      <c r="J638" s="122"/>
      <c r="K638" s="122"/>
      <c r="L638" s="122"/>
      <c r="M638" s="122"/>
    </row>
    <row r="639" spans="10:13" x14ac:dyDescent="0.25">
      <c r="J639" s="122"/>
      <c r="K639" s="122"/>
      <c r="L639" s="122"/>
      <c r="M639" s="122"/>
    </row>
    <row r="640" spans="10:13" x14ac:dyDescent="0.25">
      <c r="J640" s="122"/>
      <c r="K640" s="122"/>
      <c r="L640" s="122"/>
      <c r="M640" s="122"/>
    </row>
    <row r="641" spans="10:13" x14ac:dyDescent="0.25">
      <c r="J641" s="122"/>
      <c r="K641" s="122"/>
      <c r="L641" s="122"/>
      <c r="M641" s="122"/>
    </row>
    <row r="642" spans="10:13" x14ac:dyDescent="0.25">
      <c r="J642" s="122"/>
      <c r="K642" s="122"/>
      <c r="L642" s="122"/>
      <c r="M642" s="122"/>
    </row>
    <row r="643" spans="10:13" x14ac:dyDescent="0.25">
      <c r="J643" s="122"/>
      <c r="K643" s="122"/>
      <c r="L643" s="122"/>
      <c r="M643" s="122"/>
    </row>
    <row r="644" spans="10:13" x14ac:dyDescent="0.25">
      <c r="J644" s="122"/>
      <c r="K644" s="122"/>
      <c r="L644" s="122"/>
      <c r="M644" s="122"/>
    </row>
    <row r="645" spans="10:13" x14ac:dyDescent="0.25">
      <c r="J645" s="122"/>
      <c r="K645" s="122"/>
      <c r="L645" s="122"/>
      <c r="M645" s="122"/>
    </row>
    <row r="646" spans="10:13" x14ac:dyDescent="0.25">
      <c r="J646" s="122"/>
      <c r="K646" s="122"/>
      <c r="L646" s="122"/>
      <c r="M646" s="122"/>
    </row>
    <row r="647" spans="10:13" x14ac:dyDescent="0.25">
      <c r="J647" s="122"/>
      <c r="K647" s="122"/>
      <c r="L647" s="122"/>
      <c r="M647" s="122"/>
    </row>
    <row r="648" spans="10:13" x14ac:dyDescent="0.25">
      <c r="J648" s="122"/>
      <c r="K648" s="122"/>
      <c r="L648" s="122"/>
      <c r="M648" s="122"/>
    </row>
    <row r="649" spans="10:13" x14ac:dyDescent="0.25">
      <c r="J649" s="122"/>
      <c r="K649" s="122"/>
      <c r="L649" s="122"/>
      <c r="M649" s="122"/>
    </row>
    <row r="650" spans="10:13" x14ac:dyDescent="0.25">
      <c r="J650" s="122"/>
      <c r="K650" s="122"/>
      <c r="L650" s="122"/>
      <c r="M650" s="122"/>
    </row>
    <row r="651" spans="10:13" x14ac:dyDescent="0.25">
      <c r="J651" s="122"/>
      <c r="K651" s="122"/>
      <c r="L651" s="122"/>
      <c r="M651" s="122"/>
    </row>
    <row r="652" spans="10:13" x14ac:dyDescent="0.25">
      <c r="J652" s="122"/>
      <c r="K652" s="122"/>
      <c r="L652" s="122"/>
      <c r="M652" s="122"/>
    </row>
    <row r="653" spans="10:13" x14ac:dyDescent="0.25">
      <c r="J653" s="122"/>
      <c r="K653" s="122"/>
      <c r="L653" s="122"/>
      <c r="M653" s="122"/>
    </row>
    <row r="654" spans="10:13" x14ac:dyDescent="0.25">
      <c r="J654" s="122"/>
      <c r="K654" s="122"/>
      <c r="L654" s="122"/>
      <c r="M654" s="122"/>
    </row>
    <row r="655" spans="10:13" x14ac:dyDescent="0.25">
      <c r="J655" s="122"/>
      <c r="K655" s="122"/>
      <c r="L655" s="122"/>
      <c r="M655" s="122"/>
    </row>
    <row r="656" spans="10:13" x14ac:dyDescent="0.25">
      <c r="J656" s="122"/>
      <c r="K656" s="122"/>
      <c r="L656" s="122"/>
      <c r="M656" s="122"/>
    </row>
    <row r="657" spans="10:13" x14ac:dyDescent="0.25">
      <c r="J657" s="122"/>
      <c r="K657" s="122"/>
      <c r="L657" s="122"/>
      <c r="M657" s="122"/>
    </row>
    <row r="658" spans="10:13" x14ac:dyDescent="0.25">
      <c r="J658" s="122"/>
      <c r="K658" s="122"/>
      <c r="L658" s="122"/>
      <c r="M658" s="122"/>
    </row>
    <row r="659" spans="10:13" x14ac:dyDescent="0.25">
      <c r="J659" s="122"/>
      <c r="K659" s="122"/>
      <c r="L659" s="122"/>
      <c r="M659" s="122"/>
    </row>
    <row r="660" spans="10:13" x14ac:dyDescent="0.25">
      <c r="J660" s="122"/>
      <c r="K660" s="122"/>
      <c r="L660" s="122"/>
      <c r="M660" s="122"/>
    </row>
    <row r="661" spans="10:13" x14ac:dyDescent="0.25">
      <c r="J661" s="122"/>
      <c r="K661" s="122"/>
      <c r="L661" s="122"/>
      <c r="M661" s="122"/>
    </row>
    <row r="662" spans="10:13" x14ac:dyDescent="0.25">
      <c r="J662" s="122"/>
      <c r="K662" s="122"/>
      <c r="L662" s="122"/>
      <c r="M662" s="122"/>
    </row>
    <row r="663" spans="10:13" x14ac:dyDescent="0.25">
      <c r="J663" s="122"/>
      <c r="K663" s="122"/>
      <c r="L663" s="122"/>
      <c r="M663" s="122"/>
    </row>
    <row r="664" spans="10:13" x14ac:dyDescent="0.25">
      <c r="J664" s="122"/>
      <c r="K664" s="122"/>
      <c r="L664" s="122"/>
      <c r="M664" s="122"/>
    </row>
    <row r="665" spans="10:13" x14ac:dyDescent="0.25">
      <c r="J665" s="122"/>
      <c r="K665" s="122"/>
      <c r="L665" s="122"/>
      <c r="M665" s="122"/>
    </row>
    <row r="666" spans="10:13" x14ac:dyDescent="0.25">
      <c r="J666" s="122"/>
      <c r="K666" s="122"/>
      <c r="L666" s="122"/>
      <c r="M666" s="122"/>
    </row>
    <row r="667" spans="10:13" x14ac:dyDescent="0.25">
      <c r="J667" s="122"/>
      <c r="K667" s="122"/>
      <c r="L667" s="122"/>
      <c r="M667" s="122"/>
    </row>
    <row r="668" spans="10:13" x14ac:dyDescent="0.25">
      <c r="J668" s="122"/>
      <c r="K668" s="122"/>
      <c r="L668" s="122"/>
      <c r="M668" s="122"/>
    </row>
    <row r="669" spans="10:13" x14ac:dyDescent="0.25">
      <c r="J669" s="122"/>
      <c r="K669" s="122"/>
      <c r="L669" s="122"/>
      <c r="M669" s="122"/>
    </row>
    <row r="670" spans="10:13" x14ac:dyDescent="0.25">
      <c r="J670" s="122"/>
      <c r="K670" s="122"/>
      <c r="L670" s="122"/>
      <c r="M670" s="122"/>
    </row>
    <row r="671" spans="10:13" x14ac:dyDescent="0.25">
      <c r="J671" s="122"/>
      <c r="K671" s="122"/>
      <c r="L671" s="122"/>
      <c r="M671" s="122"/>
    </row>
    <row r="672" spans="10:13" x14ac:dyDescent="0.25">
      <c r="J672" s="122"/>
      <c r="K672" s="122"/>
      <c r="L672" s="122"/>
      <c r="M672" s="122"/>
    </row>
    <row r="673" spans="10:13" x14ac:dyDescent="0.25">
      <c r="J673" s="122"/>
      <c r="K673" s="122"/>
      <c r="L673" s="122"/>
      <c r="M673" s="122"/>
    </row>
    <row r="674" spans="10:13" x14ac:dyDescent="0.25">
      <c r="J674" s="122"/>
      <c r="K674" s="122"/>
      <c r="L674" s="122"/>
      <c r="M674" s="122"/>
    </row>
    <row r="675" spans="10:13" x14ac:dyDescent="0.25">
      <c r="J675" s="122"/>
      <c r="K675" s="122"/>
      <c r="L675" s="122"/>
      <c r="M675" s="122"/>
    </row>
    <row r="676" spans="10:13" x14ac:dyDescent="0.25">
      <c r="J676" s="122"/>
      <c r="K676" s="122"/>
      <c r="L676" s="122"/>
      <c r="M676" s="122"/>
    </row>
    <row r="677" spans="10:13" x14ac:dyDescent="0.25">
      <c r="J677" s="122"/>
      <c r="K677" s="122"/>
      <c r="L677" s="122"/>
      <c r="M677" s="122"/>
    </row>
    <row r="678" spans="10:13" x14ac:dyDescent="0.25">
      <c r="J678" s="122"/>
      <c r="K678" s="122"/>
      <c r="L678" s="122"/>
      <c r="M678" s="122"/>
    </row>
    <row r="679" spans="10:13" x14ac:dyDescent="0.25">
      <c r="J679" s="122"/>
      <c r="K679" s="122"/>
      <c r="L679" s="122"/>
      <c r="M679" s="122"/>
    </row>
    <row r="680" spans="10:13" x14ac:dyDescent="0.25">
      <c r="J680" s="122"/>
      <c r="K680" s="122"/>
      <c r="L680" s="122"/>
      <c r="M680" s="122"/>
    </row>
    <row r="681" spans="10:13" x14ac:dyDescent="0.25">
      <c r="J681" s="122"/>
      <c r="K681" s="122"/>
      <c r="L681" s="122"/>
      <c r="M681" s="122"/>
    </row>
    <row r="682" spans="10:13" x14ac:dyDescent="0.25">
      <c r="J682" s="122"/>
      <c r="K682" s="122"/>
      <c r="L682" s="122"/>
      <c r="M682" s="122"/>
    </row>
    <row r="683" spans="10:13" x14ac:dyDescent="0.25">
      <c r="J683" s="122"/>
      <c r="K683" s="122"/>
      <c r="L683" s="122"/>
      <c r="M683" s="122"/>
    </row>
    <row r="684" spans="10:13" x14ac:dyDescent="0.25">
      <c r="J684" s="122"/>
      <c r="K684" s="122"/>
      <c r="L684" s="122"/>
      <c r="M684" s="122"/>
    </row>
    <row r="685" spans="10:13" x14ac:dyDescent="0.25">
      <c r="J685" s="122"/>
      <c r="K685" s="122"/>
      <c r="L685" s="122"/>
      <c r="M685" s="122"/>
    </row>
    <row r="686" spans="10:13" x14ac:dyDescent="0.25">
      <c r="J686" s="122"/>
      <c r="K686" s="122"/>
      <c r="L686" s="122"/>
      <c r="M686" s="122"/>
    </row>
    <row r="687" spans="10:13" x14ac:dyDescent="0.25">
      <c r="J687" s="122"/>
      <c r="K687" s="122"/>
      <c r="L687" s="122"/>
      <c r="M687" s="122"/>
    </row>
    <row r="688" spans="10:13" x14ac:dyDescent="0.25">
      <c r="J688" s="122"/>
      <c r="K688" s="122"/>
      <c r="L688" s="122"/>
      <c r="M688" s="122"/>
    </row>
    <row r="689" spans="10:13" x14ac:dyDescent="0.25">
      <c r="J689" s="122"/>
      <c r="K689" s="122"/>
      <c r="L689" s="122"/>
      <c r="M689" s="122"/>
    </row>
    <row r="690" spans="10:13" x14ac:dyDescent="0.25">
      <c r="J690" s="122"/>
      <c r="K690" s="122"/>
      <c r="L690" s="122"/>
      <c r="M690" s="122"/>
    </row>
    <row r="691" spans="10:13" x14ac:dyDescent="0.25">
      <c r="J691" s="122"/>
      <c r="K691" s="122"/>
      <c r="L691" s="122"/>
      <c r="M691" s="122"/>
    </row>
    <row r="692" spans="10:13" x14ac:dyDescent="0.25">
      <c r="J692" s="122"/>
      <c r="K692" s="122"/>
      <c r="L692" s="122"/>
      <c r="M692" s="122"/>
    </row>
    <row r="693" spans="10:13" x14ac:dyDescent="0.25">
      <c r="J693" s="122"/>
      <c r="K693" s="122"/>
      <c r="L693" s="122"/>
      <c r="M693" s="122"/>
    </row>
    <row r="694" spans="10:13" x14ac:dyDescent="0.25">
      <c r="J694" s="122"/>
      <c r="K694" s="122"/>
      <c r="L694" s="122"/>
      <c r="M694" s="122"/>
    </row>
    <row r="695" spans="10:13" x14ac:dyDescent="0.25">
      <c r="J695" s="122"/>
      <c r="K695" s="122"/>
      <c r="L695" s="122"/>
      <c r="M695" s="122"/>
    </row>
    <row r="696" spans="10:13" x14ac:dyDescent="0.25">
      <c r="J696" s="122"/>
      <c r="K696" s="122"/>
      <c r="L696" s="122"/>
      <c r="M696" s="122"/>
    </row>
    <row r="697" spans="10:13" x14ac:dyDescent="0.25">
      <c r="J697" s="122"/>
      <c r="K697" s="122"/>
      <c r="L697" s="122"/>
      <c r="M697" s="122"/>
    </row>
    <row r="698" spans="10:13" x14ac:dyDescent="0.25">
      <c r="J698" s="122"/>
      <c r="K698" s="122"/>
      <c r="L698" s="122"/>
      <c r="M698" s="122"/>
    </row>
    <row r="699" spans="10:13" x14ac:dyDescent="0.25">
      <c r="J699" s="122"/>
      <c r="K699" s="122"/>
      <c r="L699" s="122"/>
      <c r="M699" s="122"/>
    </row>
    <row r="700" spans="10:13" x14ac:dyDescent="0.25">
      <c r="J700" s="122"/>
      <c r="K700" s="122"/>
      <c r="L700" s="122"/>
      <c r="M700" s="122"/>
    </row>
    <row r="701" spans="10:13" x14ac:dyDescent="0.25">
      <c r="J701" s="122"/>
      <c r="K701" s="122"/>
      <c r="L701" s="122"/>
      <c r="M701" s="122"/>
    </row>
    <row r="702" spans="10:13" x14ac:dyDescent="0.25">
      <c r="J702" s="122"/>
      <c r="K702" s="122"/>
      <c r="L702" s="122"/>
      <c r="M702" s="122"/>
    </row>
    <row r="703" spans="10:13" x14ac:dyDescent="0.25">
      <c r="J703" s="122"/>
      <c r="K703" s="122"/>
      <c r="L703" s="122"/>
      <c r="M703" s="122"/>
    </row>
    <row r="704" spans="10:13" x14ac:dyDescent="0.25">
      <c r="J704" s="122"/>
      <c r="K704" s="122"/>
      <c r="L704" s="122"/>
      <c r="M704" s="122"/>
    </row>
    <row r="705" spans="10:13" x14ac:dyDescent="0.25">
      <c r="J705" s="122"/>
      <c r="K705" s="122"/>
      <c r="L705" s="122"/>
      <c r="M705" s="122"/>
    </row>
    <row r="706" spans="10:13" x14ac:dyDescent="0.25">
      <c r="J706" s="122"/>
      <c r="K706" s="122"/>
      <c r="L706" s="122"/>
      <c r="M706" s="122"/>
    </row>
    <row r="707" spans="10:13" x14ac:dyDescent="0.25">
      <c r="J707" s="122"/>
      <c r="K707" s="122"/>
      <c r="L707" s="122"/>
      <c r="M707" s="122"/>
    </row>
    <row r="708" spans="10:13" x14ac:dyDescent="0.25">
      <c r="J708" s="122"/>
      <c r="K708" s="122"/>
      <c r="L708" s="122"/>
      <c r="M708" s="122"/>
    </row>
    <row r="709" spans="10:13" x14ac:dyDescent="0.25">
      <c r="J709" s="122"/>
      <c r="K709" s="122"/>
      <c r="L709" s="122"/>
      <c r="M709" s="122"/>
    </row>
    <row r="710" spans="10:13" x14ac:dyDescent="0.25">
      <c r="J710" s="122"/>
      <c r="K710" s="122"/>
      <c r="L710" s="122"/>
      <c r="M710" s="122"/>
    </row>
    <row r="711" spans="10:13" x14ac:dyDescent="0.25">
      <c r="J711" s="122"/>
      <c r="K711" s="122"/>
      <c r="L711" s="122"/>
      <c r="M711" s="122"/>
    </row>
    <row r="712" spans="10:13" x14ac:dyDescent="0.25">
      <c r="J712" s="122"/>
      <c r="K712" s="122"/>
      <c r="L712" s="122"/>
      <c r="M712" s="122"/>
    </row>
    <row r="713" spans="10:13" x14ac:dyDescent="0.25">
      <c r="J713" s="122"/>
      <c r="K713" s="122"/>
      <c r="L713" s="122"/>
      <c r="M713" s="122"/>
    </row>
    <row r="714" spans="10:13" x14ac:dyDescent="0.25">
      <c r="J714" s="122"/>
      <c r="K714" s="122"/>
      <c r="L714" s="122"/>
      <c r="M714" s="122"/>
    </row>
    <row r="715" spans="10:13" x14ac:dyDescent="0.25">
      <c r="J715" s="122"/>
      <c r="K715" s="122"/>
      <c r="L715" s="122"/>
      <c r="M715" s="122"/>
    </row>
    <row r="716" spans="10:13" x14ac:dyDescent="0.25">
      <c r="J716" s="122"/>
      <c r="K716" s="122"/>
      <c r="L716" s="122"/>
      <c r="M716" s="122"/>
    </row>
    <row r="717" spans="10:13" x14ac:dyDescent="0.25">
      <c r="J717" s="122"/>
      <c r="K717" s="122"/>
      <c r="L717" s="122"/>
      <c r="M717" s="122"/>
    </row>
    <row r="718" spans="10:13" x14ac:dyDescent="0.25">
      <c r="J718" s="122"/>
      <c r="K718" s="122"/>
      <c r="L718" s="122"/>
      <c r="M718" s="122"/>
    </row>
    <row r="719" spans="10:13" x14ac:dyDescent="0.25">
      <c r="J719" s="122"/>
      <c r="K719" s="122"/>
      <c r="L719" s="122"/>
      <c r="M719" s="122"/>
    </row>
    <row r="720" spans="10:13" x14ac:dyDescent="0.25">
      <c r="J720" s="122"/>
      <c r="K720" s="122"/>
      <c r="L720" s="122"/>
      <c r="M720" s="122"/>
    </row>
    <row r="721" spans="10:13" x14ac:dyDescent="0.25">
      <c r="J721" s="122"/>
      <c r="K721" s="122"/>
      <c r="L721" s="122"/>
      <c r="M721" s="122"/>
    </row>
    <row r="722" spans="10:13" x14ac:dyDescent="0.25">
      <c r="J722" s="122"/>
      <c r="K722" s="122"/>
      <c r="L722" s="122"/>
      <c r="M722" s="122"/>
    </row>
    <row r="723" spans="10:13" x14ac:dyDescent="0.25">
      <c r="J723" s="122"/>
      <c r="K723" s="122"/>
      <c r="L723" s="122"/>
      <c r="M723" s="122"/>
    </row>
    <row r="724" spans="10:13" x14ac:dyDescent="0.25">
      <c r="J724" s="122"/>
      <c r="K724" s="122"/>
      <c r="L724" s="122"/>
      <c r="M724" s="122"/>
    </row>
    <row r="725" spans="10:13" x14ac:dyDescent="0.25">
      <c r="J725" s="122"/>
      <c r="K725" s="122"/>
      <c r="L725" s="122"/>
      <c r="M725" s="122"/>
    </row>
    <row r="726" spans="10:13" x14ac:dyDescent="0.25">
      <c r="J726" s="122"/>
      <c r="K726" s="122"/>
      <c r="L726" s="122"/>
      <c r="M726" s="122"/>
    </row>
    <row r="727" spans="10:13" x14ac:dyDescent="0.25">
      <c r="J727" s="122"/>
      <c r="K727" s="122"/>
      <c r="L727" s="122"/>
      <c r="M727" s="122"/>
    </row>
    <row r="728" spans="10:13" x14ac:dyDescent="0.25">
      <c r="J728" s="122"/>
      <c r="K728" s="122"/>
      <c r="L728" s="122"/>
      <c r="M728" s="122"/>
    </row>
    <row r="729" spans="10:13" x14ac:dyDescent="0.25">
      <c r="J729" s="122"/>
      <c r="K729" s="122"/>
      <c r="L729" s="122"/>
      <c r="M729" s="122"/>
    </row>
    <row r="730" spans="10:13" x14ac:dyDescent="0.25">
      <c r="J730" s="122"/>
      <c r="K730" s="122"/>
      <c r="L730" s="122"/>
      <c r="M730" s="122"/>
    </row>
    <row r="731" spans="10:13" x14ac:dyDescent="0.25">
      <c r="J731" s="122"/>
      <c r="K731" s="122"/>
      <c r="L731" s="122"/>
      <c r="M731" s="122"/>
    </row>
    <row r="732" spans="10:13" x14ac:dyDescent="0.25">
      <c r="J732" s="122"/>
      <c r="K732" s="122"/>
      <c r="L732" s="122"/>
      <c r="M732" s="122"/>
    </row>
    <row r="733" spans="10:13" x14ac:dyDescent="0.25">
      <c r="J733" s="122"/>
      <c r="K733" s="122"/>
      <c r="L733" s="122"/>
      <c r="M733" s="122"/>
    </row>
    <row r="734" spans="10:13" x14ac:dyDescent="0.25">
      <c r="J734" s="122"/>
      <c r="K734" s="122"/>
      <c r="L734" s="122"/>
      <c r="M734" s="122"/>
    </row>
    <row r="735" spans="10:13" x14ac:dyDescent="0.25">
      <c r="J735" s="122"/>
      <c r="K735" s="122"/>
      <c r="L735" s="122"/>
      <c r="M735" s="122"/>
    </row>
    <row r="736" spans="10:13" x14ac:dyDescent="0.25">
      <c r="J736" s="122"/>
      <c r="K736" s="122"/>
      <c r="L736" s="122"/>
      <c r="M736" s="122"/>
    </row>
    <row r="737" spans="10:13" x14ac:dyDescent="0.25">
      <c r="J737" s="122"/>
      <c r="K737" s="122"/>
      <c r="L737" s="122"/>
      <c r="M737" s="122"/>
    </row>
    <row r="738" spans="10:13" x14ac:dyDescent="0.25">
      <c r="J738" s="122"/>
      <c r="K738" s="122"/>
      <c r="L738" s="122"/>
      <c r="M738" s="122"/>
    </row>
    <row r="739" spans="10:13" x14ac:dyDescent="0.25">
      <c r="J739" s="122"/>
      <c r="K739" s="122"/>
      <c r="L739" s="122"/>
      <c r="M739" s="122"/>
    </row>
    <row r="740" spans="10:13" x14ac:dyDescent="0.25">
      <c r="J740" s="122"/>
      <c r="K740" s="122"/>
      <c r="L740" s="122"/>
      <c r="M740" s="122"/>
    </row>
    <row r="741" spans="10:13" x14ac:dyDescent="0.25">
      <c r="J741" s="122"/>
      <c r="K741" s="122"/>
      <c r="L741" s="122"/>
      <c r="M741" s="122"/>
    </row>
    <row r="742" spans="10:13" x14ac:dyDescent="0.25">
      <c r="J742" s="122"/>
      <c r="K742" s="122"/>
      <c r="L742" s="122"/>
      <c r="M742" s="122"/>
    </row>
    <row r="743" spans="10:13" x14ac:dyDescent="0.25">
      <c r="J743" s="122"/>
      <c r="K743" s="122"/>
      <c r="L743" s="122"/>
      <c r="M743" s="122"/>
    </row>
    <row r="744" spans="10:13" x14ac:dyDescent="0.25">
      <c r="J744" s="122"/>
      <c r="K744" s="122"/>
      <c r="L744" s="122"/>
      <c r="M744" s="122"/>
    </row>
    <row r="745" spans="10:13" x14ac:dyDescent="0.25">
      <c r="J745" s="122"/>
      <c r="K745" s="122"/>
      <c r="L745" s="122"/>
      <c r="M745" s="122"/>
    </row>
    <row r="746" spans="10:13" x14ac:dyDescent="0.25">
      <c r="J746" s="122"/>
      <c r="K746" s="122"/>
      <c r="L746" s="122"/>
      <c r="M746" s="122"/>
    </row>
    <row r="747" spans="10:13" x14ac:dyDescent="0.25">
      <c r="J747" s="122"/>
      <c r="K747" s="122"/>
      <c r="L747" s="122"/>
      <c r="M747" s="122"/>
    </row>
    <row r="748" spans="10:13" x14ac:dyDescent="0.25">
      <c r="J748" s="122"/>
      <c r="K748" s="122"/>
      <c r="L748" s="122"/>
      <c r="M748" s="122"/>
    </row>
    <row r="749" spans="10:13" x14ac:dyDescent="0.25">
      <c r="J749" s="122"/>
      <c r="K749" s="122"/>
      <c r="L749" s="122"/>
      <c r="M749" s="122"/>
    </row>
    <row r="750" spans="10:13" x14ac:dyDescent="0.25">
      <c r="J750" s="122"/>
      <c r="K750" s="122"/>
      <c r="L750" s="122"/>
      <c r="M750" s="122"/>
    </row>
    <row r="751" spans="10:13" x14ac:dyDescent="0.25">
      <c r="J751" s="122"/>
      <c r="K751" s="122"/>
      <c r="L751" s="122"/>
      <c r="M751" s="122"/>
    </row>
    <row r="752" spans="10:13" x14ac:dyDescent="0.25">
      <c r="J752" s="122"/>
      <c r="K752" s="122"/>
      <c r="L752" s="122"/>
      <c r="M752" s="122"/>
    </row>
    <row r="753" spans="10:13" x14ac:dyDescent="0.25">
      <c r="J753" s="122"/>
      <c r="K753" s="122"/>
      <c r="L753" s="122"/>
      <c r="M753" s="122"/>
    </row>
    <row r="754" spans="10:13" x14ac:dyDescent="0.25">
      <c r="J754" s="122"/>
      <c r="K754" s="122"/>
      <c r="L754" s="122"/>
      <c r="M754" s="122"/>
    </row>
    <row r="755" spans="10:13" x14ac:dyDescent="0.25">
      <c r="J755" s="122"/>
      <c r="K755" s="122"/>
      <c r="L755" s="122"/>
      <c r="M755" s="122"/>
    </row>
    <row r="756" spans="10:13" x14ac:dyDescent="0.25">
      <c r="J756" s="122"/>
      <c r="K756" s="122"/>
      <c r="L756" s="122"/>
      <c r="M756" s="122"/>
    </row>
    <row r="757" spans="10:13" x14ac:dyDescent="0.25">
      <c r="J757" s="122"/>
      <c r="K757" s="122"/>
      <c r="L757" s="122"/>
      <c r="M757" s="122"/>
    </row>
    <row r="758" spans="10:13" x14ac:dyDescent="0.25">
      <c r="J758" s="122"/>
      <c r="K758" s="122"/>
      <c r="L758" s="122"/>
      <c r="M758" s="122"/>
    </row>
    <row r="759" spans="10:13" x14ac:dyDescent="0.25">
      <c r="J759" s="122"/>
      <c r="K759" s="122"/>
      <c r="L759" s="122"/>
      <c r="M759" s="122"/>
    </row>
    <row r="760" spans="10:13" x14ac:dyDescent="0.25">
      <c r="J760" s="122"/>
      <c r="K760" s="122"/>
      <c r="L760" s="122"/>
      <c r="M760" s="122"/>
    </row>
    <row r="761" spans="10:13" x14ac:dyDescent="0.25">
      <c r="J761" s="122"/>
      <c r="K761" s="122"/>
      <c r="L761" s="122"/>
      <c r="M761" s="122"/>
    </row>
    <row r="762" spans="10:13" x14ac:dyDescent="0.25">
      <c r="J762" s="122"/>
      <c r="K762" s="122"/>
      <c r="L762" s="122"/>
      <c r="M762" s="122"/>
    </row>
    <row r="763" spans="10:13" x14ac:dyDescent="0.25">
      <c r="J763" s="122"/>
      <c r="K763" s="122"/>
      <c r="L763" s="122"/>
      <c r="M763" s="122"/>
    </row>
    <row r="764" spans="10:13" x14ac:dyDescent="0.25">
      <c r="J764" s="122"/>
      <c r="K764" s="122"/>
      <c r="L764" s="122"/>
      <c r="M764" s="122"/>
    </row>
    <row r="765" spans="10:13" x14ac:dyDescent="0.25">
      <c r="J765" s="122"/>
      <c r="K765" s="122"/>
      <c r="L765" s="122"/>
      <c r="M765" s="122"/>
    </row>
    <row r="766" spans="10:13" x14ac:dyDescent="0.25">
      <c r="J766" s="122"/>
      <c r="K766" s="122"/>
      <c r="L766" s="122"/>
      <c r="M766" s="122"/>
    </row>
    <row r="767" spans="10:13" x14ac:dyDescent="0.25">
      <c r="J767" s="122"/>
      <c r="K767" s="122"/>
      <c r="L767" s="122"/>
      <c r="M767" s="122"/>
    </row>
    <row r="768" spans="10:13" x14ac:dyDescent="0.25">
      <c r="J768" s="122"/>
      <c r="K768" s="122"/>
      <c r="L768" s="122"/>
      <c r="M768" s="122"/>
    </row>
    <row r="769" spans="10:13" x14ac:dyDescent="0.25">
      <c r="J769" s="122"/>
      <c r="K769" s="122"/>
      <c r="L769" s="122"/>
      <c r="M769" s="122"/>
    </row>
    <row r="770" spans="10:13" x14ac:dyDescent="0.25">
      <c r="J770" s="122"/>
      <c r="K770" s="122"/>
      <c r="L770" s="122"/>
      <c r="M770" s="122"/>
    </row>
    <row r="771" spans="10:13" x14ac:dyDescent="0.25">
      <c r="J771" s="122"/>
      <c r="K771" s="122"/>
      <c r="L771" s="122"/>
      <c r="M771" s="122"/>
    </row>
    <row r="772" spans="10:13" x14ac:dyDescent="0.25">
      <c r="J772" s="122"/>
      <c r="K772" s="122"/>
      <c r="L772" s="122"/>
      <c r="M772" s="122"/>
    </row>
    <row r="773" spans="10:13" x14ac:dyDescent="0.25">
      <c r="J773" s="122"/>
      <c r="K773" s="122"/>
      <c r="L773" s="122"/>
      <c r="M773" s="122"/>
    </row>
    <row r="774" spans="10:13" x14ac:dyDescent="0.25">
      <c r="J774" s="122"/>
      <c r="K774" s="122"/>
      <c r="L774" s="122"/>
      <c r="M774" s="122"/>
    </row>
    <row r="775" spans="10:13" x14ac:dyDescent="0.25">
      <c r="J775" s="122"/>
      <c r="K775" s="122"/>
      <c r="L775" s="122"/>
      <c r="M775" s="122"/>
    </row>
    <row r="776" spans="10:13" x14ac:dyDescent="0.25">
      <c r="J776" s="122"/>
      <c r="K776" s="122"/>
      <c r="L776" s="122"/>
      <c r="M776" s="122"/>
    </row>
    <row r="777" spans="10:13" x14ac:dyDescent="0.25">
      <c r="J777" s="122"/>
      <c r="K777" s="122"/>
      <c r="L777" s="122"/>
      <c r="M777" s="122"/>
    </row>
    <row r="778" spans="10:13" x14ac:dyDescent="0.25">
      <c r="J778" s="122"/>
      <c r="K778" s="122"/>
      <c r="L778" s="122"/>
      <c r="M778" s="122"/>
    </row>
    <row r="779" spans="10:13" x14ac:dyDescent="0.25">
      <c r="J779" s="122"/>
      <c r="K779" s="122"/>
      <c r="L779" s="122"/>
      <c r="M779" s="122"/>
    </row>
    <row r="780" spans="10:13" x14ac:dyDescent="0.25">
      <c r="J780" s="122"/>
      <c r="K780" s="122"/>
      <c r="L780" s="122"/>
      <c r="M780" s="122"/>
    </row>
    <row r="781" spans="10:13" x14ac:dyDescent="0.25">
      <c r="J781" s="122"/>
      <c r="K781" s="122"/>
      <c r="L781" s="122"/>
      <c r="M781" s="122"/>
    </row>
    <row r="782" spans="10:13" x14ac:dyDescent="0.25">
      <c r="J782" s="122"/>
      <c r="K782" s="122"/>
      <c r="L782" s="122"/>
      <c r="M782" s="122"/>
    </row>
    <row r="783" spans="10:13" x14ac:dyDescent="0.25">
      <c r="J783" s="122"/>
      <c r="K783" s="122"/>
      <c r="L783" s="122"/>
      <c r="M783" s="122"/>
    </row>
    <row r="784" spans="10:13" x14ac:dyDescent="0.25">
      <c r="J784" s="122"/>
      <c r="K784" s="122"/>
      <c r="L784" s="122"/>
      <c r="M784" s="122"/>
    </row>
    <row r="785" spans="10:13" x14ac:dyDescent="0.25">
      <c r="J785" s="122"/>
      <c r="K785" s="122"/>
      <c r="L785" s="122"/>
      <c r="M785" s="122"/>
    </row>
    <row r="786" spans="10:13" x14ac:dyDescent="0.25">
      <c r="J786" s="122"/>
      <c r="K786" s="122"/>
      <c r="L786" s="122"/>
      <c r="M786" s="122"/>
    </row>
    <row r="787" spans="10:13" x14ac:dyDescent="0.25">
      <c r="J787" s="122"/>
      <c r="K787" s="122"/>
      <c r="L787" s="122"/>
      <c r="M787" s="122"/>
    </row>
    <row r="788" spans="10:13" x14ac:dyDescent="0.25">
      <c r="J788" s="122"/>
      <c r="K788" s="122"/>
      <c r="L788" s="122"/>
      <c r="M788" s="122"/>
    </row>
    <row r="789" spans="10:13" x14ac:dyDescent="0.25">
      <c r="J789" s="122"/>
      <c r="K789" s="122"/>
      <c r="L789" s="122"/>
      <c r="M789" s="122"/>
    </row>
    <row r="790" spans="10:13" x14ac:dyDescent="0.25">
      <c r="J790" s="122"/>
      <c r="K790" s="122"/>
      <c r="L790" s="122"/>
      <c r="M790" s="122"/>
    </row>
    <row r="791" spans="10:13" x14ac:dyDescent="0.25">
      <c r="J791" s="122"/>
      <c r="K791" s="122"/>
      <c r="L791" s="122"/>
      <c r="M791" s="122"/>
    </row>
  </sheetData>
  <pageMargins left="0.7" right="0.7" top="0.75" bottom="0.75" header="0.3" footer="0.3"/>
  <pageSetup orientation="portrait" horizontalDpi="90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Input for Model</vt:lpstr>
      <vt:lpstr>ModelName</vt:lpstr>
      <vt:lpstr>ModelReleaseDate</vt:lpstr>
      <vt:lpstr>ModelVersion</vt:lpstr>
      <vt:lpstr>RPA_TOTAL_YR1</vt:lpstr>
      <vt:lpstr>RPA_TOTAL_YR2</vt:lpstr>
      <vt:lpstr>RPA_TOTAL_YR3</vt:lpstr>
      <vt:lpstr>RPA_TOTAL_YR4</vt:lpstr>
      <vt:lpstr>RPA_TOTAL_YR5</vt:lpstr>
      <vt:lpstr>worksheetList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Quist, Mike</dc:creator>
  <cp:lastModifiedBy>Mittal, Aakansha</cp:lastModifiedBy>
  <dcterms:created xsi:type="dcterms:W3CDTF">2019-12-09T21:30:26Z</dcterms:created>
  <dcterms:modified xsi:type="dcterms:W3CDTF">2026-09-15T07:52:32Z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0x0101003435B0E007040F41847463BA3DFCABE6</vt:lpwstr>
  </property>
  <property fmtid="{D5CDD505-2E9C-101B-9397-08002B2CF9AE}" pid="3" name="MSIP_Label_a8a73c85-e524-44a6-bd58-7df7ef87be8f_Enabled">
    <vt:lpwstr>true</vt:lpwstr>
  </property>
  <property fmtid="{D5CDD505-2E9C-101B-9397-08002B2CF9AE}" pid="4" name="MSIP_Label_a8a73c85-e524-44a6-bd58-7df7ef87be8f_SetDate">
    <vt:lpwstr>2022-10-12T20:49:19Z</vt:lpwstr>
  </property>
  <property fmtid="{D5CDD505-2E9C-101B-9397-08002B2CF9AE}" pid="5" name="MSIP_Label_a8a73c85-e524-44a6-bd58-7df7ef87be8f_Method">
    <vt:lpwstr>Privileged</vt:lpwstr>
  </property>
  <property fmtid="{D5CDD505-2E9C-101B-9397-08002B2CF9AE}" pid="6" name="MSIP_Label_a8a73c85-e524-44a6-bd58-7df7ef87be8f_Name">
    <vt:lpwstr>Internal Label</vt:lpwstr>
  </property>
  <property fmtid="{D5CDD505-2E9C-101B-9397-08002B2CF9AE}" pid="7" name="MSIP_Label_a8a73c85-e524-44a6-bd58-7df7ef87be8f_SiteId">
    <vt:lpwstr>db05faca-c82a-4b9d-b9c5-0f64b6755421</vt:lpwstr>
  </property>
  <property fmtid="{D5CDD505-2E9C-101B-9397-08002B2CF9AE}" pid="8" name="MSIP_Label_a8a73c85-e524-44a6-bd58-7df7ef87be8f_ActionId">
    <vt:lpwstr>8c3542c1-871d-4235-b805-7502dd4c5b6f</vt:lpwstr>
  </property>
  <property fmtid="{D5CDD505-2E9C-101B-9397-08002B2CF9AE}" pid="9" name="MSIP_Label_a8a73c85-e524-44a6-bd58-7df7ef87be8f_ContentBits">
    <vt:lpwstr>0</vt:lpwstr>
  </property>
</Properties>
</file>