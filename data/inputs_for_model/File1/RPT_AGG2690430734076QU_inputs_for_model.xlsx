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7D01C2A3-8EAD-425F-B1CB-D7C90DC069CC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202" i="4"/>
  <c r="Z200" i="4"/>
  <c r="AD199" i="4"/>
  <c r="AD200" i="4" s="1"/>
  <c r="AC199" i="4"/>
  <c r="AC200" i="4" s="1"/>
  <c r="AB199" i="4"/>
  <c r="AB200" i="4" s="1"/>
  <c r="AA199" i="4"/>
  <c r="AA200" i="4" s="1"/>
  <c r="Z199" i="4"/>
  <c r="T199" i="4"/>
  <c r="T200" i="4" s="1"/>
  <c r="P199" i="4"/>
  <c r="P200" i="4" s="1"/>
  <c r="O199" i="4"/>
  <c r="O200" i="4" s="1"/>
  <c r="N199" i="4"/>
  <c r="N200" i="4" s="1"/>
  <c r="L199" i="4"/>
  <c r="X199" i="4" s="1"/>
  <c r="X200" i="4" s="1"/>
  <c r="K199" i="4"/>
  <c r="W199" i="4" s="1"/>
  <c r="W200" i="4" s="1"/>
  <c r="J199" i="4"/>
  <c r="V199" i="4" s="1"/>
  <c r="V200" i="4" s="1"/>
  <c r="I199" i="4"/>
  <c r="U199" i="4" s="1"/>
  <c r="U200" i="4" s="1"/>
  <c r="H199" i="4"/>
  <c r="A194" i="4"/>
  <c r="A195" i="4" s="1"/>
  <c r="A196" i="4" s="1"/>
  <c r="A197" i="4" s="1"/>
  <c r="A198" i="4" s="1"/>
  <c r="A199" i="4" s="1"/>
  <c r="A200" i="4" s="1"/>
  <c r="A201" i="4" s="1"/>
  <c r="AD190" i="4"/>
  <c r="AD191" i="4" s="1"/>
  <c r="AC190" i="4"/>
  <c r="AC191" i="4" s="1"/>
  <c r="AB190" i="4"/>
  <c r="AB191" i="4" s="1"/>
  <c r="AA190" i="4"/>
  <c r="AA191" i="4" s="1"/>
  <c r="Z190" i="4"/>
  <c r="Z191" i="4" s="1"/>
  <c r="L190" i="4"/>
  <c r="R190" i="4" s="1"/>
  <c r="R191" i="4" s="1"/>
  <c r="K190" i="4"/>
  <c r="W190" i="4" s="1"/>
  <c r="W191" i="4" s="1"/>
  <c r="J190" i="4"/>
  <c r="P190" i="4" s="1"/>
  <c r="P191" i="4" s="1"/>
  <c r="I190" i="4"/>
  <c r="U190" i="4" s="1"/>
  <c r="U191" i="4" s="1"/>
  <c r="H190" i="4"/>
  <c r="T190" i="4" s="1"/>
  <c r="T191" i="4" s="1"/>
  <c r="A185" i="4"/>
  <c r="A186" i="4" s="1"/>
  <c r="A187" i="4" s="1"/>
  <c r="A188" i="4" s="1"/>
  <c r="A189" i="4" s="1"/>
  <c r="A190" i="4" s="1"/>
  <c r="A191" i="4" s="1"/>
  <c r="A192" i="4" s="1"/>
  <c r="AB182" i="4"/>
  <c r="AD181" i="4"/>
  <c r="AD182" i="4" s="1"/>
  <c r="AC181" i="4"/>
  <c r="AC182" i="4" s="1"/>
  <c r="AB181" i="4"/>
  <c r="AA181" i="4"/>
  <c r="AA182" i="4" s="1"/>
  <c r="Z181" i="4"/>
  <c r="Z182" i="4" s="1"/>
  <c r="V181" i="4"/>
  <c r="V182" i="4" s="1"/>
  <c r="U181" i="4"/>
  <c r="U182" i="4" s="1"/>
  <c r="R181" i="4"/>
  <c r="R182" i="4" s="1"/>
  <c r="Q181" i="4"/>
  <c r="Q182" i="4" s="1"/>
  <c r="L181" i="4"/>
  <c r="X181" i="4" s="1"/>
  <c r="X182" i="4" s="1"/>
  <c r="K181" i="4"/>
  <c r="W181" i="4" s="1"/>
  <c r="W182" i="4" s="1"/>
  <c r="J181" i="4"/>
  <c r="P181" i="4" s="1"/>
  <c r="P182" i="4" s="1"/>
  <c r="I181" i="4"/>
  <c r="O181" i="4" s="1"/>
  <c r="O182" i="4" s="1"/>
  <c r="H181" i="4"/>
  <c r="N181" i="4" s="1"/>
  <c r="N182" i="4" s="1"/>
  <c r="A176" i="4"/>
  <c r="A177" i="4" s="1"/>
  <c r="A178" i="4" s="1"/>
  <c r="A179" i="4" s="1"/>
  <c r="A180" i="4" s="1"/>
  <c r="A181" i="4" s="1"/>
  <c r="A182" i="4" s="1"/>
  <c r="A183" i="4" s="1"/>
  <c r="AC173" i="4"/>
  <c r="AD172" i="4"/>
  <c r="AD173" i="4" s="1"/>
  <c r="AC172" i="4"/>
  <c r="AB172" i="4"/>
  <c r="AB173" i="4" s="1"/>
  <c r="AA172" i="4"/>
  <c r="AA173" i="4" s="1"/>
  <c r="Z172" i="4"/>
  <c r="Z173" i="4" s="1"/>
  <c r="L172" i="4"/>
  <c r="R172" i="4" s="1"/>
  <c r="R173" i="4" s="1"/>
  <c r="K172" i="4"/>
  <c r="W172" i="4" s="1"/>
  <c r="W173" i="4" s="1"/>
  <c r="J172" i="4"/>
  <c r="V172" i="4" s="1"/>
  <c r="V173" i="4" s="1"/>
  <c r="I172" i="4"/>
  <c r="U172" i="4" s="1"/>
  <c r="U173" i="4" s="1"/>
  <c r="H172" i="4"/>
  <c r="T172" i="4" s="1"/>
  <c r="T173" i="4" s="1"/>
  <c r="A167" i="4"/>
  <c r="A168" i="4" s="1"/>
  <c r="A169" i="4" s="1"/>
  <c r="A170" i="4" s="1"/>
  <c r="A171" i="4" s="1"/>
  <c r="A172" i="4" s="1"/>
  <c r="A173" i="4" s="1"/>
  <c r="A174" i="4" s="1"/>
  <c r="Z164" i="4"/>
  <c r="AD163" i="4"/>
  <c r="AD164" i="4" s="1"/>
  <c r="AC163" i="4"/>
  <c r="AC164" i="4" s="1"/>
  <c r="AB163" i="4"/>
  <c r="AB164" i="4" s="1"/>
  <c r="AA163" i="4"/>
  <c r="AA164" i="4" s="1"/>
  <c r="Z163" i="4"/>
  <c r="T163" i="4"/>
  <c r="T164" i="4" s="1"/>
  <c r="N163" i="4"/>
  <c r="N164" i="4" s="1"/>
  <c r="L163" i="4"/>
  <c r="X163" i="4" s="1"/>
  <c r="X164" i="4" s="1"/>
  <c r="K163" i="4"/>
  <c r="W163" i="4" s="1"/>
  <c r="W164" i="4" s="1"/>
  <c r="J163" i="4"/>
  <c r="P163" i="4" s="1"/>
  <c r="P164" i="4" s="1"/>
  <c r="I163" i="4"/>
  <c r="O163" i="4" s="1"/>
  <c r="O164" i="4" s="1"/>
  <c r="H163" i="4"/>
  <c r="A159" i="4"/>
  <c r="A160" i="4" s="1"/>
  <c r="A161" i="4" s="1"/>
  <c r="A162" i="4" s="1"/>
  <c r="A163" i="4" s="1"/>
  <c r="A164" i="4" s="1"/>
  <c r="A165" i="4" s="1"/>
  <c r="A158" i="4"/>
  <c r="AD154" i="4"/>
  <c r="AD155" i="4" s="1"/>
  <c r="AC154" i="4"/>
  <c r="AC155" i="4" s="1"/>
  <c r="AB154" i="4"/>
  <c r="AB155" i="4" s="1"/>
  <c r="AA154" i="4"/>
  <c r="AA155" i="4" s="1"/>
  <c r="Z154" i="4"/>
  <c r="Z155" i="4" s="1"/>
  <c r="V154" i="4"/>
  <c r="V155" i="4" s="1"/>
  <c r="L154" i="4"/>
  <c r="X154" i="4" s="1"/>
  <c r="X155" i="4" s="1"/>
  <c r="K154" i="4"/>
  <c r="W154" i="4" s="1"/>
  <c r="W155" i="4" s="1"/>
  <c r="J154" i="4"/>
  <c r="P154" i="4" s="1"/>
  <c r="P155" i="4" s="1"/>
  <c r="I154" i="4"/>
  <c r="U154" i="4" s="1"/>
  <c r="U155" i="4" s="1"/>
  <c r="H154" i="4"/>
  <c r="T154" i="4" s="1"/>
  <c r="T155" i="4" s="1"/>
  <c r="A149" i="4"/>
  <c r="A150" i="4" s="1"/>
  <c r="A151" i="4" s="1"/>
  <c r="A152" i="4" s="1"/>
  <c r="A153" i="4" s="1"/>
  <c r="A154" i="4" s="1"/>
  <c r="A155" i="4" s="1"/>
  <c r="A156" i="4" s="1"/>
  <c r="AD146" i="4"/>
  <c r="AC146" i="4"/>
  <c r="AB146" i="4"/>
  <c r="AD145" i="4"/>
  <c r="AC145" i="4"/>
  <c r="AB145" i="4"/>
  <c r="AA145" i="4"/>
  <c r="AA146" i="4" s="1"/>
  <c r="Z145" i="4"/>
  <c r="Z146" i="4" s="1"/>
  <c r="W145" i="4"/>
  <c r="W146" i="4" s="1"/>
  <c r="V145" i="4"/>
  <c r="V146" i="4" s="1"/>
  <c r="U145" i="4"/>
  <c r="U146" i="4" s="1"/>
  <c r="P145" i="4"/>
  <c r="P146" i="4" s="1"/>
  <c r="L145" i="4"/>
  <c r="R145" i="4" s="1"/>
  <c r="R146" i="4" s="1"/>
  <c r="K145" i="4"/>
  <c r="Q145" i="4" s="1"/>
  <c r="Q146" i="4" s="1"/>
  <c r="J145" i="4"/>
  <c r="I145" i="4"/>
  <c r="O145" i="4" s="1"/>
  <c r="O146" i="4" s="1"/>
  <c r="H145" i="4"/>
  <c r="T145" i="4" s="1"/>
  <c r="T146" i="4" s="1"/>
  <c r="A140" i="4"/>
  <c r="A141" i="4" s="1"/>
  <c r="A142" i="4" s="1"/>
  <c r="A143" i="4" s="1"/>
  <c r="A144" i="4" s="1"/>
  <c r="A145" i="4" s="1"/>
  <c r="A146" i="4" s="1"/>
  <c r="A147" i="4" s="1"/>
  <c r="AA137" i="4"/>
  <c r="Z137" i="4"/>
  <c r="T137" i="4"/>
  <c r="AD136" i="4"/>
  <c r="AD137" i="4" s="1"/>
  <c r="AC136" i="4"/>
  <c r="AC137" i="4" s="1"/>
  <c r="AB136" i="4"/>
  <c r="AB137" i="4" s="1"/>
  <c r="AA136" i="4"/>
  <c r="Z136" i="4"/>
  <c r="U136" i="4"/>
  <c r="U137" i="4" s="1"/>
  <c r="T136" i="4"/>
  <c r="Q136" i="4"/>
  <c r="Q137" i="4" s="1"/>
  <c r="P136" i="4"/>
  <c r="P137" i="4" s="1"/>
  <c r="O136" i="4"/>
  <c r="O137" i="4" s="1"/>
  <c r="N136" i="4"/>
  <c r="N137" i="4" s="1"/>
  <c r="L136" i="4"/>
  <c r="X136" i="4" s="1"/>
  <c r="X137" i="4" s="1"/>
  <c r="K136" i="4"/>
  <c r="W136" i="4" s="1"/>
  <c r="W137" i="4" s="1"/>
  <c r="J136" i="4"/>
  <c r="V136" i="4" s="1"/>
  <c r="V137" i="4" s="1"/>
  <c r="I136" i="4"/>
  <c r="H136" i="4"/>
  <c r="A131" i="4"/>
  <c r="A132" i="4" s="1"/>
  <c r="A133" i="4" s="1"/>
  <c r="A134" i="4" s="1"/>
  <c r="A135" i="4" s="1"/>
  <c r="A136" i="4" s="1"/>
  <c r="A137" i="4" s="1"/>
  <c r="A138" i="4" s="1"/>
  <c r="R128" i="4"/>
  <c r="AD127" i="4"/>
  <c r="AD128" i="4" s="1"/>
  <c r="AC127" i="4"/>
  <c r="AC128" i="4" s="1"/>
  <c r="AB127" i="4"/>
  <c r="AB128" i="4" s="1"/>
  <c r="AA127" i="4"/>
  <c r="AA128" i="4" s="1"/>
  <c r="Z127" i="4"/>
  <c r="Z128" i="4" s="1"/>
  <c r="R127" i="4"/>
  <c r="L127" i="4"/>
  <c r="X127" i="4" s="1"/>
  <c r="X128" i="4" s="1"/>
  <c r="K127" i="4"/>
  <c r="Q127" i="4" s="1"/>
  <c r="Q128" i="4" s="1"/>
  <c r="J127" i="4"/>
  <c r="V127" i="4" s="1"/>
  <c r="V128" i="4" s="1"/>
  <c r="I127" i="4"/>
  <c r="U127" i="4" s="1"/>
  <c r="U128" i="4" s="1"/>
  <c r="H127" i="4"/>
  <c r="T127" i="4" s="1"/>
  <c r="T128" i="4" s="1"/>
  <c r="A122" i="4"/>
  <c r="A123" i="4" s="1"/>
  <c r="A124" i="4" s="1"/>
  <c r="A125" i="4" s="1"/>
  <c r="A126" i="4" s="1"/>
  <c r="A127" i="4" s="1"/>
  <c r="A128" i="4" s="1"/>
  <c r="A129" i="4" s="1"/>
  <c r="AC119" i="4"/>
  <c r="AB119" i="4"/>
  <c r="AD118" i="4"/>
  <c r="AD119" i="4" s="1"/>
  <c r="AC118" i="4"/>
  <c r="AB118" i="4"/>
  <c r="AA118" i="4"/>
  <c r="AA119" i="4" s="1"/>
  <c r="Z118" i="4"/>
  <c r="Z119" i="4" s="1"/>
  <c r="W118" i="4"/>
  <c r="W119" i="4" s="1"/>
  <c r="V118" i="4"/>
  <c r="V119" i="4" s="1"/>
  <c r="T118" i="4"/>
  <c r="T119" i="4" s="1"/>
  <c r="R118" i="4"/>
  <c r="R119" i="4" s="1"/>
  <c r="L118" i="4"/>
  <c r="X118" i="4" s="1"/>
  <c r="X119" i="4" s="1"/>
  <c r="K118" i="4"/>
  <c r="Q118" i="4" s="1"/>
  <c r="Q119" i="4" s="1"/>
  <c r="J118" i="4"/>
  <c r="P118" i="4" s="1"/>
  <c r="P119" i="4" s="1"/>
  <c r="I118" i="4"/>
  <c r="O118" i="4" s="1"/>
  <c r="O119" i="4" s="1"/>
  <c r="H118" i="4"/>
  <c r="N118" i="4" s="1"/>
  <c r="N119" i="4" s="1"/>
  <c r="A113" i="4"/>
  <c r="A114" i="4" s="1"/>
  <c r="A115" i="4" s="1"/>
  <c r="A116" i="4" s="1"/>
  <c r="A117" i="4" s="1"/>
  <c r="A118" i="4" s="1"/>
  <c r="A119" i="4" s="1"/>
  <c r="A120" i="4" s="1"/>
  <c r="AD110" i="4"/>
  <c r="AD109" i="4"/>
  <c r="AC109" i="4"/>
  <c r="AC110" i="4" s="1"/>
  <c r="AB109" i="4"/>
  <c r="AB110" i="4" s="1"/>
  <c r="AA109" i="4"/>
  <c r="AA110" i="4" s="1"/>
  <c r="Z109" i="4"/>
  <c r="Z110" i="4" s="1"/>
  <c r="L109" i="4"/>
  <c r="X109" i="4" s="1"/>
  <c r="X110" i="4" s="1"/>
  <c r="K109" i="4"/>
  <c r="W109" i="4" s="1"/>
  <c r="W110" i="4" s="1"/>
  <c r="J109" i="4"/>
  <c r="V109" i="4" s="1"/>
  <c r="V110" i="4" s="1"/>
  <c r="I109" i="4"/>
  <c r="O109" i="4" s="1"/>
  <c r="O110" i="4" s="1"/>
  <c r="H109" i="4"/>
  <c r="T109" i="4" s="1"/>
  <c r="T110" i="4" s="1"/>
  <c r="A105" i="4"/>
  <c r="A106" i="4" s="1"/>
  <c r="A107" i="4" s="1"/>
  <c r="A108" i="4" s="1"/>
  <c r="A109" i="4" s="1"/>
  <c r="A110" i="4" s="1"/>
  <c r="A111" i="4" s="1"/>
  <c r="A104" i="4"/>
  <c r="AA101" i="4"/>
  <c r="AD100" i="4"/>
  <c r="AD101" i="4" s="1"/>
  <c r="AC100" i="4"/>
  <c r="AC101" i="4" s="1"/>
  <c r="AB100" i="4"/>
  <c r="AB101" i="4" s="1"/>
  <c r="AA100" i="4"/>
  <c r="Z100" i="4"/>
  <c r="Z101" i="4" s="1"/>
  <c r="U100" i="4"/>
  <c r="U101" i="4" s="1"/>
  <c r="T100" i="4"/>
  <c r="T101" i="4" s="1"/>
  <c r="O100" i="4"/>
  <c r="O101" i="4" s="1"/>
  <c r="L100" i="4"/>
  <c r="X100" i="4" s="1"/>
  <c r="X101" i="4" s="1"/>
  <c r="K100" i="4"/>
  <c r="W100" i="4" s="1"/>
  <c r="W101" i="4" s="1"/>
  <c r="J100" i="4"/>
  <c r="P100" i="4" s="1"/>
  <c r="P101" i="4" s="1"/>
  <c r="I100" i="4"/>
  <c r="H100" i="4"/>
  <c r="N100" i="4" s="1"/>
  <c r="N101" i="4" s="1"/>
  <c r="A95" i="4"/>
  <c r="A96" i="4" s="1"/>
  <c r="A97" i="4" s="1"/>
  <c r="A98" i="4" s="1"/>
  <c r="A99" i="4" s="1"/>
  <c r="A100" i="4" s="1"/>
  <c r="A101" i="4" s="1"/>
  <c r="A102" i="4" s="1"/>
  <c r="AD91" i="4"/>
  <c r="AD92" i="4" s="1"/>
  <c r="AC91" i="4"/>
  <c r="AC92" i="4" s="1"/>
  <c r="AB91" i="4"/>
  <c r="AB92" i="4" s="1"/>
  <c r="AA91" i="4"/>
  <c r="AA92" i="4" s="1"/>
  <c r="Z91" i="4"/>
  <c r="Z92" i="4" s="1"/>
  <c r="W91" i="4"/>
  <c r="W92" i="4" s="1"/>
  <c r="T91" i="4"/>
  <c r="T92" i="4" s="1"/>
  <c r="L91" i="4"/>
  <c r="X91" i="4" s="1"/>
  <c r="X92" i="4" s="1"/>
  <c r="K91" i="4"/>
  <c r="Q91" i="4" s="1"/>
  <c r="Q92" i="4" s="1"/>
  <c r="J91" i="4"/>
  <c r="V91" i="4" s="1"/>
  <c r="V92" i="4" s="1"/>
  <c r="I91" i="4"/>
  <c r="O91" i="4" s="1"/>
  <c r="O92" i="4" s="1"/>
  <c r="H91" i="4"/>
  <c r="N91" i="4" s="1"/>
  <c r="N92" i="4" s="1"/>
  <c r="A86" i="4"/>
  <c r="A87" i="4" s="1"/>
  <c r="A88" i="4" s="1"/>
  <c r="A89" i="4" s="1"/>
  <c r="A90" i="4" s="1"/>
  <c r="A91" i="4" s="1"/>
  <c r="A92" i="4" s="1"/>
  <c r="A93" i="4" s="1"/>
  <c r="AD83" i="4"/>
  <c r="AC83" i="4"/>
  <c r="AA83" i="4"/>
  <c r="Q83" i="4"/>
  <c r="AD82" i="4"/>
  <c r="AC82" i="4"/>
  <c r="AB82" i="4"/>
  <c r="AB83" i="4" s="1"/>
  <c r="AA82" i="4"/>
  <c r="Z82" i="4"/>
  <c r="Z83" i="4" s="1"/>
  <c r="Q82" i="4"/>
  <c r="L82" i="4"/>
  <c r="R82" i="4" s="1"/>
  <c r="R83" i="4" s="1"/>
  <c r="K82" i="4"/>
  <c r="W82" i="4" s="1"/>
  <c r="W83" i="4" s="1"/>
  <c r="J82" i="4"/>
  <c r="P82" i="4" s="1"/>
  <c r="P83" i="4" s="1"/>
  <c r="I82" i="4"/>
  <c r="U82" i="4" s="1"/>
  <c r="U83" i="4" s="1"/>
  <c r="H82" i="4"/>
  <c r="T82" i="4" s="1"/>
  <c r="T83" i="4" s="1"/>
  <c r="A77" i="4"/>
  <c r="A78" i="4" s="1"/>
  <c r="A79" i="4" s="1"/>
  <c r="A80" i="4" s="1"/>
  <c r="A81" i="4" s="1"/>
  <c r="A82" i="4" s="1"/>
  <c r="A83" i="4" s="1"/>
  <c r="A84" i="4" s="1"/>
  <c r="Z74" i="4"/>
  <c r="AD73" i="4"/>
  <c r="AD74" i="4" s="1"/>
  <c r="AC73" i="4"/>
  <c r="AC74" i="4" s="1"/>
  <c r="AB73" i="4"/>
  <c r="AB74" i="4" s="1"/>
  <c r="AA73" i="4"/>
  <c r="AA74" i="4" s="1"/>
  <c r="Z73" i="4"/>
  <c r="L73" i="4"/>
  <c r="X73" i="4" s="1"/>
  <c r="X74" i="4" s="1"/>
  <c r="K73" i="4"/>
  <c r="Q73" i="4" s="1"/>
  <c r="Q74" i="4" s="1"/>
  <c r="J73" i="4"/>
  <c r="V73" i="4" s="1"/>
  <c r="V74" i="4" s="1"/>
  <c r="I73" i="4"/>
  <c r="U73" i="4" s="1"/>
  <c r="U74" i="4" s="1"/>
  <c r="H73" i="4"/>
  <c r="T73" i="4" s="1"/>
  <c r="T74" i="4" s="1"/>
  <c r="A68" i="4"/>
  <c r="A69" i="4" s="1"/>
  <c r="A70" i="4" s="1"/>
  <c r="A71" i="4" s="1"/>
  <c r="A72" i="4" s="1"/>
  <c r="A73" i="4" s="1"/>
  <c r="A74" i="4" s="1"/>
  <c r="A75" i="4" s="1"/>
  <c r="AD64" i="4"/>
  <c r="AD65" i="4" s="1"/>
  <c r="AC64" i="4"/>
  <c r="AC65" i="4" s="1"/>
  <c r="AB64" i="4"/>
  <c r="AB65" i="4" s="1"/>
  <c r="AA64" i="4"/>
  <c r="AA65" i="4" s="1"/>
  <c r="Z64" i="4"/>
  <c r="Z65" i="4" s="1"/>
  <c r="T64" i="4"/>
  <c r="T65" i="4" s="1"/>
  <c r="L64" i="4"/>
  <c r="R64" i="4" s="1"/>
  <c r="R65" i="4" s="1"/>
  <c r="K64" i="4"/>
  <c r="W64" i="4" s="1"/>
  <c r="W65" i="4" s="1"/>
  <c r="J64" i="4"/>
  <c r="V64" i="4" s="1"/>
  <c r="V65" i="4" s="1"/>
  <c r="I64" i="4"/>
  <c r="U64" i="4" s="1"/>
  <c r="U65" i="4" s="1"/>
  <c r="H64" i="4"/>
  <c r="N64" i="4" s="1"/>
  <c r="N65" i="4" s="1"/>
  <c r="A59" i="4"/>
  <c r="A60" i="4" s="1"/>
  <c r="A61" i="4" s="1"/>
  <c r="A62" i="4" s="1"/>
  <c r="A63" i="4" s="1"/>
  <c r="A64" i="4" s="1"/>
  <c r="A65" i="4" s="1"/>
  <c r="A66" i="4" s="1"/>
  <c r="AD56" i="4"/>
  <c r="AC56" i="4"/>
  <c r="AB56" i="4"/>
  <c r="AA56" i="4"/>
  <c r="Z56" i="4"/>
  <c r="W56" i="4"/>
  <c r="AD55" i="4"/>
  <c r="AC55" i="4"/>
  <c r="AB55" i="4"/>
  <c r="AA55" i="4"/>
  <c r="Z55" i="4"/>
  <c r="X55" i="4"/>
  <c r="X56" i="4" s="1"/>
  <c r="W55" i="4"/>
  <c r="U55" i="4"/>
  <c r="U56" i="4" s="1"/>
  <c r="T55" i="4"/>
  <c r="T56" i="4" s="1"/>
  <c r="R55" i="4"/>
  <c r="R56" i="4" s="1"/>
  <c r="Q55" i="4"/>
  <c r="Q56" i="4" s="1"/>
  <c r="L55" i="4"/>
  <c r="K55" i="4"/>
  <c r="J55" i="4"/>
  <c r="V55" i="4" s="1"/>
  <c r="V56" i="4" s="1"/>
  <c r="I55" i="4"/>
  <c r="O55" i="4" s="1"/>
  <c r="O56" i="4" s="1"/>
  <c r="H55" i="4"/>
  <c r="N55" i="4" s="1"/>
  <c r="N56" i="4" s="1"/>
  <c r="A51" i="4"/>
  <c r="A52" i="4" s="1"/>
  <c r="A53" i="4" s="1"/>
  <c r="A54" i="4" s="1"/>
  <c r="A55" i="4" s="1"/>
  <c r="A56" i="4" s="1"/>
  <c r="A57" i="4" s="1"/>
  <c r="A50" i="4"/>
  <c r="AD46" i="4"/>
  <c r="AD47" i="4" s="1"/>
  <c r="AC46" i="4"/>
  <c r="AC47" i="4" s="1"/>
  <c r="AB46" i="4"/>
  <c r="AB47" i="4" s="1"/>
  <c r="AA46" i="4"/>
  <c r="AA47" i="4" s="1"/>
  <c r="Z46" i="4"/>
  <c r="Z47" i="4" s="1"/>
  <c r="L46" i="4"/>
  <c r="X46" i="4" s="1"/>
  <c r="X47" i="4" s="1"/>
  <c r="K46" i="4"/>
  <c r="W46" i="4" s="1"/>
  <c r="W47" i="4" s="1"/>
  <c r="J46" i="4"/>
  <c r="P46" i="4" s="1"/>
  <c r="P47" i="4" s="1"/>
  <c r="I46" i="4"/>
  <c r="U46" i="4" s="1"/>
  <c r="U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K37" i="4"/>
  <c r="Q37" i="4" s="1"/>
  <c r="Q38" i="4" s="1"/>
  <c r="J37" i="4"/>
  <c r="P37" i="4" s="1"/>
  <c r="P38" i="4" s="1"/>
  <c r="I37" i="4"/>
  <c r="O37" i="4" s="1"/>
  <c r="O38" i="4" s="1"/>
  <c r="H37" i="4"/>
  <c r="T37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X28" i="4"/>
  <c r="X29" i="4" s="1"/>
  <c r="U28" i="4"/>
  <c r="U29" i="4" s="1"/>
  <c r="T28" i="4"/>
  <c r="T29" i="4" s="1"/>
  <c r="L28" i="4"/>
  <c r="R28" i="4" s="1"/>
  <c r="K28" i="4"/>
  <c r="W28" i="4" s="1"/>
  <c r="J28" i="4"/>
  <c r="P28" i="4" s="1"/>
  <c r="I28" i="4"/>
  <c r="O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W2" i="4"/>
  <c r="AC2" i="4" s="1"/>
  <c r="V2" i="4"/>
  <c r="AB2" i="4" s="1"/>
  <c r="R2" i="4"/>
  <c r="Q2" i="4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Q100" i="4" l="1"/>
  <c r="Q101" i="4" s="1"/>
  <c r="N73" i="4"/>
  <c r="N74" i="4" s="1"/>
  <c r="R100" i="4"/>
  <c r="R101" i="4" s="1"/>
  <c r="N109" i="4"/>
  <c r="N110" i="4" s="1"/>
  <c r="R136" i="4"/>
  <c r="R137" i="4" s="1"/>
  <c r="Q163" i="4"/>
  <c r="Q164" i="4" s="1"/>
  <c r="N172" i="4"/>
  <c r="N173" i="4" s="1"/>
  <c r="Q199" i="4"/>
  <c r="Q200" i="4" s="1"/>
  <c r="X64" i="4"/>
  <c r="X65" i="4" s="1"/>
  <c r="V82" i="4"/>
  <c r="V83" i="4" s="1"/>
  <c r="R163" i="4"/>
  <c r="R164" i="4" s="1"/>
  <c r="O73" i="4"/>
  <c r="O74" i="4" s="1"/>
  <c r="X82" i="4"/>
  <c r="X83" i="4" s="1"/>
  <c r="P73" i="4"/>
  <c r="P74" i="4" s="1"/>
  <c r="X172" i="4"/>
  <c r="X173" i="4" s="1"/>
  <c r="Q190" i="4"/>
  <c r="Q191" i="4" s="1"/>
  <c r="V46" i="4"/>
  <c r="V47" i="4" s="1"/>
  <c r="U109" i="4"/>
  <c r="U110" i="4" s="1"/>
  <c r="R73" i="4"/>
  <c r="R74" i="4" s="1"/>
  <c r="V100" i="4"/>
  <c r="V101" i="4" s="1"/>
  <c r="U163" i="4"/>
  <c r="U164" i="4" s="1"/>
  <c r="V190" i="4"/>
  <c r="V191" i="4" s="1"/>
  <c r="O46" i="4"/>
  <c r="O47" i="4" s="1"/>
  <c r="R37" i="4"/>
  <c r="R38" i="4" s="1"/>
  <c r="U37" i="4"/>
  <c r="U38" i="4" s="1"/>
  <c r="W127" i="4"/>
  <c r="W128" i="4" s="1"/>
  <c r="N154" i="4"/>
  <c r="N155" i="4" s="1"/>
  <c r="V37" i="4"/>
  <c r="V38" i="4" s="1"/>
  <c r="O154" i="4"/>
  <c r="O155" i="4" s="1"/>
  <c r="X190" i="4"/>
  <c r="X191" i="4" s="1"/>
  <c r="Q28" i="4"/>
  <c r="Q29" i="4" s="1"/>
  <c r="W37" i="4"/>
  <c r="W38" i="4" s="1"/>
  <c r="P55" i="4"/>
  <c r="P56" i="4" s="1"/>
  <c r="P91" i="4"/>
  <c r="P92" i="4" s="1"/>
  <c r="P29" i="4"/>
  <c r="X38" i="4"/>
  <c r="X16" i="4" s="1"/>
  <c r="V240" i="4" s="1"/>
  <c r="W29" i="4"/>
  <c r="T38" i="4"/>
  <c r="R29" i="4"/>
  <c r="N29" i="4"/>
  <c r="U118" i="4"/>
  <c r="U119" i="4" s="1"/>
  <c r="X145" i="4"/>
  <c r="X146" i="4" s="1"/>
  <c r="V163" i="4"/>
  <c r="V164" i="4" s="1"/>
  <c r="T181" i="4"/>
  <c r="T182" i="4" s="1"/>
  <c r="O29" i="4"/>
  <c r="Q46" i="4"/>
  <c r="Q47" i="4" s="1"/>
  <c r="O64" i="4"/>
  <c r="O65" i="4" s="1"/>
  <c r="R91" i="4"/>
  <c r="R92" i="4" s="1"/>
  <c r="P109" i="4"/>
  <c r="P110" i="4" s="1"/>
  <c r="N127" i="4"/>
  <c r="N128" i="4" s="1"/>
  <c r="Q154" i="4"/>
  <c r="Q155" i="4" s="1"/>
  <c r="O172" i="4"/>
  <c r="O173" i="4" s="1"/>
  <c r="R199" i="4"/>
  <c r="R200" i="4" s="1"/>
  <c r="R46" i="4"/>
  <c r="R47" i="4" s="1"/>
  <c r="P64" i="4"/>
  <c r="P65" i="4" s="1"/>
  <c r="N82" i="4"/>
  <c r="N83" i="4" s="1"/>
  <c r="Q109" i="4"/>
  <c r="Q110" i="4" s="1"/>
  <c r="O127" i="4"/>
  <c r="O128" i="4" s="1"/>
  <c r="R154" i="4"/>
  <c r="R155" i="4" s="1"/>
  <c r="P172" i="4"/>
  <c r="P173" i="4" s="1"/>
  <c r="N190" i="4"/>
  <c r="N191" i="4" s="1"/>
  <c r="V28" i="4"/>
  <c r="N37" i="4"/>
  <c r="N38" i="4" s="1"/>
  <c r="T46" i="4"/>
  <c r="T47" i="4" s="1"/>
  <c r="Q64" i="4"/>
  <c r="Q65" i="4" s="1"/>
  <c r="W73" i="4"/>
  <c r="W74" i="4" s="1"/>
  <c r="O82" i="4"/>
  <c r="O83" i="4" s="1"/>
  <c r="U91" i="4"/>
  <c r="U92" i="4" s="1"/>
  <c r="R109" i="4"/>
  <c r="R110" i="4" s="1"/>
  <c r="P127" i="4"/>
  <c r="P128" i="4" s="1"/>
  <c r="N145" i="4"/>
  <c r="N146" i="4" s="1"/>
  <c r="Q172" i="4"/>
  <c r="Q173" i="4" s="1"/>
  <c r="O190" i="4"/>
  <c r="O191" i="4" s="1"/>
  <c r="U16" i="4"/>
  <c r="V237" i="4" s="1"/>
  <c r="X14" i="4" l="1"/>
  <c r="V222" i="4" s="1"/>
  <c r="O14" i="4"/>
  <c r="P15" i="4"/>
  <c r="O13" i="4"/>
  <c r="T13" i="4"/>
  <c r="V212" i="4" s="1"/>
  <c r="W15" i="4"/>
  <c r="V209" i="4" s="1"/>
  <c r="Q13" i="4"/>
  <c r="O16" i="4"/>
  <c r="Q14" i="4"/>
  <c r="T16" i="4"/>
  <c r="V236" i="4" s="1"/>
  <c r="T15" i="4"/>
  <c r="V206" i="4" s="1"/>
  <c r="Q16" i="4"/>
  <c r="R14" i="4"/>
  <c r="W14" i="4"/>
  <c r="V221" i="4" s="1"/>
  <c r="P14" i="4"/>
  <c r="P16" i="4"/>
  <c r="V29" i="4"/>
  <c r="V14" i="4" s="1"/>
  <c r="V220" i="4" s="1"/>
  <c r="O15" i="4"/>
  <c r="N13" i="4"/>
  <c r="N14" i="4"/>
  <c r="R13" i="4"/>
  <c r="W13" i="4"/>
  <c r="P13" i="4"/>
  <c r="N16" i="4"/>
  <c r="U13" i="4"/>
  <c r="X15" i="4"/>
  <c r="V210" i="4" s="1"/>
  <c r="U14" i="4"/>
  <c r="V219" i="4" s="1"/>
  <c r="N15" i="4"/>
  <c r="X13" i="4"/>
  <c r="W16" i="4"/>
  <c r="V239" i="4" s="1"/>
  <c r="R15" i="4"/>
  <c r="U15" i="4"/>
  <c r="V207" i="4" s="1"/>
  <c r="T14" i="4"/>
  <c r="V218" i="4" s="1"/>
  <c r="R16" i="4"/>
  <c r="Q15" i="4"/>
  <c r="AA18" i="4" l="1"/>
  <c r="W17" i="4"/>
  <c r="W18" i="4" s="1"/>
  <c r="V215" i="4"/>
  <c r="R17" i="4"/>
  <c r="R18" i="4" s="1"/>
  <c r="AD18" i="4"/>
  <c r="N17" i="4"/>
  <c r="N18" i="4" s="1"/>
  <c r="Z18" i="4"/>
  <c r="V216" i="4"/>
  <c r="X17" i="4"/>
  <c r="X18" i="4" s="1"/>
  <c r="V13" i="4"/>
  <c r="V15" i="4"/>
  <c r="V208" i="4" s="1"/>
  <c r="V16" i="4"/>
  <c r="V238" i="4" s="1"/>
  <c r="AC18" i="4"/>
  <c r="Q17" i="4"/>
  <c r="Q18" i="4" s="1"/>
  <c r="O17" i="4"/>
  <c r="O18" i="4" s="1"/>
  <c r="V213" i="4"/>
  <c r="U17" i="4"/>
  <c r="U18" i="4" s="1"/>
  <c r="T17" i="4"/>
  <c r="T18" i="4" s="1"/>
  <c r="P17" i="4"/>
  <c r="P18" i="4" s="1"/>
  <c r="AB18" i="4"/>
  <c r="V17" i="4" l="1"/>
  <c r="V18" i="4" s="1"/>
  <c r="V214" i="4"/>
</calcChain>
</file>

<file path=xl/sharedStrings.xml><?xml version="1.0" encoding="utf-8"?>
<sst xmlns="http://schemas.openxmlformats.org/spreadsheetml/2006/main" count="833" uniqueCount="128">
  <si>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</si>
  <si>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</si>
  <si>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</si>
  <si>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</si>
  <si>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</si>
  <si>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</si>
  <si>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</si>
  <si>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</si>
  <si>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</si>
  <si>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</si>
  <si>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</si>
  <si>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</si>
  <si>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</si>
  <si>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</si>
  <si>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</si>
  <si>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</si>
  <si>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</si>
  <si>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</si>
  <si>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</si>
  <si>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</si>
  <si>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</si>
  <si>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</si>
  <si>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</si>
  <si>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</si>
  <si>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</si>
  <si>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</si>
  <si>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</si>
  <si>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RPT3636102813059VR</t>
  </si>
  <si>
    <t>RPT2664026599674ER</t>
  </si>
  <si>
    <t>RPT7091434905376XH</t>
  </si>
  <si>
    <t>RPT2875393707364SC</t>
  </si>
  <si>
    <t>RPT2488071986403HC</t>
  </si>
  <si>
    <t>RPT4557059613361OG</t>
  </si>
  <si>
    <t>RPT7391133182478YY</t>
  </si>
  <si>
    <t>RPT5079236554325RA</t>
  </si>
  <si>
    <t>RPT6388542777722NV</t>
  </si>
  <si>
    <t>RPT3231023359109VE</t>
  </si>
  <si>
    <t>RPT3728258754537VT</t>
  </si>
  <si>
    <t>RPT4756953402596AR</t>
  </si>
  <si>
    <t>RPT7769888551803CL</t>
  </si>
  <si>
    <t>RPT8715258551463ZI</t>
  </si>
  <si>
    <t>RPT9835044926199LB</t>
  </si>
  <si>
    <t>RPT7355823849707KI</t>
  </si>
  <si>
    <t>RPT8020444097942LV</t>
  </si>
  <si>
    <t>RPT1298452252937SU</t>
  </si>
  <si>
    <t>RPT1206472223650OE</t>
  </si>
  <si>
    <t>RPT4261435487361AL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</si>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</sst>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79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80</v>
      </c>
      <c r="B4" s="40" t="s">
        <v>81</v>
      </c>
      <c r="C4" s="40" t="s">
        <v>82</v>
      </c>
      <c r="D4" s="40" t="s">
        <v>83</v>
      </c>
      <c r="E4" s="40" t="s">
        <v>84</v>
      </c>
      <c r="F4" s="120"/>
      <c r="G4" s="121"/>
      <c r="H4" s="122"/>
    </row>
    <row r="5" spans="1:8" x14ac:dyDescent="0.25">
      <c r="A5" s="123">
        <v>1</v>
      </c>
      <c r="B5" s="41" t="s">
        <v>85</v>
      </c>
      <c r="C5" s="42">
        <v>44984</v>
      </c>
      <c r="D5" s="43" t="s">
        <v>86</v>
      </c>
      <c r="E5" s="43" t="s">
        <v>87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85</v>
      </c>
      <c r="C6" s="42">
        <v>44998</v>
      </c>
      <c r="D6" s="43" t="s">
        <v>88</v>
      </c>
      <c r="E6" s="43" t="s">
        <v>89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85</v>
      </c>
      <c r="C7" s="42">
        <v>44998</v>
      </c>
      <c r="D7" s="43" t="s">
        <v>90</v>
      </c>
      <c r="E7" s="43" t="s">
        <v>91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85</v>
      </c>
      <c r="C8" s="42">
        <v>45001</v>
      </c>
      <c r="D8" s="43" t="s">
        <v>92</v>
      </c>
      <c r="E8" s="43" t="s">
        <v>93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94</v>
      </c>
      <c r="C9" s="42">
        <v>45167</v>
      </c>
      <c r="D9" s="43" t="s">
        <v>95</v>
      </c>
      <c r="E9" s="43" t="s">
        <v>96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97</v>
      </c>
      <c r="C10" s="42">
        <v>45357</v>
      </c>
      <c r="D10" s="43" t="s">
        <v>98</v>
      </c>
      <c r="E10" s="43" t="s">
        <v>99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100</v>
      </c>
      <c r="C11" s="42">
        <v>45400</v>
      </c>
      <c r="D11" s="43" t="s">
        <v>101</v>
      </c>
      <c r="E11" s="43" t="s">
        <v>102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103</v>
      </c>
      <c r="C12" s="42">
        <v>45576</v>
      </c>
      <c r="D12" s="43" t="s">
        <v>104</v>
      </c>
      <c r="E12" s="43" t="s">
        <v>105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103</v>
      </c>
      <c r="C13" s="42">
        <v>45587</v>
      </c>
      <c r="D13" s="43" t="s">
        <v>106</v>
      </c>
      <c r="E13" s="43" t="s">
        <v>107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103</v>
      </c>
      <c r="C14" s="42">
        <v>45590</v>
      </c>
      <c r="D14" s="43" t="s">
        <v>108</v>
      </c>
      <c r="E14" s="43" t="s">
        <v>99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103</v>
      </c>
      <c r="C15" s="42">
        <v>45593</v>
      </c>
      <c r="D15" s="43" t="s">
        <v>109</v>
      </c>
      <c r="E15" s="43" t="s">
        <v>99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110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110</v>
      </c>
      <c r="B4" s="120"/>
      <c r="C4" s="120"/>
      <c r="D4" s="120"/>
      <c r="E4" s="121"/>
      <c r="F4" s="1"/>
    </row>
    <row r="5" spans="1:6" ht="13" x14ac:dyDescent="0.3">
      <c r="A5" s="45" t="s">
        <v>111</v>
      </c>
      <c r="B5" s="7"/>
      <c r="C5" s="46" t="s">
        <v>112</v>
      </c>
      <c r="D5" s="120"/>
      <c r="E5" s="121"/>
      <c r="F5" s="1"/>
    </row>
    <row r="6" spans="1:6" ht="13" x14ac:dyDescent="0.3">
      <c r="A6" s="45" t="s">
        <v>113</v>
      </c>
      <c r="B6" s="7"/>
      <c r="C6" s="47" t="s">
        <v>114</v>
      </c>
      <c r="D6" s="120"/>
      <c r="E6" s="121"/>
      <c r="F6" s="1"/>
    </row>
    <row r="7" spans="1:6" ht="13" x14ac:dyDescent="0.3">
      <c r="A7" s="45" t="s">
        <v>115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116</v>
      </c>
      <c r="B8" s="7"/>
      <c r="C8" s="48" t="s">
        <v>117</v>
      </c>
      <c r="D8" s="120"/>
      <c r="E8" s="121"/>
      <c r="F8" s="1"/>
    </row>
    <row r="9" spans="1:6" ht="14.4" customHeight="1" x14ac:dyDescent="0.35">
      <c r="A9" s="45" t="s">
        <v>118</v>
      </c>
      <c r="B9" s="7"/>
      <c r="C9" s="119" t="s">
        <v>119</v>
      </c>
      <c r="D9" s="120"/>
      <c r="E9" s="121"/>
      <c r="F9" s="1"/>
    </row>
    <row r="10" spans="1:6" ht="13" x14ac:dyDescent="0.3">
      <c r="A10" s="45" t="s">
        <v>120</v>
      </c>
      <c r="B10" s="7"/>
      <c r="C10" s="48" t="s">
        <v>121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122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79</v>
      </c>
      <c r="D14" s="120"/>
      <c r="E14" s="121"/>
      <c r="F14" s="1"/>
    </row>
    <row r="15" spans="1:6" ht="13" x14ac:dyDescent="0.3">
      <c r="A15" s="120"/>
      <c r="B15" s="120"/>
      <c r="C15" s="113" t="s">
        <v>110</v>
      </c>
      <c r="D15" s="120"/>
      <c r="E15" s="121"/>
      <c r="F15" s="1"/>
    </row>
    <row r="16" spans="1:6" ht="13" x14ac:dyDescent="0.3">
      <c r="A16" s="120"/>
      <c r="B16" s="120"/>
      <c r="C16" s="113" t="s">
        <v>123</v>
      </c>
      <c r="D16" s="120"/>
      <c r="E16" s="121"/>
      <c r="F16" s="1"/>
    </row>
    <row r="17" spans="1:6" ht="13" x14ac:dyDescent="0.3">
      <c r="A17" s="120"/>
      <c r="B17" s="120"/>
      <c r="C17" s="113" t="s">
        <v>124</v>
      </c>
      <c r="D17" s="120"/>
      <c r="E17" s="121"/>
      <c r="F17" s="1"/>
    </row>
    <row r="18" spans="1:6" ht="13" x14ac:dyDescent="0.3">
      <c r="A18" s="120"/>
      <c r="B18" s="120"/>
      <c r="C18" s="113" t="s">
        <v>125</v>
      </c>
      <c r="D18" s="120"/>
      <c r="E18" s="121"/>
      <c r="F18" s="1"/>
    </row>
    <row r="19" spans="1:6" ht="13" x14ac:dyDescent="0.3">
      <c r="A19" s="120"/>
      <c r="B19" s="120"/>
      <c r="C19" s="113" t="s">
        <v>126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127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944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2388856.033944495</v>
      </c>
      <c r="I13" s="141">
        <v>2562340.032727208</v>
      </c>
      <c r="J13" s="141">
        <v>2734364.9683184712</v>
      </c>
      <c r="K13" s="141">
        <v>2937249.3209018218</v>
      </c>
      <c r="L13" s="143">
        <v>3207777.12281906</v>
      </c>
      <c r="M13" s="126"/>
      <c r="N13" s="69">
        <f t="shared" ref="N13:R16" si="3">IF(H13=0,0,SUMPRODUCT(N$22:N$201,H$22:H$201,--($B$22:$B$201=$B13))/H13)</f>
        <v>433.65905734489627</v>
      </c>
      <c r="O13" s="70">
        <f t="shared" si="3"/>
        <v>476.40600497873271</v>
      </c>
      <c r="P13" s="70">
        <f t="shared" si="3"/>
        <v>515.29404773513068</v>
      </c>
      <c r="Q13" s="70">
        <f t="shared" si="3"/>
        <v>553.07312437943096</v>
      </c>
      <c r="R13" s="70">
        <f t="shared" si="3"/>
        <v>590.00312373853512</v>
      </c>
      <c r="S13" s="125"/>
      <c r="T13" s="69">
        <f t="shared" ref="T13:X16" si="4">IF(H13=0,0,SUMPRODUCT(T$22:T$201,H$22:H$201,--($B$22:$B$201=$B13))/H13)</f>
        <v>433.65905734489627</v>
      </c>
      <c r="U13" s="70">
        <f t="shared" si="4"/>
        <v>476.40600497873271</v>
      </c>
      <c r="V13" s="70">
        <f t="shared" si="4"/>
        <v>515.29404773513068</v>
      </c>
      <c r="W13" s="70">
        <f t="shared" si="4"/>
        <v>553.07312437943096</v>
      </c>
      <c r="X13" s="70">
        <f t="shared" si="4"/>
        <v>590.00312373853512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460983.71238747757</v>
      </c>
      <c r="I14" s="141">
        <v>476951.65754490998</v>
      </c>
      <c r="J14" s="141">
        <v>499618.99694949429</v>
      </c>
      <c r="K14" s="141">
        <v>533365.98352244322</v>
      </c>
      <c r="L14" s="143">
        <v>580042.23018066376</v>
      </c>
      <c r="M14" s="126"/>
      <c r="N14" s="74">
        <f t="shared" si="3"/>
        <v>990.20421836889261</v>
      </c>
      <c r="O14" s="75">
        <f t="shared" si="3"/>
        <v>1079.0512372371816</v>
      </c>
      <c r="P14" s="75">
        <f t="shared" si="3"/>
        <v>1159.7647552654989</v>
      </c>
      <c r="Q14" s="75">
        <f t="shared" si="3"/>
        <v>1231.3177682486671</v>
      </c>
      <c r="R14" s="75">
        <f t="shared" si="3"/>
        <v>1298.8903145447064</v>
      </c>
      <c r="S14" s="125"/>
      <c r="T14" s="74">
        <f t="shared" si="4"/>
        <v>990.20421836889261</v>
      </c>
      <c r="U14" s="75">
        <f t="shared" si="4"/>
        <v>1079.0512372371816</v>
      </c>
      <c r="V14" s="75">
        <f t="shared" si="4"/>
        <v>1159.7647552654989</v>
      </c>
      <c r="W14" s="75">
        <f t="shared" si="4"/>
        <v>1231.3177682486671</v>
      </c>
      <c r="X14" s="75">
        <f t="shared" si="4"/>
        <v>1298.8903145447064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163931.9382022034</v>
      </c>
      <c r="I15" s="141">
        <v>175133.46125174541</v>
      </c>
      <c r="J15" s="141">
        <v>188150.66277231881</v>
      </c>
      <c r="K15" s="141">
        <v>205028.98560945291</v>
      </c>
      <c r="L15" s="143">
        <v>227019.06438888871</v>
      </c>
      <c r="M15" s="126"/>
      <c r="N15" s="74">
        <f t="shared" si="3"/>
        <v>1085.8461704262081</v>
      </c>
      <c r="O15" s="75">
        <f t="shared" si="3"/>
        <v>1178.533782936767</v>
      </c>
      <c r="P15" s="75">
        <f t="shared" si="3"/>
        <v>1259.4605838395792</v>
      </c>
      <c r="Q15" s="75">
        <f t="shared" si="3"/>
        <v>1333.8403092709304</v>
      </c>
      <c r="R15" s="75">
        <f t="shared" si="3"/>
        <v>1400.3938169363903</v>
      </c>
      <c r="S15" s="125"/>
      <c r="T15" s="74">
        <f t="shared" si="4"/>
        <v>1085.8461704262081</v>
      </c>
      <c r="U15" s="75">
        <f t="shared" si="4"/>
        <v>1178.533782936767</v>
      </c>
      <c r="V15" s="75">
        <f t="shared" si="4"/>
        <v>1259.4605838395792</v>
      </c>
      <c r="W15" s="75">
        <f t="shared" si="4"/>
        <v>1333.8403092709304</v>
      </c>
      <c r="X15" s="75">
        <f t="shared" si="4"/>
        <v>1400.3938169363903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218637.88956464201</v>
      </c>
      <c r="I16" s="97">
        <v>242931.896004501</v>
      </c>
      <c r="J16" s="97">
        <v>269768.80748774781</v>
      </c>
      <c r="K16" s="97">
        <v>302038.65983373189</v>
      </c>
      <c r="L16" s="146">
        <v>341164.35656638257</v>
      </c>
      <c r="M16" s="126"/>
      <c r="N16" s="80">
        <f t="shared" si="3"/>
        <v>4636.7280471469221</v>
      </c>
      <c r="O16" s="81">
        <f t="shared" si="3"/>
        <v>4859.1759378071647</v>
      </c>
      <c r="P16" s="81">
        <f t="shared" si="3"/>
        <v>5159.0130276558839</v>
      </c>
      <c r="Q16" s="81">
        <f t="shared" si="3"/>
        <v>5415.8274132179113</v>
      </c>
      <c r="R16" s="81">
        <f t="shared" si="3"/>
        <v>5710.7832507484718</v>
      </c>
      <c r="S16" s="125"/>
      <c r="T16" s="80">
        <f t="shared" si="4"/>
        <v>4636.7280471469221</v>
      </c>
      <c r="U16" s="81">
        <f t="shared" si="4"/>
        <v>4859.1759378071647</v>
      </c>
      <c r="V16" s="81">
        <f t="shared" si="4"/>
        <v>5159.0130276558839</v>
      </c>
      <c r="W16" s="81">
        <f t="shared" si="4"/>
        <v>5415.8274132179113</v>
      </c>
      <c r="X16" s="81">
        <f t="shared" si="4"/>
        <v>5710.7832507484718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3232409.574098818</v>
      </c>
      <c r="I17" s="100">
        <f>SUM(I13:I16)</f>
        <v>3457357.0475283642</v>
      </c>
      <c r="J17" s="100">
        <f>SUM(J13:J16)</f>
        <v>3691903.435528032</v>
      </c>
      <c r="K17" s="100">
        <f>SUM(K13:K16)</f>
        <v>3977682.9498674497</v>
      </c>
      <c r="L17" s="144">
        <f>SUM(L13:L16)</f>
        <v>4356002.773954995</v>
      </c>
      <c r="M17" s="142"/>
      <c r="N17" s="85">
        <f>IF(H17=0,0,SUMPRODUCT(N13:N16,H13:H16)/H17)</f>
        <v>830.39797801230213</v>
      </c>
      <c r="O17" s="86">
        <f>IF(I17=0,0,SUMPRODUCT(O13:O16,I13:I16)/I17)</f>
        <v>903.0652419875538</v>
      </c>
      <c r="P17" s="86">
        <f>IF(J17=0,0,SUMPRODUCT(P13:P16,J13:J16)/J17)</f>
        <v>979.75250308389013</v>
      </c>
      <c r="Q17" s="86">
        <f>IF(K17=0,0,SUMPRODUCT(Q13:Q16,K13:K16)/K17)</f>
        <v>1053.5082618831468</v>
      </c>
      <c r="R17" s="86">
        <f>IF(L17=0,0,SUMPRODUCT(R13:R16,L13:L16)/L17)</f>
        <v>1127.6947696700765</v>
      </c>
      <c r="S17" s="20"/>
      <c r="T17" s="85">
        <f>IF(H17=0,0,SUMPRODUCT(T13:T16,H13:H16)/H17)</f>
        <v>830.39797801230213</v>
      </c>
      <c r="U17" s="86">
        <f>IF(I17=0,0,SUMPRODUCT(U13:U16,I13:I16)/I17)</f>
        <v>903.0652419875538</v>
      </c>
      <c r="V17" s="86">
        <f>IF(J17=0,0,SUMPRODUCT(V13:V16,J13:J16)/J17)</f>
        <v>979.75250308389013</v>
      </c>
      <c r="W17" s="86">
        <f>IF(K17=0,0,SUMPRODUCT(W13:W16,K13:K16)/K17)</f>
        <v>1053.5082618831468</v>
      </c>
      <c r="X17" s="86">
        <f>IF(L17=0,0,SUMPRODUCT(X13:X16,L13:L16)/L17)</f>
        <v>1127.6947696700765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2684186374.4392653</v>
      </c>
      <c r="O18" s="23">
        <f>SUM(O17*I17)</f>
        <v>3122218978.763577</v>
      </c>
      <c r="P18" s="23">
        <f>SUM(P17*J17)</f>
        <v>3617151632.102603</v>
      </c>
      <c r="Q18" s="23">
        <f>SUM(Q17*K17)</f>
        <v>4190521850.8370852</v>
      </c>
      <c r="R18" s="23">
        <f>SUM(R17*L17)</f>
        <v>4912241544.8573923</v>
      </c>
      <c r="S18" s="24"/>
      <c r="T18" s="23">
        <f>SUM(T17*H17)</f>
        <v>2684186374.4392653</v>
      </c>
      <c r="U18" s="23">
        <f>SUM(U17*I17)</f>
        <v>3122218978.763577</v>
      </c>
      <c r="V18" s="23">
        <f>SUM(V17*J17)</f>
        <v>3617151632.102603</v>
      </c>
      <c r="W18" s="23">
        <f>SUM(W17*K17)</f>
        <v>4190521850.8370852</v>
      </c>
      <c r="X18" s="23">
        <f>SUM(X17*L17)</f>
        <v>4912241544.8573923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157692.51408509031</v>
      </c>
      <c r="I24" s="141">
        <v>166487.4670033709</v>
      </c>
      <c r="J24" s="141">
        <v>176028.38671510649</v>
      </c>
      <c r="K24" s="141">
        <v>187750.64860807301</v>
      </c>
      <c r="L24" s="143">
        <v>202596.03437798319</v>
      </c>
      <c r="M24" s="126"/>
      <c r="N24" s="69">
        <v>309.77119973466932</v>
      </c>
      <c r="O24" s="75">
        <v>350.69368397624311</v>
      </c>
      <c r="P24" s="75">
        <v>387.48656279842783</v>
      </c>
      <c r="Q24" s="75">
        <v>421.9756948363198</v>
      </c>
      <c r="R24" s="75">
        <v>457.95715458769769</v>
      </c>
      <c r="S24" s="125"/>
      <c r="T24" s="30">
        <v>309.77119973466932</v>
      </c>
      <c r="U24" s="31">
        <v>350.69368397624311</v>
      </c>
      <c r="V24" s="31">
        <v>387.48656279842783</v>
      </c>
      <c r="W24" s="31">
        <v>421.9756948363198</v>
      </c>
      <c r="X24" s="31">
        <v>457.95715458769769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32146.429680124122</v>
      </c>
      <c r="I25" s="141">
        <v>32965.714566486269</v>
      </c>
      <c r="J25" s="141">
        <v>34361.047806516021</v>
      </c>
      <c r="K25" s="141">
        <v>36546.786595602971</v>
      </c>
      <c r="L25" s="143">
        <v>39399.495980668449</v>
      </c>
      <c r="M25" s="126"/>
      <c r="N25" s="74">
        <v>567.32081259763106</v>
      </c>
      <c r="O25" s="75">
        <v>639.88757376777392</v>
      </c>
      <c r="P25" s="75">
        <v>705.13330627633388</v>
      </c>
      <c r="Q25" s="75">
        <v>759.35418054163608</v>
      </c>
      <c r="R25" s="75">
        <v>815.21286888764541</v>
      </c>
      <c r="S25" s="125"/>
      <c r="T25" s="30">
        <v>567.32081259763106</v>
      </c>
      <c r="U25" s="31">
        <v>639.88757376777392</v>
      </c>
      <c r="V25" s="31">
        <v>705.13330627633388</v>
      </c>
      <c r="W25" s="31">
        <v>759.35418054163608</v>
      </c>
      <c r="X25" s="31">
        <v>815.21286888764541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11715.217719618389</v>
      </c>
      <c r="I26" s="141">
        <v>12404.13892512474</v>
      </c>
      <c r="J26" s="141">
        <v>13282.19313651666</v>
      </c>
      <c r="K26" s="141">
        <v>14452.7654678493</v>
      </c>
      <c r="L26" s="143">
        <v>15925.6448948094</v>
      </c>
      <c r="M26" s="126"/>
      <c r="N26" s="74">
        <v>724.92833956108109</v>
      </c>
      <c r="O26" s="75">
        <v>804.61809209563137</v>
      </c>
      <c r="P26" s="75">
        <v>874.37876864870998</v>
      </c>
      <c r="Q26" s="75">
        <v>937.07419752822921</v>
      </c>
      <c r="R26" s="75">
        <v>996.92391103537773</v>
      </c>
      <c r="S26" s="125"/>
      <c r="T26" s="30">
        <v>724.92833956108109</v>
      </c>
      <c r="U26" s="31">
        <v>804.61809209563137</v>
      </c>
      <c r="V26" s="31">
        <v>874.37876864870998</v>
      </c>
      <c r="W26" s="31">
        <v>937.07419752822921</v>
      </c>
      <c r="X26" s="31">
        <v>996.92391103537773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21553.13526743168</v>
      </c>
      <c r="I27" s="97">
        <v>23768.579813615801</v>
      </c>
      <c r="J27" s="97">
        <v>26311.55657400404</v>
      </c>
      <c r="K27" s="97">
        <v>29150.45252801626</v>
      </c>
      <c r="L27" s="146">
        <v>32577.479946620319</v>
      </c>
      <c r="M27" s="126"/>
      <c r="N27" s="80">
        <v>3289.167379109836</v>
      </c>
      <c r="O27" s="81">
        <v>3465.106106355337</v>
      </c>
      <c r="P27" s="81">
        <v>3687.1491509610842</v>
      </c>
      <c r="Q27" s="81">
        <v>3906.3555641789799</v>
      </c>
      <c r="R27" s="81">
        <v>4160.7658559162173</v>
      </c>
      <c r="S27" s="125"/>
      <c r="T27" s="33">
        <v>3289.167379109836</v>
      </c>
      <c r="U27" s="34">
        <v>3465.106106355337</v>
      </c>
      <c r="V27" s="34">
        <v>3687.1491509610842</v>
      </c>
      <c r="W27" s="34">
        <v>3906.3555641789799</v>
      </c>
      <c r="X27" s="34">
        <v>4160.7658559162173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223107.29675226449</v>
      </c>
      <c r="I28" s="100">
        <f>SUM(I24:I27)</f>
        <v>235625.90030859772</v>
      </c>
      <c r="J28" s="100">
        <f>SUM(J24:J27)</f>
        <v>249983.18423214322</v>
      </c>
      <c r="K28" s="100">
        <f>SUM(K24:K27)</f>
        <v>267900.65319954156</v>
      </c>
      <c r="L28" s="144">
        <f>SUM(L24:L27)</f>
        <v>290498.65520008135</v>
      </c>
      <c r="M28" s="142"/>
      <c r="N28" s="85">
        <f>IF(H28=0,0,SUMPRODUCT(N24:N27,H24:H27)/H28)</f>
        <v>656.50251150885401</v>
      </c>
      <c r="O28" s="86">
        <f>IF(I28=0,0,SUMPRODUCT(O24:O27,I24:I27)/I28)</f>
        <v>729.21397721260166</v>
      </c>
      <c r="P28" s="86">
        <f>IF(J28=0,0,SUMPRODUCT(P24:P27,J24:J27)/J28)</f>
        <v>804.31832064898072</v>
      </c>
      <c r="Q28" s="86">
        <f>IF(K28=0,0,SUMPRODUCT(Q24:Q27,K24:K27)/K28)</f>
        <v>874.92698813433378</v>
      </c>
      <c r="R28" s="86">
        <f>IF(L28=0,0,SUMPRODUCT(R24:R27,L24:L27)/L28)</f>
        <v>951.20303336099653</v>
      </c>
      <c r="S28" s="20"/>
      <c r="T28" s="85">
        <f>IF(H28=0,0,SUMPRODUCT(T24:T27,H24:H27)/H28)</f>
        <v>656.50251150885401</v>
      </c>
      <c r="U28" s="86">
        <f>IF(I28=0,0,SUMPRODUCT(U24:U27,I24:I27)/I28)</f>
        <v>729.21397721260166</v>
      </c>
      <c r="V28" s="86">
        <f>IF(J28=0,0,SUMPRODUCT(V24:V27,J24:J27)/J28)</f>
        <v>804.31832064898072</v>
      </c>
      <c r="W28" s="86">
        <f>IF(K28=0,0,SUMPRODUCT(W24:W27,K24:K27)/K28)</f>
        <v>874.92698813433378</v>
      </c>
      <c r="X28" s="86">
        <f>IF(L28=0,0,SUMPRODUCT(X24:X27,L24:L27)/L28)</f>
        <v>951.20303336099653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146470500.65381283</v>
      </c>
      <c r="O29" s="23">
        <f>SUM(O28*I28)</f>
        <v>171821699.89833254</v>
      </c>
      <c r="P29" s="23">
        <f>SUM(P28*J28)</f>
        <v>201066054.93208218</v>
      </c>
      <c r="Q29" s="23">
        <f>SUM(Q28*K28)</f>
        <v>234393511.62309557</v>
      </c>
      <c r="R29" s="23">
        <f>SUM(R28*L28)</f>
        <v>276323202.01360762</v>
      </c>
      <c r="S29" s="24"/>
      <c r="T29" s="23">
        <f>SUM(T28*H28)</f>
        <v>146470500.65381283</v>
      </c>
      <c r="U29" s="23">
        <f>SUM(U28*I28)</f>
        <v>171821699.89833254</v>
      </c>
      <c r="V29" s="23">
        <f>SUM(V28*J28)</f>
        <v>201066054.93208218</v>
      </c>
      <c r="W29" s="23">
        <f>SUM(W28*K28)</f>
        <v>234393511.62309557</v>
      </c>
      <c r="X29" s="23">
        <f>SUM(X28*L28)</f>
        <v>276323202.01360762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103201.9129036544</v>
      </c>
      <c r="I33" s="168">
        <v>110774.80133627741</v>
      </c>
      <c r="J33" s="168">
        <v>118491.76585373</v>
      </c>
      <c r="K33" s="168">
        <v>127969.7271904833</v>
      </c>
      <c r="L33" s="169">
        <v>140052.4303256018</v>
      </c>
      <c r="M33" s="149"/>
      <c r="N33" s="170">
        <v>456.26594795663152</v>
      </c>
      <c r="O33" s="171">
        <v>510.02171993625223</v>
      </c>
      <c r="P33" s="171">
        <v>556.84853975368719</v>
      </c>
      <c r="Q33" s="171">
        <v>597.23407975897408</v>
      </c>
      <c r="R33" s="171">
        <v>637.54246354405984</v>
      </c>
      <c r="S33" s="163"/>
      <c r="T33" s="172">
        <v>456.26594795663152</v>
      </c>
      <c r="U33" s="173">
        <v>510.02171993625223</v>
      </c>
      <c r="V33" s="173">
        <v>556.84853975368719</v>
      </c>
      <c r="W33" s="173">
        <v>597.23407975897408</v>
      </c>
      <c r="X33" s="173">
        <v>637.54246354405984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17340.933643121971</v>
      </c>
      <c r="I34" s="168">
        <v>17728.771988537141</v>
      </c>
      <c r="J34" s="168">
        <v>18436.926361882699</v>
      </c>
      <c r="K34" s="168">
        <v>19689.729284718531</v>
      </c>
      <c r="L34" s="169">
        <v>21365.588995489921</v>
      </c>
      <c r="M34" s="149"/>
      <c r="N34" s="179">
        <v>906.83275658967</v>
      </c>
      <c r="O34" s="171">
        <v>1031.4947046222919</v>
      </c>
      <c r="P34" s="171">
        <v>1138.431795990932</v>
      </c>
      <c r="Q34" s="171">
        <v>1212.9395415375311</v>
      </c>
      <c r="R34" s="171">
        <v>1284.035117092536</v>
      </c>
      <c r="S34" s="163"/>
      <c r="T34" s="172">
        <v>906.83275658967</v>
      </c>
      <c r="U34" s="173">
        <v>1031.4947046222919</v>
      </c>
      <c r="V34" s="173">
        <v>1138.431795990932</v>
      </c>
      <c r="W34" s="173">
        <v>1212.9395415375311</v>
      </c>
      <c r="X34" s="173">
        <v>1284.035117092536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6288.9452782971384</v>
      </c>
      <c r="I35" s="168">
        <v>6597.5403234689702</v>
      </c>
      <c r="J35" s="168">
        <v>6933.4030045579257</v>
      </c>
      <c r="K35" s="168">
        <v>7388.2173838954723</v>
      </c>
      <c r="L35" s="169">
        <v>7933.971151500341</v>
      </c>
      <c r="M35" s="149"/>
      <c r="N35" s="179">
        <v>917.26479314045059</v>
      </c>
      <c r="O35" s="171">
        <v>1027.072514548895</v>
      </c>
      <c r="P35" s="171">
        <v>1122.270807806359</v>
      </c>
      <c r="Q35" s="171">
        <v>1210.0696770161569</v>
      </c>
      <c r="R35" s="171">
        <v>1302.351392805951</v>
      </c>
      <c r="S35" s="163"/>
      <c r="T35" s="172">
        <v>917.26479314045059</v>
      </c>
      <c r="U35" s="173">
        <v>1027.072514548895</v>
      </c>
      <c r="V35" s="173">
        <v>1122.270807806359</v>
      </c>
      <c r="W35" s="173">
        <v>1210.0696770161569</v>
      </c>
      <c r="X35" s="173">
        <v>1302.351392805951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21793.834047568242</v>
      </c>
      <c r="I36" s="185">
        <v>24033.758203894111</v>
      </c>
      <c r="J36" s="185">
        <v>26612.0526726237</v>
      </c>
      <c r="K36" s="185">
        <v>29520.163612174019</v>
      </c>
      <c r="L36" s="186">
        <v>33073.917609996322</v>
      </c>
      <c r="M36" s="149"/>
      <c r="N36" s="187">
        <v>3061.130129608619</v>
      </c>
      <c r="O36" s="188">
        <v>3255.980697866029</v>
      </c>
      <c r="P36" s="188">
        <v>3499.044542719666</v>
      </c>
      <c r="Q36" s="188">
        <v>3732.1747590144541</v>
      </c>
      <c r="R36" s="188">
        <v>3997.700972154073</v>
      </c>
      <c r="S36" s="163"/>
      <c r="T36" s="189">
        <v>3061.130129608619</v>
      </c>
      <c r="U36" s="190">
        <v>3255.980697866029</v>
      </c>
      <c r="V36" s="190">
        <v>3499.044542719666</v>
      </c>
      <c r="W36" s="190">
        <v>3732.1747590144541</v>
      </c>
      <c r="X36" s="190">
        <v>3997.700972154073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148625.62587264174</v>
      </c>
      <c r="I37" s="197">
        <f>SUM(I33:I36)</f>
        <v>159134.87185217763</v>
      </c>
      <c r="J37" s="197">
        <f>SUM(J33:J36)</f>
        <v>170474.14789279434</v>
      </c>
      <c r="K37" s="197">
        <f>SUM(K33:K36)</f>
        <v>184567.83747127131</v>
      </c>
      <c r="L37" s="198">
        <f>SUM(L33:L36)</f>
        <v>202425.9080825884</v>
      </c>
      <c r="M37" s="199"/>
      <c r="N37" s="200">
        <f>IF(H37=0,0,SUMPRODUCT(N33:N36,H33:H36)/H37)</f>
        <v>910.30893641288981</v>
      </c>
      <c r="O37" s="201">
        <f>IF(I37=0,0,SUMPRODUCT(O33:O36,I33:I36)/I37)</f>
        <v>1004.2694753676113</v>
      </c>
      <c r="P37" s="201">
        <f>IF(J37=0,0,SUMPRODUCT(P33:P36,J33:J36)/J37)</f>
        <v>1102.0384367184245</v>
      </c>
      <c r="Q37" s="201">
        <f>IF(K37=0,0,SUMPRODUCT(Q33:Q36,K33:K36)/K37)</f>
        <v>1188.8582746176596</v>
      </c>
      <c r="R37" s="201">
        <f>IF(L37=0,0,SUMPRODUCT(R33:R36,L33:L36)/L37)</f>
        <v>1280.8438971111036</v>
      </c>
      <c r="S37" s="202"/>
      <c r="T37" s="200">
        <f>IF(H37=0,0,SUMPRODUCT(T33:T36,H33:H36)/H37)</f>
        <v>910.30893641288981</v>
      </c>
      <c r="U37" s="201">
        <f>IF(I37=0,0,SUMPRODUCT(U33:U36,I33:I36)/I37)</f>
        <v>1004.2694753676113</v>
      </c>
      <c r="V37" s="201">
        <f>IF(J37=0,0,SUMPRODUCT(V33:V36,J33:J36)/J37)</f>
        <v>1102.0384367184245</v>
      </c>
      <c r="W37" s="201">
        <f>IF(K37=0,0,SUMPRODUCT(W33:W36,K33:K36)/K37)</f>
        <v>1188.8582746176596</v>
      </c>
      <c r="X37" s="201">
        <f>IF(L37=0,0,SUMPRODUCT(X33:X36,L33:L36)/L37)</f>
        <v>1280.8438971111036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135295235.41182458</v>
      </c>
      <c r="O38" s="207">
        <f>SUM(O37*I37)</f>
        <v>159814294.2676785</v>
      </c>
      <c r="P38" s="207">
        <f>SUM(P37*J37)</f>
        <v>187869063.44468057</v>
      </c>
      <c r="Q38" s="207">
        <f>SUM(Q37*K37)</f>
        <v>219425000.80600825</v>
      </c>
      <c r="R38" s="207">
        <f>SUM(R37*L37)</f>
        <v>259275988.98475659</v>
      </c>
      <c r="S38" s="208"/>
      <c r="T38" s="207">
        <f>SUM(T37*H37)</f>
        <v>135295235.41182458</v>
      </c>
      <c r="U38" s="207">
        <f>SUM(U37*I37)</f>
        <v>159814294.2676785</v>
      </c>
      <c r="V38" s="207">
        <f>SUM(V37*J37)</f>
        <v>187869063.44468057</v>
      </c>
      <c r="W38" s="207">
        <f>SUM(W37*K37)</f>
        <v>219425000.80600825</v>
      </c>
      <c r="X38" s="207">
        <f>SUM(X37*L37)</f>
        <v>259275988.98475659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111324.4401573982</v>
      </c>
      <c r="I42" s="168">
        <v>121847.4623552705</v>
      </c>
      <c r="J42" s="168">
        <v>131736.08546493409</v>
      </c>
      <c r="K42" s="168">
        <v>142033.88227056159</v>
      </c>
      <c r="L42" s="169">
        <v>156204.35567420151</v>
      </c>
      <c r="M42" s="149"/>
      <c r="N42" s="170">
        <v>455.28908366106771</v>
      </c>
      <c r="O42" s="171">
        <v>492.13813025494159</v>
      </c>
      <c r="P42" s="171">
        <v>526.08860078123644</v>
      </c>
      <c r="Q42" s="171">
        <v>561.04081224593187</v>
      </c>
      <c r="R42" s="171">
        <v>592.1160423149372</v>
      </c>
      <c r="S42" s="163"/>
      <c r="T42" s="172">
        <v>455.28908366106771</v>
      </c>
      <c r="U42" s="173">
        <v>492.13813025494159</v>
      </c>
      <c r="V42" s="173">
        <v>526.08860078123644</v>
      </c>
      <c r="W42" s="173">
        <v>561.04081224593187</v>
      </c>
      <c r="X42" s="173">
        <v>592.1160423149372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24363.465668491401</v>
      </c>
      <c r="I43" s="168">
        <v>25902.718858317559</v>
      </c>
      <c r="J43" s="168">
        <v>27594.28627857782</v>
      </c>
      <c r="K43" s="168">
        <v>29509.54822980945</v>
      </c>
      <c r="L43" s="169">
        <v>32225.475046334032</v>
      </c>
      <c r="M43" s="149"/>
      <c r="N43" s="179">
        <v>876.10267461969897</v>
      </c>
      <c r="O43" s="171">
        <v>937.46656053549862</v>
      </c>
      <c r="P43" s="171">
        <v>992.63573082413416</v>
      </c>
      <c r="Q43" s="171">
        <v>1045.9471695114769</v>
      </c>
      <c r="R43" s="171">
        <v>1091.236700654531</v>
      </c>
      <c r="S43" s="163"/>
      <c r="T43" s="172">
        <v>876.10267461969897</v>
      </c>
      <c r="U43" s="173">
        <v>937.46656053549862</v>
      </c>
      <c r="V43" s="173">
        <v>992.63573082413416</v>
      </c>
      <c r="W43" s="173">
        <v>1045.9471695114769</v>
      </c>
      <c r="X43" s="173">
        <v>1091.236700654531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8372.0465979325127</v>
      </c>
      <c r="I44" s="168">
        <v>9151.9539820784139</v>
      </c>
      <c r="J44" s="168">
        <v>10028.71138517801</v>
      </c>
      <c r="K44" s="168">
        <v>11088.113026889359</v>
      </c>
      <c r="L44" s="169">
        <v>12516.893204039299</v>
      </c>
      <c r="M44" s="149"/>
      <c r="N44" s="179">
        <v>863.98202795165435</v>
      </c>
      <c r="O44" s="171">
        <v>916.41939050232861</v>
      </c>
      <c r="P44" s="171">
        <v>954.22709541542304</v>
      </c>
      <c r="Q44" s="171">
        <v>989.2823143586304</v>
      </c>
      <c r="R44" s="171">
        <v>1012.871741440769</v>
      </c>
      <c r="S44" s="163"/>
      <c r="T44" s="172">
        <v>863.98202795165435</v>
      </c>
      <c r="U44" s="173">
        <v>916.41939050232861</v>
      </c>
      <c r="V44" s="173">
        <v>954.22709541542304</v>
      </c>
      <c r="W44" s="173">
        <v>989.2823143586304</v>
      </c>
      <c r="X44" s="173">
        <v>1012.871741440769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9325.3987313432426</v>
      </c>
      <c r="I45" s="185">
        <v>10449.335495545591</v>
      </c>
      <c r="J45" s="185">
        <v>11630.462044742681</v>
      </c>
      <c r="K45" s="185">
        <v>13162.775516103529</v>
      </c>
      <c r="L45" s="186">
        <v>14974.822150948599</v>
      </c>
      <c r="M45" s="149"/>
      <c r="N45" s="187">
        <v>6443.9331661361157</v>
      </c>
      <c r="O45" s="188">
        <v>6709.6640300941172</v>
      </c>
      <c r="P45" s="188">
        <v>7088.9900361228138</v>
      </c>
      <c r="Q45" s="188">
        <v>7394.2094455524057</v>
      </c>
      <c r="R45" s="188">
        <v>7729.2354105628838</v>
      </c>
      <c r="S45" s="163"/>
      <c r="T45" s="189">
        <v>6443.9331661361157</v>
      </c>
      <c r="U45" s="190">
        <v>6709.6640300941172</v>
      </c>
      <c r="V45" s="190">
        <v>7088.9900361228138</v>
      </c>
      <c r="W45" s="190">
        <v>7394.2094455524057</v>
      </c>
      <c r="X45" s="190">
        <v>7729.2354105628838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153385.35115516538</v>
      </c>
      <c r="I46" s="197">
        <f>SUM(I42:I45)</f>
        <v>167351.47069121205</v>
      </c>
      <c r="J46" s="197">
        <f>SUM(J42:J45)</f>
        <v>180989.54517343259</v>
      </c>
      <c r="K46" s="197">
        <f>SUM(K42:K45)</f>
        <v>195794.31904336391</v>
      </c>
      <c r="L46" s="198">
        <f>SUM(L42:L45)</f>
        <v>215921.54607552345</v>
      </c>
      <c r="M46" s="199"/>
      <c r="N46" s="200">
        <f>IF(H46=0,0,SUMPRODUCT(N42:N45,H42:H45)/H46)</f>
        <v>908.53033033562076</v>
      </c>
      <c r="O46" s="201">
        <f>IF(I46=0,0,SUMPRODUCT(O42:O45,I42:I45)/I46)</f>
        <v>972.4878603532519</v>
      </c>
      <c r="P46" s="201">
        <f>IF(J46=0,0,SUMPRODUCT(P42:P45,J42:J45)/J46)</f>
        <v>1042.6780447845213</v>
      </c>
      <c r="Q46" s="201">
        <f>IF(K46=0,0,SUMPRODUCT(Q42:Q45,K42:K45)/K46)</f>
        <v>1117.7537088782958</v>
      </c>
      <c r="R46" s="201">
        <f>IF(L46=0,0,SUMPRODUCT(R42:R45,L42:L45)/L46)</f>
        <v>1185.9801101284118</v>
      </c>
      <c r="S46" s="202"/>
      <c r="T46" s="200">
        <f>IF(H46=0,0,SUMPRODUCT(T42:T45,H42:H45)/H46)</f>
        <v>908.53033033562076</v>
      </c>
      <c r="U46" s="201">
        <f>IF(I46=0,0,SUMPRODUCT(U42:U45,I42:I45)/I46)</f>
        <v>972.4878603532519</v>
      </c>
      <c r="V46" s="201">
        <f>IF(J46=0,0,SUMPRODUCT(V42:V45,J42:J45)/J46)</f>
        <v>1042.6780447845213</v>
      </c>
      <c r="W46" s="201">
        <f>IF(K46=0,0,SUMPRODUCT(W42:W45,K42:K45)/K46)</f>
        <v>1117.7537088782958</v>
      </c>
      <c r="X46" s="201">
        <f>IF(L46=0,0,SUMPRODUCT(X42:X45,L42:L45)/L46)</f>
        <v>1185.9801101284118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139355243.7536476</v>
      </c>
      <c r="O47" s="207">
        <f>SUM(O46*I46)</f>
        <v>162747273.65946674</v>
      </c>
      <c r="P47" s="207">
        <f>SUM(P46*J46)</f>
        <v>188713825.08787447</v>
      </c>
      <c r="Q47" s="207">
        <f>SUM(Q46*K46)</f>
        <v>218849826.28802034</v>
      </c>
      <c r="R47" s="207">
        <f>SUM(R46*L46)</f>
        <v>256078658.99374625</v>
      </c>
      <c r="S47" s="208"/>
      <c r="T47" s="207">
        <f>SUM(T46*H46)</f>
        <v>139355243.7536476</v>
      </c>
      <c r="U47" s="207">
        <f>SUM(U46*I46)</f>
        <v>162747273.65946674</v>
      </c>
      <c r="V47" s="207">
        <f>SUM(V46*J46)</f>
        <v>188713825.08787447</v>
      </c>
      <c r="W47" s="207">
        <f>SUM(W46*K46)</f>
        <v>218849826.28802034</v>
      </c>
      <c r="X47" s="207">
        <f>SUM(X46*L46)</f>
        <v>256078658.99374625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115375.9801894033</v>
      </c>
      <c r="I51" s="168">
        <v>123534.7071575118</v>
      </c>
      <c r="J51" s="168">
        <v>131781.81776250899</v>
      </c>
      <c r="K51" s="168">
        <v>142072.98716938891</v>
      </c>
      <c r="L51" s="169">
        <v>156236.09114565529</v>
      </c>
      <c r="M51" s="149"/>
      <c r="N51" s="170">
        <v>472.42658407574982</v>
      </c>
      <c r="O51" s="171">
        <v>513.15697993455569</v>
      </c>
      <c r="P51" s="171">
        <v>550.28636850555984</v>
      </c>
      <c r="Q51" s="171">
        <v>586.08357284557235</v>
      </c>
      <c r="R51" s="171">
        <v>619.344197511326</v>
      </c>
      <c r="S51" s="163"/>
      <c r="T51" s="172">
        <v>472.42658407574982</v>
      </c>
      <c r="U51" s="173">
        <v>513.15697993455569</v>
      </c>
      <c r="V51" s="173">
        <v>550.28636850555984</v>
      </c>
      <c r="W51" s="173">
        <v>586.08357284557235</v>
      </c>
      <c r="X51" s="173">
        <v>619.344197511326</v>
      </c>
      <c r="Y51" s="163"/>
      <c r="Z51" s="174">
        <v>0</v>
      </c>
      <c r="AA51" s="175">
        <v>0</v>
      </c>
      <c r="AB51" s="175">
        <v>0</v>
      </c>
      <c r="AC51" s="175">
        <v>0</v>
      </c>
      <c r="AD51" s="175">
        <v>0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25736.05101304355</v>
      </c>
      <c r="I52" s="168">
        <v>26483.144238427849</v>
      </c>
      <c r="J52" s="168">
        <v>27625.70374113067</v>
      </c>
      <c r="K52" s="168">
        <v>29542.07913018181</v>
      </c>
      <c r="L52" s="169">
        <v>32259.38220139053</v>
      </c>
      <c r="M52" s="149"/>
      <c r="N52" s="179">
        <v>1050.1029374598149</v>
      </c>
      <c r="O52" s="171">
        <v>1129.3182196612779</v>
      </c>
      <c r="P52" s="171">
        <v>1204.4142107849559</v>
      </c>
      <c r="Q52" s="171">
        <v>1271.154411972602</v>
      </c>
      <c r="R52" s="171">
        <v>1331.7185042381859</v>
      </c>
      <c r="S52" s="163"/>
      <c r="T52" s="172">
        <v>1050.1029374598149</v>
      </c>
      <c r="U52" s="173">
        <v>1129.3182196612779</v>
      </c>
      <c r="V52" s="173">
        <v>1204.4142107849559</v>
      </c>
      <c r="W52" s="173">
        <v>1271.154411972602</v>
      </c>
      <c r="X52" s="173">
        <v>1331.7185042381859</v>
      </c>
      <c r="Y52" s="163"/>
      <c r="Z52" s="180">
        <v>0</v>
      </c>
      <c r="AA52" s="181">
        <v>0</v>
      </c>
      <c r="AB52" s="181">
        <v>0</v>
      </c>
      <c r="AC52" s="181">
        <v>0</v>
      </c>
      <c r="AD52" s="181">
        <v>0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8584.8188070963333</v>
      </c>
      <c r="I53" s="168">
        <v>9246.7664755838468</v>
      </c>
      <c r="J53" s="168">
        <v>10041.54286425033</v>
      </c>
      <c r="K53" s="168">
        <v>11100.292351729981</v>
      </c>
      <c r="L53" s="169">
        <v>12528.50388621475</v>
      </c>
      <c r="M53" s="149"/>
      <c r="N53" s="179">
        <v>1218.399658036542</v>
      </c>
      <c r="O53" s="171">
        <v>1299.407985185534</v>
      </c>
      <c r="P53" s="171">
        <v>1368.0514590775881</v>
      </c>
      <c r="Q53" s="171">
        <v>1424.54554381925</v>
      </c>
      <c r="R53" s="171">
        <v>1463.84820336644</v>
      </c>
      <c r="S53" s="163"/>
      <c r="T53" s="172">
        <v>1218.399658036542</v>
      </c>
      <c r="U53" s="173">
        <v>1299.407985185534</v>
      </c>
      <c r="V53" s="173">
        <v>1368.0514590775881</v>
      </c>
      <c r="W53" s="173">
        <v>1424.54554381925</v>
      </c>
      <c r="X53" s="173">
        <v>1463.84820336644</v>
      </c>
      <c r="Y53" s="163"/>
      <c r="Z53" s="180">
        <v>0</v>
      </c>
      <c r="AA53" s="181">
        <v>0</v>
      </c>
      <c r="AB53" s="181">
        <v>0</v>
      </c>
      <c r="AC53" s="181">
        <v>0</v>
      </c>
      <c r="AD53" s="181">
        <v>0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9284.2854884846256</v>
      </c>
      <c r="I54" s="185">
        <v>10470.359565751</v>
      </c>
      <c r="J54" s="185">
        <v>11688.80856988457</v>
      </c>
      <c r="K54" s="185">
        <v>13395.885783088041</v>
      </c>
      <c r="L54" s="186">
        <v>15387.780758363981</v>
      </c>
      <c r="M54" s="149"/>
      <c r="N54" s="187">
        <v>7006.0545340526551</v>
      </c>
      <c r="O54" s="188">
        <v>7276.4624894329891</v>
      </c>
      <c r="P54" s="188">
        <v>7744.3340737408216</v>
      </c>
      <c r="Q54" s="188">
        <v>7984.4247511534904</v>
      </c>
      <c r="R54" s="188">
        <v>8334.2468411583359</v>
      </c>
      <c r="S54" s="163"/>
      <c r="T54" s="189">
        <v>7006.0545340526551</v>
      </c>
      <c r="U54" s="190">
        <v>7276.4624894329891</v>
      </c>
      <c r="V54" s="190">
        <v>7744.3340737408216</v>
      </c>
      <c r="W54" s="190">
        <v>7984.4247511534904</v>
      </c>
      <c r="X54" s="190">
        <v>8334.2468411583359</v>
      </c>
      <c r="Y54" s="163"/>
      <c r="Z54" s="191">
        <v>0</v>
      </c>
      <c r="AA54" s="192">
        <v>0</v>
      </c>
      <c r="AB54" s="192">
        <v>0</v>
      </c>
      <c r="AC54" s="192">
        <v>0</v>
      </c>
      <c r="AD54" s="192">
        <v>0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158981.13549802781</v>
      </c>
      <c r="I55" s="197">
        <f>SUM(I51:I54)</f>
        <v>169734.97743727447</v>
      </c>
      <c r="J55" s="197">
        <f>SUM(J51:J54)</f>
        <v>181137.87293777458</v>
      </c>
      <c r="K55" s="197">
        <f>SUM(K51:K54)</f>
        <v>196111.24443438876</v>
      </c>
      <c r="L55" s="198">
        <f>SUM(L51:L54)</f>
        <v>216411.75799162456</v>
      </c>
      <c r="M55" s="199"/>
      <c r="N55" s="200">
        <f>IF(H55=0,0,SUMPRODUCT(N51:N54,H51:H54)/H55)</f>
        <v>987.77841296485622</v>
      </c>
      <c r="O55" s="201">
        <f>IF(I55=0,0,SUMPRODUCT(O51:O54,I51:I54)/I55)</f>
        <v>1069.3323091764023</v>
      </c>
      <c r="P55" s="201">
        <f>IF(J55=0,0,SUMPRODUCT(P51:P54,J51:J54)/J55)</f>
        <v>1159.6134510673069</v>
      </c>
      <c r="Q55" s="201">
        <f>IF(K55=0,0,SUMPRODUCT(Q51:Q54,K51:K54)/K55)</f>
        <v>1242.1036991920678</v>
      </c>
      <c r="R55" s="201">
        <f>IF(L55=0,0,SUMPRODUCT(R51:R54,L51:L54)/L55)</f>
        <v>1322.9859895108543</v>
      </c>
      <c r="S55" s="202"/>
      <c r="T55" s="200">
        <f>IF(H55=0,0,SUMPRODUCT(T51:T54,H51:H54)/H55)</f>
        <v>987.77841296485622</v>
      </c>
      <c r="U55" s="201">
        <f>IF(I55=0,0,SUMPRODUCT(U51:U54,I51:I54)/I55)</f>
        <v>1069.3323091764023</v>
      </c>
      <c r="V55" s="201">
        <f>IF(J55=0,0,SUMPRODUCT(V51:V54,J51:J54)/J55)</f>
        <v>1159.6134510673069</v>
      </c>
      <c r="W55" s="201">
        <f>IF(K55=0,0,SUMPRODUCT(W51:W54,K51:K54)/K55)</f>
        <v>1242.1036991920678</v>
      </c>
      <c r="X55" s="201">
        <f>IF(L55=0,0,SUMPRODUCT(X51:X54,L51:L54)/L55)</f>
        <v>1322.9859895108543</v>
      </c>
      <c r="Y55" s="202"/>
      <c r="Z55" s="203">
        <f>SUM(Z51:Z54)</f>
        <v>0</v>
      </c>
      <c r="AA55" s="204">
        <f>SUM(AA51:AA54)</f>
        <v>0</v>
      </c>
      <c r="AB55" s="204">
        <f>SUM(AB51:AB54)</f>
        <v>0</v>
      </c>
      <c r="AC55" s="204">
        <f>SUM(AC51:AC54)</f>
        <v>0</v>
      </c>
      <c r="AD55" s="204">
        <f>SUM(AD51:AD54)</f>
        <v>0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157038133.71359268</v>
      </c>
      <c r="O56" s="207">
        <f>SUM(O55*I55)</f>
        <v>181503095.37100527</v>
      </c>
      <c r="P56" s="207">
        <f>SUM(P55*J55)</f>
        <v>210049913.9563641</v>
      </c>
      <c r="Q56" s="207">
        <f>SUM(Q55*K55)</f>
        <v>243590502.1651141</v>
      </c>
      <c r="R56" s="207">
        <f>SUM(R55*L55)</f>
        <v>286309723.78833294</v>
      </c>
      <c r="S56" s="208"/>
      <c r="T56" s="207">
        <f>SUM(T55*H55)</f>
        <v>157038133.71359268</v>
      </c>
      <c r="U56" s="207">
        <f>SUM(U55*I55)</f>
        <v>181503095.37100527</v>
      </c>
      <c r="V56" s="207">
        <f>SUM(V55*J55)</f>
        <v>210049913.9563641</v>
      </c>
      <c r="W56" s="207">
        <f>SUM(W55*K55)</f>
        <v>243590502.1651141</v>
      </c>
      <c r="X56" s="207">
        <f>SUM(X55*L55)</f>
        <v>286309723.78833294</v>
      </c>
      <c r="Y56" s="149"/>
      <c r="Z56" s="209">
        <f>IFERROR(Z55/SUMPRODUCT(N51:N54,H51:H54), 0)</f>
        <v>0</v>
      </c>
      <c r="AA56" s="209">
        <f>IFERROR(AA55/SUMPRODUCT(O51:O54,I51:I54), 0)</f>
        <v>0</v>
      </c>
      <c r="AB56" s="209">
        <f>IFERROR(AB55/SUMPRODUCT(P51:P54,J51:J54), 0)</f>
        <v>0</v>
      </c>
      <c r="AC56" s="209">
        <f>IFERROR(AC55/SUMPRODUCT(Q51:Q54,K51:K54), 0)</f>
        <v>0</v>
      </c>
      <c r="AD56" s="209">
        <f>IFERROR(AD55/SUMPRODUCT(R51:R54,L51:L54), 0)</f>
        <v>0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58">
        <v>5</v>
      </c>
      <c r="B58" s="147"/>
      <c r="C58" s="148"/>
      <c r="D58" s="149"/>
      <c r="E58" s="149"/>
      <c r="F58" s="150"/>
      <c r="G58" s="149"/>
      <c r="H58" s="151" t="s">
        <v>10</v>
      </c>
      <c r="I58" s="152"/>
      <c r="J58" s="152"/>
      <c r="K58" s="152"/>
      <c r="L58" s="153"/>
      <c r="M58" s="149"/>
      <c r="N58" s="151" t="s">
        <v>11</v>
      </c>
      <c r="O58" s="152"/>
      <c r="P58" s="152"/>
      <c r="Q58" s="152"/>
      <c r="R58" s="153"/>
      <c r="S58" s="154"/>
      <c r="T58" s="151" t="s">
        <v>12</v>
      </c>
      <c r="U58" s="152"/>
      <c r="V58" s="152"/>
      <c r="W58" s="152"/>
      <c r="X58" s="153"/>
      <c r="Y58" s="154"/>
      <c r="Z58" s="151" t="s">
        <v>13</v>
      </c>
      <c r="AA58" s="152"/>
      <c r="AB58" s="152"/>
      <c r="AC58" s="152"/>
      <c r="AD58" s="153"/>
      <c r="AE58" s="155"/>
      <c r="AF58" s="156"/>
    </row>
    <row r="59" spans="1:32" ht="13" x14ac:dyDescent="0.3">
      <c r="A59" s="59">
        <f t="shared" ref="A59:A66" si="9">A58</f>
        <v>5</v>
      </c>
      <c r="B59" s="157"/>
      <c r="C59" s="148"/>
      <c r="D59" s="149"/>
      <c r="E59" s="158"/>
      <c r="F59" s="159" t="s">
        <v>31</v>
      </c>
      <c r="G59" s="154"/>
      <c r="H59" s="160" t="s">
        <v>15</v>
      </c>
      <c r="I59" s="161" t="s">
        <v>16</v>
      </c>
      <c r="J59" s="161" t="s">
        <v>17</v>
      </c>
      <c r="K59" s="161" t="s">
        <v>18</v>
      </c>
      <c r="L59" s="162" t="s">
        <v>19</v>
      </c>
      <c r="M59" s="149"/>
      <c r="N59" s="160" t="s">
        <v>15</v>
      </c>
      <c r="O59" s="161" t="s">
        <v>16</v>
      </c>
      <c r="P59" s="161" t="s">
        <v>17</v>
      </c>
      <c r="Q59" s="161" t="s">
        <v>18</v>
      </c>
      <c r="R59" s="161" t="s">
        <v>19</v>
      </c>
      <c r="S59" s="163"/>
      <c r="T59" s="160" t="s">
        <v>15</v>
      </c>
      <c r="U59" s="161" t="s">
        <v>16</v>
      </c>
      <c r="V59" s="161" t="s">
        <v>17</v>
      </c>
      <c r="W59" s="161" t="s">
        <v>18</v>
      </c>
      <c r="X59" s="161" t="s">
        <v>19</v>
      </c>
      <c r="Y59" s="163"/>
      <c r="Z59" s="160" t="s">
        <v>15</v>
      </c>
      <c r="AA59" s="161" t="s">
        <v>16</v>
      </c>
      <c r="AB59" s="161" t="s">
        <v>17</v>
      </c>
      <c r="AC59" s="161" t="s">
        <v>18</v>
      </c>
      <c r="AD59" s="161" t="s">
        <v>19</v>
      </c>
      <c r="AE59" s="155"/>
      <c r="AF59" s="156"/>
    </row>
    <row r="60" spans="1:32" ht="13" x14ac:dyDescent="0.3">
      <c r="A60" s="164">
        <f t="shared" si="9"/>
        <v>5</v>
      </c>
      <c r="B60" s="52" t="s">
        <v>20</v>
      </c>
      <c r="C60" s="53"/>
      <c r="D60" s="165"/>
      <c r="E60" s="154"/>
      <c r="F60" s="166" t="s">
        <v>20</v>
      </c>
      <c r="G60" s="154"/>
      <c r="H60" s="167">
        <v>110496.2019157028</v>
      </c>
      <c r="I60" s="168">
        <v>118678.4478101608</v>
      </c>
      <c r="J60" s="168">
        <v>126920.6364482885</v>
      </c>
      <c r="K60" s="168">
        <v>137284.26187510241</v>
      </c>
      <c r="L60" s="169">
        <v>151989.4304742789</v>
      </c>
      <c r="M60" s="149"/>
      <c r="N60" s="170">
        <v>493.29062834043191</v>
      </c>
      <c r="O60" s="171">
        <v>534.15579388422066</v>
      </c>
      <c r="P60" s="171">
        <v>571.36367777311943</v>
      </c>
      <c r="Q60" s="171">
        <v>606.52809599791112</v>
      </c>
      <c r="R60" s="171">
        <v>636.64972923539858</v>
      </c>
      <c r="S60" s="163"/>
      <c r="T60" s="172">
        <v>493.29062834043191</v>
      </c>
      <c r="U60" s="173">
        <v>534.15579388422066</v>
      </c>
      <c r="V60" s="173">
        <v>571.36367777311943</v>
      </c>
      <c r="W60" s="173">
        <v>606.52809599791112</v>
      </c>
      <c r="X60" s="173">
        <v>636.64972923539858</v>
      </c>
      <c r="Y60" s="163"/>
      <c r="Z60" s="174">
        <v>0</v>
      </c>
      <c r="AA60" s="175">
        <v>0</v>
      </c>
      <c r="AB60" s="175">
        <v>0</v>
      </c>
      <c r="AC60" s="175">
        <v>0</v>
      </c>
      <c r="AD60" s="175">
        <v>0</v>
      </c>
      <c r="AE60" s="176"/>
      <c r="AF60" s="156"/>
    </row>
    <row r="61" spans="1:32" ht="13" x14ac:dyDescent="0.3">
      <c r="A61" s="164">
        <f t="shared" si="9"/>
        <v>5</v>
      </c>
      <c r="B61" s="52" t="s">
        <v>21</v>
      </c>
      <c r="C61" s="53"/>
      <c r="D61" s="177"/>
      <c r="E61" s="154"/>
      <c r="F61" s="178" t="s">
        <v>21</v>
      </c>
      <c r="G61" s="154"/>
      <c r="H61" s="167">
        <v>24216.608537245371</v>
      </c>
      <c r="I61" s="168">
        <v>25005.54406744201</v>
      </c>
      <c r="J61" s="168">
        <v>26179.22989098437</v>
      </c>
      <c r="K61" s="168">
        <v>28134.28005743595</v>
      </c>
      <c r="L61" s="169">
        <v>30967.308451831181</v>
      </c>
      <c r="M61" s="149"/>
      <c r="N61" s="179">
        <v>1115.992235811068</v>
      </c>
      <c r="O61" s="171">
        <v>1196.053099656636</v>
      </c>
      <c r="P61" s="171">
        <v>1270.9642697992961</v>
      </c>
      <c r="Q61" s="171">
        <v>1334.764170784792</v>
      </c>
      <c r="R61" s="171">
        <v>1387.285565269766</v>
      </c>
      <c r="S61" s="163"/>
      <c r="T61" s="172">
        <v>1115.992235811068</v>
      </c>
      <c r="U61" s="173">
        <v>1196.053099656636</v>
      </c>
      <c r="V61" s="173">
        <v>1270.9642697992961</v>
      </c>
      <c r="W61" s="173">
        <v>1334.764170784792</v>
      </c>
      <c r="X61" s="173">
        <v>1387.285565269766</v>
      </c>
      <c r="Y61" s="163"/>
      <c r="Z61" s="180">
        <v>0</v>
      </c>
      <c r="AA61" s="181">
        <v>0</v>
      </c>
      <c r="AB61" s="181">
        <v>0</v>
      </c>
      <c r="AC61" s="181">
        <v>0</v>
      </c>
      <c r="AD61" s="181">
        <v>0</v>
      </c>
      <c r="AE61" s="176"/>
      <c r="AF61" s="156"/>
    </row>
    <row r="62" spans="1:32" ht="13" x14ac:dyDescent="0.3">
      <c r="A62" s="164">
        <f t="shared" si="9"/>
        <v>5</v>
      </c>
      <c r="B62" s="52" t="s">
        <v>22</v>
      </c>
      <c r="C62" s="53"/>
      <c r="D62" s="177">
        <v>5</v>
      </c>
      <c r="E62" s="154"/>
      <c r="F62" s="182" t="s">
        <v>22</v>
      </c>
      <c r="G62" s="154"/>
      <c r="H62" s="167">
        <v>8350.7612453948968</v>
      </c>
      <c r="I62" s="168">
        <v>9007.7944868787527</v>
      </c>
      <c r="J62" s="168">
        <v>9796.2911169089966</v>
      </c>
      <c r="K62" s="168">
        <v>10849.081733332479</v>
      </c>
      <c r="L62" s="169">
        <v>12282.29433164191</v>
      </c>
      <c r="M62" s="149"/>
      <c r="N62" s="179">
        <v>1252.549857688108</v>
      </c>
      <c r="O62" s="171">
        <v>1333.881276018217</v>
      </c>
      <c r="P62" s="171">
        <v>1402.3016322216729</v>
      </c>
      <c r="Q62" s="171">
        <v>1457.6810679937221</v>
      </c>
      <c r="R62" s="171">
        <v>1493.30493997536</v>
      </c>
      <c r="S62" s="163"/>
      <c r="T62" s="172">
        <v>1252.549857688108</v>
      </c>
      <c r="U62" s="173">
        <v>1333.881276018217</v>
      </c>
      <c r="V62" s="173">
        <v>1402.3016322216729</v>
      </c>
      <c r="W62" s="173">
        <v>1457.6810679937221</v>
      </c>
      <c r="X62" s="173">
        <v>1493.30493997536</v>
      </c>
      <c r="Y62" s="163"/>
      <c r="Z62" s="180">
        <v>0</v>
      </c>
      <c r="AA62" s="181">
        <v>0</v>
      </c>
      <c r="AB62" s="181">
        <v>0</v>
      </c>
      <c r="AC62" s="181">
        <v>0</v>
      </c>
      <c r="AD62" s="181">
        <v>0</v>
      </c>
      <c r="AE62" s="176"/>
      <c r="AF62" s="156"/>
    </row>
    <row r="63" spans="1:32" ht="13" x14ac:dyDescent="0.3">
      <c r="A63" s="164">
        <f t="shared" si="9"/>
        <v>5</v>
      </c>
      <c r="B63" s="52" t="s">
        <v>24</v>
      </c>
      <c r="C63" s="53"/>
      <c r="D63" s="177"/>
      <c r="E63" s="154"/>
      <c r="F63" s="183" t="s">
        <v>24</v>
      </c>
      <c r="G63" s="154"/>
      <c r="H63" s="184">
        <v>9411.1954056864943</v>
      </c>
      <c r="I63" s="185">
        <v>10526.605055473219</v>
      </c>
      <c r="J63" s="185">
        <v>11689.108086148341</v>
      </c>
      <c r="K63" s="185">
        <v>13158.60274424099</v>
      </c>
      <c r="L63" s="186">
        <v>14971.20623549113</v>
      </c>
      <c r="M63" s="149"/>
      <c r="N63" s="187">
        <v>6868.464107038506</v>
      </c>
      <c r="O63" s="188">
        <v>7147.3361773357065</v>
      </c>
      <c r="P63" s="188">
        <v>7551.5110238075504</v>
      </c>
      <c r="Q63" s="188">
        <v>7827.2565877808402</v>
      </c>
      <c r="R63" s="188">
        <v>8153.1114871073469</v>
      </c>
      <c r="S63" s="163"/>
      <c r="T63" s="189">
        <v>6868.464107038506</v>
      </c>
      <c r="U63" s="190">
        <v>7147.3361773357065</v>
      </c>
      <c r="V63" s="190">
        <v>7551.5110238075504</v>
      </c>
      <c r="W63" s="190">
        <v>7827.2565877808402</v>
      </c>
      <c r="X63" s="190">
        <v>8153.1114871073469</v>
      </c>
      <c r="Y63" s="163"/>
      <c r="Z63" s="191">
        <v>0</v>
      </c>
      <c r="AA63" s="192">
        <v>0</v>
      </c>
      <c r="AB63" s="192">
        <v>0</v>
      </c>
      <c r="AC63" s="192">
        <v>0</v>
      </c>
      <c r="AD63" s="192">
        <v>0</v>
      </c>
      <c r="AE63" s="176"/>
      <c r="AF63" s="156"/>
    </row>
    <row r="64" spans="1:32" ht="13" x14ac:dyDescent="0.3">
      <c r="A64" s="164">
        <f t="shared" si="9"/>
        <v>5</v>
      </c>
      <c r="B64" s="56"/>
      <c r="C64" s="60"/>
      <c r="D64" s="193"/>
      <c r="E64" s="194"/>
      <c r="F64" s="195" t="s">
        <v>25</v>
      </c>
      <c r="G64" s="194"/>
      <c r="H64" s="196">
        <f>SUM(H60:H63)</f>
        <v>152474.7671040296</v>
      </c>
      <c r="I64" s="197">
        <f>SUM(I60:I63)</f>
        <v>163218.3914199548</v>
      </c>
      <c r="J64" s="197">
        <f>SUM(J60:J63)</f>
        <v>174585.26554233022</v>
      </c>
      <c r="K64" s="197">
        <f>SUM(K60:K63)</f>
        <v>189426.22641011182</v>
      </c>
      <c r="L64" s="198">
        <f>SUM(L60:L63)</f>
        <v>210210.23949324311</v>
      </c>
      <c r="M64" s="199"/>
      <c r="N64" s="200">
        <f>IF(H64=0,0,SUMPRODUCT(N60:N63,H60:H63)/H64)</f>
        <v>1027.2682727129136</v>
      </c>
      <c r="O64" s="201">
        <f>IF(I64=0,0,SUMPRODUCT(O60:O63,I60:I63)/I64)</f>
        <v>1106.2065430768016</v>
      </c>
      <c r="P64" s="201">
        <f>IF(J64=0,0,SUMPRODUCT(P60:P63,J60:J63)/J64)</f>
        <v>1190.2407134828122</v>
      </c>
      <c r="Q64" s="201">
        <f>IF(K64=0,0,SUMPRODUCT(Q60:Q63,K60:K63)/K64)</f>
        <v>1265.0289063031767</v>
      </c>
      <c r="R64" s="201">
        <f>IF(L64=0,0,SUMPRODUCT(R60:R63,L60:L63)/L64)</f>
        <v>1332.6070831658335</v>
      </c>
      <c r="S64" s="202"/>
      <c r="T64" s="200">
        <f>IF(H64=0,0,SUMPRODUCT(T60:T63,H60:H63)/H64)</f>
        <v>1027.2682727129136</v>
      </c>
      <c r="U64" s="201">
        <f>IF(I64=0,0,SUMPRODUCT(U60:U63,I60:I63)/I64)</f>
        <v>1106.2065430768016</v>
      </c>
      <c r="V64" s="201">
        <f>IF(J64=0,0,SUMPRODUCT(V60:V63,J60:J63)/J64)</f>
        <v>1190.2407134828122</v>
      </c>
      <c r="W64" s="201">
        <f>IF(K64=0,0,SUMPRODUCT(W60:W63,K60:K63)/K64)</f>
        <v>1265.0289063031767</v>
      </c>
      <c r="X64" s="201">
        <f>IF(L64=0,0,SUMPRODUCT(X60:X63,L60:L63)/L64)</f>
        <v>1332.6070831658335</v>
      </c>
      <c r="Y64" s="202"/>
      <c r="Z64" s="203">
        <f>SUM(Z60:Z63)</f>
        <v>0</v>
      </c>
      <c r="AA64" s="204">
        <f>SUM(AA60:AA63)</f>
        <v>0</v>
      </c>
      <c r="AB64" s="204">
        <f>SUM(AB60:AB63)</f>
        <v>0</v>
      </c>
      <c r="AC64" s="204">
        <f>SUM(AC60:AC63)</f>
        <v>0</v>
      </c>
      <c r="AD64" s="204">
        <f>SUM(AD60:AD63)</f>
        <v>0</v>
      </c>
      <c r="AE64" s="205"/>
      <c r="AF64" s="51"/>
    </row>
    <row r="65" spans="1:32" ht="15.65" customHeight="1" x14ac:dyDescent="0.3">
      <c r="A65" s="164">
        <f t="shared" si="9"/>
        <v>5</v>
      </c>
      <c r="B65" s="157"/>
      <c r="C65" s="148"/>
      <c r="D65" s="150"/>
      <c r="E65" s="206"/>
      <c r="F65" s="206"/>
      <c r="G65" s="206"/>
      <c r="H65" s="206"/>
      <c r="I65" s="206"/>
      <c r="J65" s="206"/>
      <c r="K65" s="206"/>
      <c r="L65" s="206"/>
      <c r="M65" s="206"/>
      <c r="N65" s="207">
        <f>SUM(N64*H64)</f>
        <v>156632490.63526025</v>
      </c>
      <c r="O65" s="207">
        <f>SUM(O64*I64)</f>
        <v>180553252.53922451</v>
      </c>
      <c r="P65" s="207">
        <f>SUM(P64*J64)</f>
        <v>207798491.02268934</v>
      </c>
      <c r="Q65" s="207">
        <f>SUM(Q64*K64)</f>
        <v>239629652.02072167</v>
      </c>
      <c r="R65" s="207">
        <f>SUM(R64*L64)</f>
        <v>280127654.10268199</v>
      </c>
      <c r="S65" s="208"/>
      <c r="T65" s="207">
        <f>SUM(T64*H64)</f>
        <v>156632490.63526025</v>
      </c>
      <c r="U65" s="207">
        <f>SUM(U64*I64)</f>
        <v>180553252.53922451</v>
      </c>
      <c r="V65" s="207">
        <f>SUM(V64*J64)</f>
        <v>207798491.02268934</v>
      </c>
      <c r="W65" s="207">
        <f>SUM(W64*K64)</f>
        <v>239629652.02072167</v>
      </c>
      <c r="X65" s="207">
        <f>SUM(X64*L64)</f>
        <v>280127654.10268199</v>
      </c>
      <c r="Y65" s="149"/>
      <c r="Z65" s="209">
        <f>IFERROR(Z64/SUMPRODUCT(N60:N63,H60:H63), 0)</f>
        <v>0</v>
      </c>
      <c r="AA65" s="209">
        <f>IFERROR(AA64/SUMPRODUCT(O60:O63,I60:I63), 0)</f>
        <v>0</v>
      </c>
      <c r="AB65" s="209">
        <f>IFERROR(AB64/SUMPRODUCT(P60:P63,J60:J63), 0)</f>
        <v>0</v>
      </c>
      <c r="AC65" s="209">
        <f>IFERROR(AC64/SUMPRODUCT(Q60:Q63,K60:K63), 0)</f>
        <v>0</v>
      </c>
      <c r="AD65" s="209">
        <f>IFERROR(AD64/SUMPRODUCT(R60:R63,L60:L63), 0)</f>
        <v>0</v>
      </c>
      <c r="AE65" s="210"/>
      <c r="AF65" s="156"/>
    </row>
    <row r="66" spans="1:32" ht="13" x14ac:dyDescent="0.3">
      <c r="A66" s="211">
        <f t="shared" si="9"/>
        <v>5</v>
      </c>
      <c r="B66" s="212"/>
      <c r="C66" s="148"/>
      <c r="D66" s="150"/>
      <c r="E66" s="206"/>
      <c r="F66" s="206"/>
      <c r="G66" s="206"/>
      <c r="H66" s="206"/>
      <c r="I66" s="206"/>
      <c r="J66" s="206"/>
      <c r="K66" s="206"/>
      <c r="L66" s="206"/>
      <c r="M66" s="206"/>
      <c r="N66" s="213"/>
      <c r="O66" s="206"/>
      <c r="P66" s="206"/>
      <c r="Q66" s="206"/>
      <c r="R66" s="214"/>
      <c r="S66" s="206"/>
      <c r="T66" s="206"/>
      <c r="U66" s="206"/>
      <c r="V66" s="206"/>
      <c r="W66" s="206"/>
      <c r="X66" s="206"/>
      <c r="Y66" s="149"/>
      <c r="Z66" s="210"/>
      <c r="AA66" s="210"/>
      <c r="AB66" s="210"/>
      <c r="AC66" s="210"/>
      <c r="AD66" s="215"/>
      <c r="AE66" s="210"/>
      <c r="AF66" s="156"/>
    </row>
    <row r="67" spans="1:32" ht="13" x14ac:dyDescent="0.3">
      <c r="A67" s="58">
        <v>6</v>
      </c>
      <c r="B67" s="147"/>
      <c r="C67" s="148"/>
      <c r="D67" s="149"/>
      <c r="E67" s="149"/>
      <c r="F67" s="150"/>
      <c r="G67" s="149"/>
      <c r="H67" s="151" t="s">
        <v>10</v>
      </c>
      <c r="I67" s="152"/>
      <c r="J67" s="152"/>
      <c r="K67" s="152"/>
      <c r="L67" s="153"/>
      <c r="M67" s="149"/>
      <c r="N67" s="151" t="s">
        <v>11</v>
      </c>
      <c r="O67" s="152"/>
      <c r="P67" s="152"/>
      <c r="Q67" s="152"/>
      <c r="R67" s="153"/>
      <c r="S67" s="154"/>
      <c r="T67" s="151" t="s">
        <v>12</v>
      </c>
      <c r="U67" s="152"/>
      <c r="V67" s="152"/>
      <c r="W67" s="152"/>
      <c r="X67" s="153"/>
      <c r="Y67" s="154"/>
      <c r="Z67" s="151" t="s">
        <v>13</v>
      </c>
      <c r="AA67" s="152"/>
      <c r="AB67" s="152"/>
      <c r="AC67" s="152"/>
      <c r="AD67" s="153"/>
      <c r="AE67" s="155"/>
      <c r="AF67" s="156"/>
    </row>
    <row r="68" spans="1:32" ht="13" x14ac:dyDescent="0.3">
      <c r="A68" s="59">
        <f t="shared" ref="A68:A75" si="10">A67</f>
        <v>6</v>
      </c>
      <c r="B68" s="157"/>
      <c r="C68" s="148"/>
      <c r="D68" s="149"/>
      <c r="E68" s="158"/>
      <c r="F68" s="159" t="s">
        <v>32</v>
      </c>
      <c r="G68" s="154"/>
      <c r="H68" s="160" t="s">
        <v>15</v>
      </c>
      <c r="I68" s="161" t="s">
        <v>16</v>
      </c>
      <c r="J68" s="161" t="s">
        <v>17</v>
      </c>
      <c r="K68" s="161" t="s">
        <v>18</v>
      </c>
      <c r="L68" s="162" t="s">
        <v>19</v>
      </c>
      <c r="M68" s="149"/>
      <c r="N68" s="160" t="s">
        <v>15</v>
      </c>
      <c r="O68" s="161" t="s">
        <v>16</v>
      </c>
      <c r="P68" s="161" t="s">
        <v>17</v>
      </c>
      <c r="Q68" s="161" t="s">
        <v>18</v>
      </c>
      <c r="R68" s="161" t="s">
        <v>19</v>
      </c>
      <c r="S68" s="163"/>
      <c r="T68" s="160" t="s">
        <v>15</v>
      </c>
      <c r="U68" s="161" t="s">
        <v>16</v>
      </c>
      <c r="V68" s="161" t="s">
        <v>17</v>
      </c>
      <c r="W68" s="161" t="s">
        <v>18</v>
      </c>
      <c r="X68" s="161" t="s">
        <v>19</v>
      </c>
      <c r="Y68" s="163"/>
      <c r="Z68" s="160" t="s">
        <v>15</v>
      </c>
      <c r="AA68" s="161" t="s">
        <v>16</v>
      </c>
      <c r="AB68" s="161" t="s">
        <v>17</v>
      </c>
      <c r="AC68" s="161" t="s">
        <v>18</v>
      </c>
      <c r="AD68" s="161" t="s">
        <v>19</v>
      </c>
      <c r="AE68" s="155"/>
      <c r="AF68" s="156"/>
    </row>
    <row r="69" spans="1:32" ht="13" x14ac:dyDescent="0.3">
      <c r="A69" s="164">
        <f t="shared" si="10"/>
        <v>6</v>
      </c>
      <c r="B69" s="52" t="s">
        <v>20</v>
      </c>
      <c r="C69" s="53"/>
      <c r="D69" s="165"/>
      <c r="E69" s="154"/>
      <c r="F69" s="166" t="s">
        <v>20</v>
      </c>
      <c r="G69" s="154"/>
      <c r="H69" s="167">
        <v>84448.697003446257</v>
      </c>
      <c r="I69" s="168">
        <v>93688.702151250749</v>
      </c>
      <c r="J69" s="168">
        <v>101774.4027311525</v>
      </c>
      <c r="K69" s="168">
        <v>110167.83061777749</v>
      </c>
      <c r="L69" s="169">
        <v>121613.93111086389</v>
      </c>
      <c r="M69" s="149"/>
      <c r="N69" s="170">
        <v>569.07037629585682</v>
      </c>
      <c r="O69" s="171">
        <v>609.38428021662116</v>
      </c>
      <c r="P69" s="171">
        <v>651.76898220351359</v>
      </c>
      <c r="Q69" s="171">
        <v>696.16980316196486</v>
      </c>
      <c r="R69" s="171">
        <v>735.85285954213214</v>
      </c>
      <c r="S69" s="163"/>
      <c r="T69" s="172">
        <v>569.07037629585682</v>
      </c>
      <c r="U69" s="173">
        <v>609.38428021662116</v>
      </c>
      <c r="V69" s="173">
        <v>651.76898220351359</v>
      </c>
      <c r="W69" s="173">
        <v>696.16980316196486</v>
      </c>
      <c r="X69" s="173">
        <v>735.85285954213214</v>
      </c>
      <c r="Y69" s="163"/>
      <c r="Z69" s="174">
        <v>0</v>
      </c>
      <c r="AA69" s="175">
        <v>0</v>
      </c>
      <c r="AB69" s="175">
        <v>0</v>
      </c>
      <c r="AC69" s="175">
        <v>0</v>
      </c>
      <c r="AD69" s="175">
        <v>0</v>
      </c>
      <c r="AE69" s="176"/>
      <c r="AF69" s="156"/>
    </row>
    <row r="70" spans="1:32" ht="13" x14ac:dyDescent="0.3">
      <c r="A70" s="164">
        <f t="shared" si="10"/>
        <v>6</v>
      </c>
      <c r="B70" s="52" t="s">
        <v>21</v>
      </c>
      <c r="C70" s="53"/>
      <c r="D70" s="177"/>
      <c r="E70" s="154"/>
      <c r="F70" s="178" t="s">
        <v>21</v>
      </c>
      <c r="G70" s="154"/>
      <c r="H70" s="167">
        <v>13084.179875678939</v>
      </c>
      <c r="I70" s="168">
        <v>14116.647688119579</v>
      </c>
      <c r="J70" s="168">
        <v>15111.705020801301</v>
      </c>
      <c r="K70" s="168">
        <v>16193.07349248525</v>
      </c>
      <c r="L70" s="169">
        <v>17741.76363742333</v>
      </c>
      <c r="M70" s="149"/>
      <c r="N70" s="179">
        <v>1368.64490598211</v>
      </c>
      <c r="O70" s="171">
        <v>1456.4182522133999</v>
      </c>
      <c r="P70" s="171">
        <v>1552.4335578333009</v>
      </c>
      <c r="Q70" s="171">
        <v>1650.7528625057489</v>
      </c>
      <c r="R70" s="171">
        <v>1736.7527086232731</v>
      </c>
      <c r="S70" s="163"/>
      <c r="T70" s="172">
        <v>1368.64490598211</v>
      </c>
      <c r="U70" s="173">
        <v>1456.4182522133999</v>
      </c>
      <c r="V70" s="173">
        <v>1552.4335578333009</v>
      </c>
      <c r="W70" s="173">
        <v>1650.7528625057489</v>
      </c>
      <c r="X70" s="173">
        <v>1736.7527086232731</v>
      </c>
      <c r="Y70" s="163"/>
      <c r="Z70" s="180">
        <v>0</v>
      </c>
      <c r="AA70" s="181">
        <v>0</v>
      </c>
      <c r="AB70" s="181">
        <v>0</v>
      </c>
      <c r="AC70" s="181">
        <v>0</v>
      </c>
      <c r="AD70" s="181">
        <v>0</v>
      </c>
      <c r="AE70" s="176"/>
      <c r="AF70" s="156"/>
    </row>
    <row r="71" spans="1:32" ht="13" x14ac:dyDescent="0.3">
      <c r="A71" s="164">
        <f t="shared" si="10"/>
        <v>6</v>
      </c>
      <c r="B71" s="52" t="s">
        <v>22</v>
      </c>
      <c r="C71" s="53"/>
      <c r="D71" s="177">
        <v>6</v>
      </c>
      <c r="E71" s="154"/>
      <c r="F71" s="182" t="s">
        <v>22</v>
      </c>
      <c r="G71" s="154"/>
      <c r="H71" s="167">
        <v>4840.6677192149582</v>
      </c>
      <c r="I71" s="168">
        <v>5263.0731052638894</v>
      </c>
      <c r="J71" s="168">
        <v>5652.5346199202304</v>
      </c>
      <c r="K71" s="168">
        <v>6090.4182892279996</v>
      </c>
      <c r="L71" s="169">
        <v>6638.5831812578999</v>
      </c>
      <c r="M71" s="149"/>
      <c r="N71" s="179">
        <v>1734.7961630927771</v>
      </c>
      <c r="O71" s="171">
        <v>1867.4065399348401</v>
      </c>
      <c r="P71" s="171">
        <v>2016.2099451622389</v>
      </c>
      <c r="Q71" s="171">
        <v>2176.4253857892259</v>
      </c>
      <c r="R71" s="171">
        <v>2336.2738201386719</v>
      </c>
      <c r="S71" s="163"/>
      <c r="T71" s="172">
        <v>1734.7961630927771</v>
      </c>
      <c r="U71" s="173">
        <v>1867.4065399348401</v>
      </c>
      <c r="V71" s="173">
        <v>2016.2099451622389</v>
      </c>
      <c r="W71" s="173">
        <v>2176.4253857892259</v>
      </c>
      <c r="X71" s="173">
        <v>2336.2738201386719</v>
      </c>
      <c r="Y71" s="163"/>
      <c r="Z71" s="180">
        <v>0</v>
      </c>
      <c r="AA71" s="181">
        <v>0</v>
      </c>
      <c r="AB71" s="181">
        <v>0</v>
      </c>
      <c r="AC71" s="181">
        <v>0</v>
      </c>
      <c r="AD71" s="181">
        <v>0</v>
      </c>
      <c r="AE71" s="176"/>
      <c r="AF71" s="156"/>
    </row>
    <row r="72" spans="1:32" ht="13" x14ac:dyDescent="0.3">
      <c r="A72" s="164">
        <f t="shared" si="10"/>
        <v>6</v>
      </c>
      <c r="B72" s="52" t="s">
        <v>24</v>
      </c>
      <c r="C72" s="53"/>
      <c r="D72" s="177"/>
      <c r="E72" s="154"/>
      <c r="F72" s="183" t="s">
        <v>24</v>
      </c>
      <c r="G72" s="154"/>
      <c r="H72" s="184">
        <v>8031.76708705888</v>
      </c>
      <c r="I72" s="185">
        <v>9133.7263760813694</v>
      </c>
      <c r="J72" s="185">
        <v>10282.121039384179</v>
      </c>
      <c r="K72" s="185">
        <v>11789.69515767747</v>
      </c>
      <c r="L72" s="186">
        <v>13576.35110517887</v>
      </c>
      <c r="M72" s="149"/>
      <c r="N72" s="187">
        <v>7625.7320940040336</v>
      </c>
      <c r="O72" s="188">
        <v>7834.5196104945826</v>
      </c>
      <c r="P72" s="188">
        <v>8194.8866664912402</v>
      </c>
      <c r="Q72" s="188">
        <v>8373.2551743831573</v>
      </c>
      <c r="R72" s="188">
        <v>8649.8086798187942</v>
      </c>
      <c r="S72" s="163"/>
      <c r="T72" s="189">
        <v>7625.7320940040336</v>
      </c>
      <c r="U72" s="190">
        <v>7834.5196104945826</v>
      </c>
      <c r="V72" s="190">
        <v>8194.8866664912402</v>
      </c>
      <c r="W72" s="190">
        <v>8373.2551743831573</v>
      </c>
      <c r="X72" s="190">
        <v>8649.8086798187942</v>
      </c>
      <c r="Y72" s="163"/>
      <c r="Z72" s="191">
        <v>0</v>
      </c>
      <c r="AA72" s="192">
        <v>0</v>
      </c>
      <c r="AB72" s="192">
        <v>0</v>
      </c>
      <c r="AC72" s="192">
        <v>0</v>
      </c>
      <c r="AD72" s="192">
        <v>0</v>
      </c>
      <c r="AE72" s="176"/>
      <c r="AF72" s="156"/>
    </row>
    <row r="73" spans="1:32" ht="13" x14ac:dyDescent="0.3">
      <c r="A73" s="164">
        <f t="shared" si="10"/>
        <v>6</v>
      </c>
      <c r="B73" s="56"/>
      <c r="C73" s="60"/>
      <c r="D73" s="193"/>
      <c r="E73" s="194"/>
      <c r="F73" s="195" t="s">
        <v>25</v>
      </c>
      <c r="G73" s="194"/>
      <c r="H73" s="196">
        <f>SUM(H69:H72)</f>
        <v>110405.31168539902</v>
      </c>
      <c r="I73" s="197">
        <f>SUM(I69:I72)</f>
        <v>122202.14932071559</v>
      </c>
      <c r="J73" s="197">
        <f>SUM(J69:J72)</f>
        <v>132820.7634112582</v>
      </c>
      <c r="K73" s="197">
        <f>SUM(K69:K72)</f>
        <v>144241.0175571682</v>
      </c>
      <c r="L73" s="198">
        <f>SUM(L69:L72)</f>
        <v>159570.62903472403</v>
      </c>
      <c r="M73" s="199"/>
      <c r="N73" s="200">
        <f>IF(H73=0,0,SUMPRODUCT(N69:N72,H69:H72)/H73)</f>
        <v>1228.2970962223487</v>
      </c>
      <c r="O73" s="201">
        <f>IF(I73=0,0,SUMPRODUCT(O69:O72,I69:I72)/I73)</f>
        <v>1301.4404583649884</v>
      </c>
      <c r="P73" s="201">
        <f>IF(J73=0,0,SUMPRODUCT(P69:P72,J69:J72)/J73)</f>
        <v>1396.2487884786538</v>
      </c>
      <c r="Q73" s="201">
        <f>IF(K73=0,0,SUMPRODUCT(Q69:Q72,K69:K72)/K73)</f>
        <v>1493.3321324445556</v>
      </c>
      <c r="R73" s="201">
        <f>IF(L73=0,0,SUMPRODUCT(R69:R72,L69:L72)/L73)</f>
        <v>1587.0427049896432</v>
      </c>
      <c r="S73" s="202"/>
      <c r="T73" s="200">
        <f>IF(H73=0,0,SUMPRODUCT(T69:T72,H69:H72)/H73)</f>
        <v>1228.2970962223487</v>
      </c>
      <c r="U73" s="201">
        <f>IF(I73=0,0,SUMPRODUCT(U69:U72,I69:I72)/I73)</f>
        <v>1301.4404583649884</v>
      </c>
      <c r="V73" s="201">
        <f>IF(J73=0,0,SUMPRODUCT(V69:V72,J69:J72)/J73)</f>
        <v>1396.2487884786538</v>
      </c>
      <c r="W73" s="201">
        <f>IF(K73=0,0,SUMPRODUCT(W69:W72,K69:K72)/K73)</f>
        <v>1493.3321324445556</v>
      </c>
      <c r="X73" s="201">
        <f>IF(L73=0,0,SUMPRODUCT(X69:X72,L69:L72)/L73)</f>
        <v>1587.0427049896432</v>
      </c>
      <c r="Y73" s="202"/>
      <c r="Z73" s="203">
        <f>SUM(Z69:Z72)</f>
        <v>0</v>
      </c>
      <c r="AA73" s="204">
        <f>SUM(AA69:AA72)</f>
        <v>0</v>
      </c>
      <c r="AB73" s="204">
        <f>SUM(AB69:AB72)</f>
        <v>0</v>
      </c>
      <c r="AC73" s="204">
        <f>SUM(AC69:AC72)</f>
        <v>0</v>
      </c>
      <c r="AD73" s="204">
        <f>SUM(AD69:AD72)</f>
        <v>0</v>
      </c>
      <c r="AE73" s="205"/>
      <c r="AF73" s="51"/>
    </row>
    <row r="74" spans="1:32" ht="15.65" customHeight="1" x14ac:dyDescent="0.3">
      <c r="A74" s="164">
        <f t="shared" si="10"/>
        <v>6</v>
      </c>
      <c r="B74" s="157"/>
      <c r="C74" s="148"/>
      <c r="D74" s="150"/>
      <c r="E74" s="206"/>
      <c r="F74" s="206"/>
      <c r="G74" s="206"/>
      <c r="H74" s="206"/>
      <c r="I74" s="206"/>
      <c r="J74" s="206"/>
      <c r="K74" s="206"/>
      <c r="L74" s="206"/>
      <c r="M74" s="206"/>
      <c r="N74" s="207">
        <f>SUM(N73*H73)</f>
        <v>135610523.75069895</v>
      </c>
      <c r="O74" s="207">
        <f>SUM(O73*I73)</f>
        <v>159038821.22513884</v>
      </c>
      <c r="P74" s="207">
        <f>SUM(P73*J73)</f>
        <v>185450829.99777916</v>
      </c>
      <c r="Q74" s="207">
        <f>SUM(Q73*K73)</f>
        <v>215399746.33461857</v>
      </c>
      <c r="R74" s="207">
        <f>SUM(R73*L73)</f>
        <v>253245402.74016732</v>
      </c>
      <c r="S74" s="208"/>
      <c r="T74" s="207">
        <f>SUM(T73*H73)</f>
        <v>135610523.75069895</v>
      </c>
      <c r="U74" s="207">
        <f>SUM(U73*I73)</f>
        <v>159038821.22513884</v>
      </c>
      <c r="V74" s="207">
        <f>SUM(V73*J73)</f>
        <v>185450829.99777916</v>
      </c>
      <c r="W74" s="207">
        <f>SUM(W73*K73)</f>
        <v>215399746.33461857</v>
      </c>
      <c r="X74" s="207">
        <f>SUM(X73*L73)</f>
        <v>253245402.74016732</v>
      </c>
      <c r="Y74" s="149"/>
      <c r="Z74" s="209">
        <f>IFERROR(Z73/SUMPRODUCT(N69:N72,H69:H72), 0)</f>
        <v>0</v>
      </c>
      <c r="AA74" s="209">
        <f>IFERROR(AA73/SUMPRODUCT(O69:O72,I69:I72), 0)</f>
        <v>0</v>
      </c>
      <c r="AB74" s="209">
        <f>IFERROR(AB73/SUMPRODUCT(P69:P72,J69:J72), 0)</f>
        <v>0</v>
      </c>
      <c r="AC74" s="209">
        <f>IFERROR(AC73/SUMPRODUCT(Q69:Q72,K69:K72), 0)</f>
        <v>0</v>
      </c>
      <c r="AD74" s="209">
        <f>IFERROR(AD73/SUMPRODUCT(R69:R72,L69:L72), 0)</f>
        <v>0</v>
      </c>
      <c r="AE74" s="210"/>
      <c r="AF74" s="156"/>
    </row>
    <row r="75" spans="1:32" ht="13" x14ac:dyDescent="0.3">
      <c r="A75" s="211">
        <f t="shared" si="10"/>
        <v>6</v>
      </c>
      <c r="B75" s="212"/>
      <c r="C75" s="148"/>
      <c r="D75" s="150"/>
      <c r="E75" s="206"/>
      <c r="F75" s="206"/>
      <c r="G75" s="206"/>
      <c r="H75" s="206"/>
      <c r="I75" s="206"/>
      <c r="J75" s="206"/>
      <c r="K75" s="206"/>
      <c r="L75" s="206"/>
      <c r="M75" s="206"/>
      <c r="N75" s="213"/>
      <c r="O75" s="206"/>
      <c r="P75" s="206"/>
      <c r="Q75" s="206"/>
      <c r="R75" s="214"/>
      <c r="S75" s="206"/>
      <c r="T75" s="206"/>
      <c r="U75" s="206"/>
      <c r="V75" s="206"/>
      <c r="W75" s="206"/>
      <c r="X75" s="206"/>
      <c r="Y75" s="149"/>
      <c r="Z75" s="210"/>
      <c r="AA75" s="210"/>
      <c r="AB75" s="210"/>
      <c r="AC75" s="210"/>
      <c r="AD75" s="215"/>
      <c r="AE75" s="210"/>
      <c r="AF75" s="156"/>
    </row>
    <row r="76" spans="1:32" ht="13" x14ac:dyDescent="0.3">
      <c r="A76" s="58">
        <v>7</v>
      </c>
      <c r="B76" s="147"/>
      <c r="C76" s="148"/>
      <c r="D76" s="149"/>
      <c r="E76" s="149"/>
      <c r="F76" s="150"/>
      <c r="G76" s="149"/>
      <c r="H76" s="151" t="s">
        <v>10</v>
      </c>
      <c r="I76" s="152"/>
      <c r="J76" s="152"/>
      <c r="K76" s="152"/>
      <c r="L76" s="153"/>
      <c r="M76" s="149"/>
      <c r="N76" s="151" t="s">
        <v>11</v>
      </c>
      <c r="O76" s="152"/>
      <c r="P76" s="152"/>
      <c r="Q76" s="152"/>
      <c r="R76" s="153"/>
      <c r="S76" s="154"/>
      <c r="T76" s="151" t="s">
        <v>12</v>
      </c>
      <c r="U76" s="152"/>
      <c r="V76" s="152"/>
      <c r="W76" s="152"/>
      <c r="X76" s="153"/>
      <c r="Y76" s="154"/>
      <c r="Z76" s="151" t="s">
        <v>13</v>
      </c>
      <c r="AA76" s="152"/>
      <c r="AB76" s="152"/>
      <c r="AC76" s="152"/>
      <c r="AD76" s="153"/>
      <c r="AE76" s="155"/>
      <c r="AF76" s="156"/>
    </row>
    <row r="77" spans="1:32" ht="13" x14ac:dyDescent="0.3">
      <c r="A77" s="59">
        <f t="shared" ref="A77:A84" si="11">A76</f>
        <v>7</v>
      </c>
      <c r="B77" s="157"/>
      <c r="C77" s="148"/>
      <c r="D77" s="149"/>
      <c r="E77" s="158"/>
      <c r="F77" s="159" t="s">
        <v>33</v>
      </c>
      <c r="G77" s="154"/>
      <c r="H77" s="160" t="s">
        <v>15</v>
      </c>
      <c r="I77" s="161" t="s">
        <v>16</v>
      </c>
      <c r="J77" s="161" t="s">
        <v>17</v>
      </c>
      <c r="K77" s="161" t="s">
        <v>18</v>
      </c>
      <c r="L77" s="162" t="s">
        <v>19</v>
      </c>
      <c r="M77" s="149"/>
      <c r="N77" s="160" t="s">
        <v>15</v>
      </c>
      <c r="O77" s="161" t="s">
        <v>16</v>
      </c>
      <c r="P77" s="161" t="s">
        <v>17</v>
      </c>
      <c r="Q77" s="161" t="s">
        <v>18</v>
      </c>
      <c r="R77" s="161" t="s">
        <v>19</v>
      </c>
      <c r="S77" s="163"/>
      <c r="T77" s="160" t="s">
        <v>15</v>
      </c>
      <c r="U77" s="161" t="s">
        <v>16</v>
      </c>
      <c r="V77" s="161" t="s">
        <v>17</v>
      </c>
      <c r="W77" s="161" t="s">
        <v>18</v>
      </c>
      <c r="X77" s="161" t="s">
        <v>19</v>
      </c>
      <c r="Y77" s="163"/>
      <c r="Z77" s="160" t="s">
        <v>15</v>
      </c>
      <c r="AA77" s="161" t="s">
        <v>16</v>
      </c>
      <c r="AB77" s="161" t="s">
        <v>17</v>
      </c>
      <c r="AC77" s="161" t="s">
        <v>18</v>
      </c>
      <c r="AD77" s="161" t="s">
        <v>19</v>
      </c>
      <c r="AE77" s="155"/>
      <c r="AF77" s="156"/>
    </row>
    <row r="78" spans="1:32" ht="13" x14ac:dyDescent="0.3">
      <c r="A78" s="164">
        <f t="shared" si="11"/>
        <v>7</v>
      </c>
      <c r="B78" s="52" t="s">
        <v>20</v>
      </c>
      <c r="C78" s="53"/>
      <c r="D78" s="165"/>
      <c r="E78" s="154"/>
      <c r="F78" s="166" t="s">
        <v>20</v>
      </c>
      <c r="G78" s="154"/>
      <c r="H78" s="167">
        <v>157692.51408509031</v>
      </c>
      <c r="I78" s="168">
        <v>166487.4670033709</v>
      </c>
      <c r="J78" s="168">
        <v>176028.38671510649</v>
      </c>
      <c r="K78" s="168">
        <v>187750.64860807301</v>
      </c>
      <c r="L78" s="169">
        <v>202596.03437798319</v>
      </c>
      <c r="M78" s="149"/>
      <c r="N78" s="170">
        <v>309.77119973466932</v>
      </c>
      <c r="O78" s="171">
        <v>350.69368397624311</v>
      </c>
      <c r="P78" s="171">
        <v>387.48656279842783</v>
      </c>
      <c r="Q78" s="171">
        <v>421.9756948363198</v>
      </c>
      <c r="R78" s="171">
        <v>457.95715458769769</v>
      </c>
      <c r="S78" s="163"/>
      <c r="T78" s="172">
        <v>309.77119973466932</v>
      </c>
      <c r="U78" s="173">
        <v>350.69368397624311</v>
      </c>
      <c r="V78" s="173">
        <v>387.48656279842783</v>
      </c>
      <c r="W78" s="173">
        <v>421.9756948363198</v>
      </c>
      <c r="X78" s="173">
        <v>457.95715458769769</v>
      </c>
      <c r="Y78" s="163"/>
      <c r="Z78" s="174">
        <v>0</v>
      </c>
      <c r="AA78" s="175">
        <v>0</v>
      </c>
      <c r="AB78" s="175">
        <v>0</v>
      </c>
      <c r="AC78" s="175">
        <v>0</v>
      </c>
      <c r="AD78" s="175">
        <v>0</v>
      </c>
      <c r="AE78" s="176"/>
      <c r="AF78" s="156"/>
    </row>
    <row r="79" spans="1:32" ht="13" x14ac:dyDescent="0.3">
      <c r="A79" s="164">
        <f t="shared" si="11"/>
        <v>7</v>
      </c>
      <c r="B79" s="52" t="s">
        <v>21</v>
      </c>
      <c r="C79" s="53"/>
      <c r="D79" s="177"/>
      <c r="E79" s="154"/>
      <c r="F79" s="178" t="s">
        <v>21</v>
      </c>
      <c r="G79" s="154"/>
      <c r="H79" s="167">
        <v>32146.429680124122</v>
      </c>
      <c r="I79" s="168">
        <v>32965.714566486269</v>
      </c>
      <c r="J79" s="168">
        <v>34361.047806516021</v>
      </c>
      <c r="K79" s="168">
        <v>36546.786595602971</v>
      </c>
      <c r="L79" s="169">
        <v>39399.495980668449</v>
      </c>
      <c r="M79" s="149"/>
      <c r="N79" s="179">
        <v>567.32081259763106</v>
      </c>
      <c r="O79" s="171">
        <v>639.88757376777392</v>
      </c>
      <c r="P79" s="171">
        <v>705.13330627633388</v>
      </c>
      <c r="Q79" s="171">
        <v>759.35418054163608</v>
      </c>
      <c r="R79" s="171">
        <v>815.21286888764541</v>
      </c>
      <c r="S79" s="163"/>
      <c r="T79" s="172">
        <v>567.32081259763106</v>
      </c>
      <c r="U79" s="173">
        <v>639.88757376777392</v>
      </c>
      <c r="V79" s="173">
        <v>705.13330627633388</v>
      </c>
      <c r="W79" s="173">
        <v>759.35418054163608</v>
      </c>
      <c r="X79" s="173">
        <v>815.21286888764541</v>
      </c>
      <c r="Y79" s="163"/>
      <c r="Z79" s="180">
        <v>0</v>
      </c>
      <c r="AA79" s="181">
        <v>0</v>
      </c>
      <c r="AB79" s="181">
        <v>0</v>
      </c>
      <c r="AC79" s="181">
        <v>0</v>
      </c>
      <c r="AD79" s="181">
        <v>0</v>
      </c>
      <c r="AE79" s="176"/>
      <c r="AF79" s="156"/>
    </row>
    <row r="80" spans="1:32" ht="13" x14ac:dyDescent="0.3">
      <c r="A80" s="164">
        <f t="shared" si="11"/>
        <v>7</v>
      </c>
      <c r="B80" s="52" t="s">
        <v>22</v>
      </c>
      <c r="C80" s="53"/>
      <c r="D80" s="177">
        <v>7</v>
      </c>
      <c r="E80" s="154"/>
      <c r="F80" s="182" t="s">
        <v>22</v>
      </c>
      <c r="G80" s="154"/>
      <c r="H80" s="167">
        <v>11715.217719618389</v>
      </c>
      <c r="I80" s="168">
        <v>12404.13892512474</v>
      </c>
      <c r="J80" s="168">
        <v>13282.19313651666</v>
      </c>
      <c r="K80" s="168">
        <v>14452.7654678493</v>
      </c>
      <c r="L80" s="169">
        <v>15925.6448948094</v>
      </c>
      <c r="M80" s="149"/>
      <c r="N80" s="179">
        <v>724.92833956108109</v>
      </c>
      <c r="O80" s="171">
        <v>804.61809209563137</v>
      </c>
      <c r="P80" s="171">
        <v>874.37876864870998</v>
      </c>
      <c r="Q80" s="171">
        <v>937.07419752822921</v>
      </c>
      <c r="R80" s="171">
        <v>996.92391103537773</v>
      </c>
      <c r="S80" s="163"/>
      <c r="T80" s="172">
        <v>724.92833956108109</v>
      </c>
      <c r="U80" s="173">
        <v>804.61809209563137</v>
      </c>
      <c r="V80" s="173">
        <v>874.37876864870998</v>
      </c>
      <c r="W80" s="173">
        <v>937.07419752822921</v>
      </c>
      <c r="X80" s="173">
        <v>996.92391103537773</v>
      </c>
      <c r="Y80" s="163"/>
      <c r="Z80" s="180">
        <v>0</v>
      </c>
      <c r="AA80" s="181">
        <v>0</v>
      </c>
      <c r="AB80" s="181">
        <v>0</v>
      </c>
      <c r="AC80" s="181">
        <v>0</v>
      </c>
      <c r="AD80" s="181">
        <v>0</v>
      </c>
      <c r="AE80" s="176"/>
      <c r="AF80" s="156"/>
    </row>
    <row r="81" spans="1:32" ht="13" x14ac:dyDescent="0.3">
      <c r="A81" s="164">
        <f t="shared" si="11"/>
        <v>7</v>
      </c>
      <c r="B81" s="52" t="s">
        <v>24</v>
      </c>
      <c r="C81" s="53"/>
      <c r="D81" s="177"/>
      <c r="E81" s="154"/>
      <c r="F81" s="183" t="s">
        <v>24</v>
      </c>
      <c r="G81" s="154"/>
      <c r="H81" s="184">
        <v>14566.038747437249</v>
      </c>
      <c r="I81" s="185">
        <v>16105.76338862882</v>
      </c>
      <c r="J81" s="185">
        <v>17835.82493767672</v>
      </c>
      <c r="K81" s="185">
        <v>19792.429586054041</v>
      </c>
      <c r="L81" s="186">
        <v>22160.92684628355</v>
      </c>
      <c r="M81" s="149"/>
      <c r="N81" s="187">
        <v>4216.0765060505573</v>
      </c>
      <c r="O81" s="188">
        <v>4459.9475230838761</v>
      </c>
      <c r="P81" s="188">
        <v>4747.6078394808264</v>
      </c>
      <c r="Q81" s="188">
        <v>5017.9539641203164</v>
      </c>
      <c r="R81" s="188">
        <v>5337.0893829035949</v>
      </c>
      <c r="S81" s="163"/>
      <c r="T81" s="189">
        <v>4216.0765060505573</v>
      </c>
      <c r="U81" s="190">
        <v>4459.9475230838761</v>
      </c>
      <c r="V81" s="190">
        <v>4747.6078394808264</v>
      </c>
      <c r="W81" s="190">
        <v>5017.9539641203164</v>
      </c>
      <c r="X81" s="190">
        <v>5337.0893829035949</v>
      </c>
      <c r="Y81" s="163"/>
      <c r="Z81" s="191">
        <v>0</v>
      </c>
      <c r="AA81" s="192">
        <v>0</v>
      </c>
      <c r="AB81" s="192">
        <v>0</v>
      </c>
      <c r="AC81" s="192">
        <v>0</v>
      </c>
      <c r="AD81" s="192">
        <v>0</v>
      </c>
      <c r="AE81" s="176"/>
      <c r="AF81" s="156"/>
    </row>
    <row r="82" spans="1:32" ht="13" x14ac:dyDescent="0.3">
      <c r="A82" s="164">
        <f t="shared" si="11"/>
        <v>7</v>
      </c>
      <c r="B82" s="56"/>
      <c r="C82" s="60"/>
      <c r="D82" s="193"/>
      <c r="E82" s="194"/>
      <c r="F82" s="195" t="s">
        <v>25</v>
      </c>
      <c r="G82" s="194"/>
      <c r="H82" s="196">
        <f>SUM(H78:H81)</f>
        <v>216120.20023227006</v>
      </c>
      <c r="I82" s="197">
        <f>SUM(I78:I81)</f>
        <v>227963.08388361073</v>
      </c>
      <c r="J82" s="197">
        <f>SUM(J78:J81)</f>
        <v>241507.45259581591</v>
      </c>
      <c r="K82" s="197">
        <f>SUM(K78:K81)</f>
        <v>258542.63025757932</v>
      </c>
      <c r="L82" s="198">
        <f>SUM(L78:L81)</f>
        <v>280082.1020997446</v>
      </c>
      <c r="M82" s="199"/>
      <c r="N82" s="200">
        <f>IF(H82=0,0,SUMPRODUCT(N78:N81,H78:H81)/H82)</f>
        <v>633.86099409819224</v>
      </c>
      <c r="O82" s="201">
        <f>IF(I82=0,0,SUMPRODUCT(O78:O81,I78:I81)/I82)</f>
        <v>707.53520978694019</v>
      </c>
      <c r="P82" s="201">
        <f>IF(J82=0,0,SUMPRODUCT(P78:P81,J78:J81)/J82)</f>
        <v>781.46211108174305</v>
      </c>
      <c r="Q82" s="201">
        <f>IF(K82=0,0,SUMPRODUCT(Q78:Q81,K78:K81)/K82)</f>
        <v>850.30070079288771</v>
      </c>
      <c r="R82" s="201">
        <f>IF(L82=0,0,SUMPRODUCT(R78:R81,L78:L81)/L82)</f>
        <v>924.91016464259076</v>
      </c>
      <c r="S82" s="202"/>
      <c r="T82" s="200">
        <f>IF(H82=0,0,SUMPRODUCT(T78:T81,H78:H81)/H82)</f>
        <v>633.86099409819224</v>
      </c>
      <c r="U82" s="201">
        <f>IF(I82=0,0,SUMPRODUCT(U78:U81,I78:I81)/I82)</f>
        <v>707.53520978694019</v>
      </c>
      <c r="V82" s="201">
        <f>IF(J82=0,0,SUMPRODUCT(V78:V81,J78:J81)/J82)</f>
        <v>781.46211108174305</v>
      </c>
      <c r="W82" s="201">
        <f>IF(K82=0,0,SUMPRODUCT(W78:W81,K78:K81)/K82)</f>
        <v>850.30070079288771</v>
      </c>
      <c r="X82" s="201">
        <f>IF(L82=0,0,SUMPRODUCT(X78:X81,L78:L81)/L82)</f>
        <v>924.91016464259076</v>
      </c>
      <c r="Y82" s="202"/>
      <c r="Z82" s="203">
        <f>SUM(Z78:Z81)</f>
        <v>0</v>
      </c>
      <c r="AA82" s="204">
        <f>SUM(AA78:AA81)</f>
        <v>0</v>
      </c>
      <c r="AB82" s="204">
        <f>SUM(AB78:AB81)</f>
        <v>0</v>
      </c>
      <c r="AC82" s="204">
        <f>SUM(AC78:AC81)</f>
        <v>0</v>
      </c>
      <c r="AD82" s="204">
        <f>SUM(AD78:AD81)</f>
        <v>0</v>
      </c>
      <c r="AE82" s="205"/>
      <c r="AF82" s="51"/>
    </row>
    <row r="83" spans="1:32" ht="15.65" customHeight="1" x14ac:dyDescent="0.3">
      <c r="A83" s="164">
        <f t="shared" si="11"/>
        <v>7</v>
      </c>
      <c r="B83" s="157"/>
      <c r="C83" s="148"/>
      <c r="D83" s="150"/>
      <c r="E83" s="206"/>
      <c r="F83" s="206"/>
      <c r="G83" s="206"/>
      <c r="H83" s="206"/>
      <c r="I83" s="206"/>
      <c r="J83" s="206"/>
      <c r="K83" s="206"/>
      <c r="L83" s="206"/>
      <c r="M83" s="206"/>
      <c r="N83" s="207">
        <f>SUM(N82*H82)</f>
        <v>136990164.96392706</v>
      </c>
      <c r="O83" s="207">
        <f>SUM(O82*I82)</f>
        <v>161291908.37926835</v>
      </c>
      <c r="P83" s="207">
        <f>SUM(P82*J82)</f>
        <v>188728923.74750027</v>
      </c>
      <c r="Q83" s="207">
        <f>SUM(Q82*K82)</f>
        <v>219838979.69285616</v>
      </c>
      <c r="R83" s="207">
        <f>SUM(R82*L82)</f>
        <v>259050783.1665177</v>
      </c>
      <c r="S83" s="208"/>
      <c r="T83" s="207">
        <f>SUM(T82*H82)</f>
        <v>136990164.96392706</v>
      </c>
      <c r="U83" s="207">
        <f>SUM(U82*I82)</f>
        <v>161291908.37926835</v>
      </c>
      <c r="V83" s="207">
        <f>SUM(V82*J82)</f>
        <v>188728923.74750027</v>
      </c>
      <c r="W83" s="207">
        <f>SUM(W82*K82)</f>
        <v>219838979.69285616</v>
      </c>
      <c r="X83" s="207">
        <f>SUM(X82*L82)</f>
        <v>259050783.1665177</v>
      </c>
      <c r="Y83" s="149"/>
      <c r="Z83" s="209">
        <f>IFERROR(Z82/SUMPRODUCT(N78:N81,H78:H81), 0)</f>
        <v>0</v>
      </c>
      <c r="AA83" s="209">
        <f>IFERROR(AA82/SUMPRODUCT(O78:O81,I78:I81), 0)</f>
        <v>0</v>
      </c>
      <c r="AB83" s="209">
        <f>IFERROR(AB82/SUMPRODUCT(P78:P81,J78:J81), 0)</f>
        <v>0</v>
      </c>
      <c r="AC83" s="209">
        <f>IFERROR(AC82/SUMPRODUCT(Q78:Q81,K78:K81), 0)</f>
        <v>0</v>
      </c>
      <c r="AD83" s="209">
        <f>IFERROR(AD82/SUMPRODUCT(R78:R81,L78:L81), 0)</f>
        <v>0</v>
      </c>
      <c r="AE83" s="210"/>
      <c r="AF83" s="156"/>
    </row>
    <row r="84" spans="1:32" ht="13" x14ac:dyDescent="0.3">
      <c r="A84" s="211">
        <f t="shared" si="11"/>
        <v>7</v>
      </c>
      <c r="B84" s="212"/>
      <c r="C84" s="148"/>
      <c r="D84" s="150"/>
      <c r="E84" s="206"/>
      <c r="F84" s="206"/>
      <c r="G84" s="206"/>
      <c r="H84" s="206"/>
      <c r="I84" s="206"/>
      <c r="J84" s="206"/>
      <c r="K84" s="206"/>
      <c r="L84" s="206"/>
      <c r="M84" s="206"/>
      <c r="N84" s="213"/>
      <c r="O84" s="206"/>
      <c r="P84" s="206"/>
      <c r="Q84" s="206"/>
      <c r="R84" s="214"/>
      <c r="S84" s="206"/>
      <c r="T84" s="206"/>
      <c r="U84" s="206"/>
      <c r="V84" s="206"/>
      <c r="W84" s="206"/>
      <c r="X84" s="206"/>
      <c r="Y84" s="149"/>
      <c r="Z84" s="210"/>
      <c r="AA84" s="210"/>
      <c r="AB84" s="210"/>
      <c r="AC84" s="210"/>
      <c r="AD84" s="215"/>
      <c r="AE84" s="210"/>
      <c r="AF84" s="156"/>
    </row>
    <row r="85" spans="1:32" ht="13" x14ac:dyDescent="0.3">
      <c r="A85" s="58">
        <v>8</v>
      </c>
      <c r="B85" s="147"/>
      <c r="C85" s="148"/>
      <c r="D85" s="149"/>
      <c r="E85" s="149"/>
      <c r="F85" s="150"/>
      <c r="G85" s="149"/>
      <c r="H85" s="151" t="s">
        <v>10</v>
      </c>
      <c r="I85" s="152"/>
      <c r="J85" s="152"/>
      <c r="K85" s="152"/>
      <c r="L85" s="153"/>
      <c r="M85" s="149"/>
      <c r="N85" s="151" t="s">
        <v>11</v>
      </c>
      <c r="O85" s="152"/>
      <c r="P85" s="152"/>
      <c r="Q85" s="152"/>
      <c r="R85" s="153"/>
      <c r="S85" s="154"/>
      <c r="T85" s="151" t="s">
        <v>12</v>
      </c>
      <c r="U85" s="152"/>
      <c r="V85" s="152"/>
      <c r="W85" s="152"/>
      <c r="X85" s="153"/>
      <c r="Y85" s="154"/>
      <c r="Z85" s="151" t="s">
        <v>13</v>
      </c>
      <c r="AA85" s="152"/>
      <c r="AB85" s="152"/>
      <c r="AC85" s="152"/>
      <c r="AD85" s="153"/>
      <c r="AE85" s="155"/>
      <c r="AF85" s="156"/>
    </row>
    <row r="86" spans="1:32" ht="13" x14ac:dyDescent="0.3">
      <c r="A86" s="59">
        <f t="shared" ref="A86:A93" si="12">A85</f>
        <v>8</v>
      </c>
      <c r="B86" s="157"/>
      <c r="C86" s="148"/>
      <c r="D86" s="149"/>
      <c r="E86" s="158"/>
      <c r="F86" s="159" t="s">
        <v>34</v>
      </c>
      <c r="G86" s="154"/>
      <c r="H86" s="160" t="s">
        <v>15</v>
      </c>
      <c r="I86" s="161" t="s">
        <v>16</v>
      </c>
      <c r="J86" s="161" t="s">
        <v>17</v>
      </c>
      <c r="K86" s="161" t="s">
        <v>18</v>
      </c>
      <c r="L86" s="162" t="s">
        <v>19</v>
      </c>
      <c r="M86" s="149"/>
      <c r="N86" s="160" t="s">
        <v>15</v>
      </c>
      <c r="O86" s="161" t="s">
        <v>16</v>
      </c>
      <c r="P86" s="161" t="s">
        <v>17</v>
      </c>
      <c r="Q86" s="161" t="s">
        <v>18</v>
      </c>
      <c r="R86" s="161" t="s">
        <v>19</v>
      </c>
      <c r="S86" s="163"/>
      <c r="T86" s="160" t="s">
        <v>15</v>
      </c>
      <c r="U86" s="161" t="s">
        <v>16</v>
      </c>
      <c r="V86" s="161" t="s">
        <v>17</v>
      </c>
      <c r="W86" s="161" t="s">
        <v>18</v>
      </c>
      <c r="X86" s="161" t="s">
        <v>19</v>
      </c>
      <c r="Y86" s="163"/>
      <c r="Z86" s="160" t="s">
        <v>15</v>
      </c>
      <c r="AA86" s="161" t="s">
        <v>16</v>
      </c>
      <c r="AB86" s="161" t="s">
        <v>17</v>
      </c>
      <c r="AC86" s="161" t="s">
        <v>18</v>
      </c>
      <c r="AD86" s="161" t="s">
        <v>19</v>
      </c>
      <c r="AE86" s="155"/>
      <c r="AF86" s="156"/>
    </row>
    <row r="87" spans="1:32" ht="13" x14ac:dyDescent="0.3">
      <c r="A87" s="164">
        <f t="shared" si="12"/>
        <v>8</v>
      </c>
      <c r="B87" s="52" t="s">
        <v>20</v>
      </c>
      <c r="C87" s="53"/>
      <c r="D87" s="165"/>
      <c r="E87" s="154"/>
      <c r="F87" s="166" t="s">
        <v>20</v>
      </c>
      <c r="G87" s="154"/>
      <c r="H87" s="167">
        <v>153538.22854343959</v>
      </c>
      <c r="I87" s="168">
        <v>162330.09839742049</v>
      </c>
      <c r="J87" s="168">
        <v>171893.52114116561</v>
      </c>
      <c r="K87" s="168">
        <v>183714.84078830029</v>
      </c>
      <c r="L87" s="169">
        <v>198651.4361049539</v>
      </c>
      <c r="M87" s="149"/>
      <c r="N87" s="170">
        <v>361.34043769763912</v>
      </c>
      <c r="O87" s="171">
        <v>400.46234254391283</v>
      </c>
      <c r="P87" s="171">
        <v>434.4135076231737</v>
      </c>
      <c r="Q87" s="171">
        <v>468.25977876397008</v>
      </c>
      <c r="R87" s="171">
        <v>504.38318112413612</v>
      </c>
      <c r="S87" s="163"/>
      <c r="T87" s="172">
        <v>361.34043769763912</v>
      </c>
      <c r="U87" s="173">
        <v>400.46234254391283</v>
      </c>
      <c r="V87" s="173">
        <v>434.4135076231737</v>
      </c>
      <c r="W87" s="173">
        <v>468.25977876397008</v>
      </c>
      <c r="X87" s="173">
        <v>504.38318112413612</v>
      </c>
      <c r="Y87" s="163"/>
      <c r="Z87" s="174">
        <v>0</v>
      </c>
      <c r="AA87" s="175">
        <v>0</v>
      </c>
      <c r="AB87" s="175">
        <v>0</v>
      </c>
      <c r="AC87" s="175">
        <v>0</v>
      </c>
      <c r="AD87" s="175">
        <v>0</v>
      </c>
      <c r="AE87" s="176"/>
      <c r="AF87" s="156"/>
    </row>
    <row r="88" spans="1:32" ht="13" x14ac:dyDescent="0.3">
      <c r="A88" s="164">
        <f t="shared" si="12"/>
        <v>8</v>
      </c>
      <c r="B88" s="52" t="s">
        <v>21</v>
      </c>
      <c r="C88" s="53"/>
      <c r="D88" s="177"/>
      <c r="E88" s="154"/>
      <c r="F88" s="178" t="s">
        <v>21</v>
      </c>
      <c r="G88" s="154"/>
      <c r="H88" s="167">
        <v>31611.916165964969</v>
      </c>
      <c r="I88" s="168">
        <v>32444.99689898227</v>
      </c>
      <c r="J88" s="168">
        <v>33867.263001698499</v>
      </c>
      <c r="K88" s="168">
        <v>36066.204674922366</v>
      </c>
      <c r="L88" s="169">
        <v>38952.806221675761</v>
      </c>
      <c r="M88" s="149"/>
      <c r="N88" s="179">
        <v>872.40468569320274</v>
      </c>
      <c r="O88" s="171">
        <v>950.17773947153034</v>
      </c>
      <c r="P88" s="171">
        <v>1018.086843472345</v>
      </c>
      <c r="Q88" s="171">
        <v>1083.359465735052</v>
      </c>
      <c r="R88" s="171">
        <v>1150.618249503573</v>
      </c>
      <c r="S88" s="163"/>
      <c r="T88" s="172">
        <v>872.40468569320274</v>
      </c>
      <c r="U88" s="173">
        <v>950.17773947153034</v>
      </c>
      <c r="V88" s="173">
        <v>1018.086843472345</v>
      </c>
      <c r="W88" s="173">
        <v>1083.359465735052</v>
      </c>
      <c r="X88" s="173">
        <v>1150.618249503573</v>
      </c>
      <c r="Y88" s="163"/>
      <c r="Z88" s="180">
        <v>0</v>
      </c>
      <c r="AA88" s="181">
        <v>0</v>
      </c>
      <c r="AB88" s="181">
        <v>0</v>
      </c>
      <c r="AC88" s="181">
        <v>0</v>
      </c>
      <c r="AD88" s="181">
        <v>0</v>
      </c>
      <c r="AE88" s="176"/>
      <c r="AF88" s="156"/>
    </row>
    <row r="89" spans="1:32" ht="13" x14ac:dyDescent="0.3">
      <c r="A89" s="164">
        <f t="shared" si="12"/>
        <v>8</v>
      </c>
      <c r="B89" s="52" t="s">
        <v>22</v>
      </c>
      <c r="C89" s="53"/>
      <c r="D89" s="177">
        <v>8</v>
      </c>
      <c r="E89" s="154"/>
      <c r="F89" s="182" t="s">
        <v>22</v>
      </c>
      <c r="G89" s="154"/>
      <c r="H89" s="167">
        <v>10852.756564161949</v>
      </c>
      <c r="I89" s="168">
        <v>11523.312575335691</v>
      </c>
      <c r="J89" s="168">
        <v>12382.671588500931</v>
      </c>
      <c r="K89" s="168">
        <v>13547.914012499919</v>
      </c>
      <c r="L89" s="169">
        <v>15053.20148761227</v>
      </c>
      <c r="M89" s="149"/>
      <c r="N89" s="179">
        <v>977.83284581533621</v>
      </c>
      <c r="O89" s="171">
        <v>1065.9240731821781</v>
      </c>
      <c r="P89" s="171">
        <v>1136.8244597396999</v>
      </c>
      <c r="Q89" s="171">
        <v>1198.917033214736</v>
      </c>
      <c r="R89" s="171">
        <v>1254.209300463785</v>
      </c>
      <c r="S89" s="163"/>
      <c r="T89" s="172">
        <v>977.83284581533621</v>
      </c>
      <c r="U89" s="173">
        <v>1065.9240731821781</v>
      </c>
      <c r="V89" s="173">
        <v>1136.8244597396999</v>
      </c>
      <c r="W89" s="173">
        <v>1198.917033214736</v>
      </c>
      <c r="X89" s="173">
        <v>1254.209300463785</v>
      </c>
      <c r="Y89" s="163"/>
      <c r="Z89" s="180">
        <v>0</v>
      </c>
      <c r="AA89" s="181">
        <v>0</v>
      </c>
      <c r="AB89" s="181">
        <v>0</v>
      </c>
      <c r="AC89" s="181">
        <v>0</v>
      </c>
      <c r="AD89" s="181">
        <v>0</v>
      </c>
      <c r="AE89" s="176"/>
      <c r="AF89" s="156"/>
    </row>
    <row r="90" spans="1:32" ht="13" x14ac:dyDescent="0.3">
      <c r="A90" s="164">
        <f t="shared" si="12"/>
        <v>8</v>
      </c>
      <c r="B90" s="52" t="s">
        <v>24</v>
      </c>
      <c r="C90" s="53"/>
      <c r="D90" s="177"/>
      <c r="E90" s="154"/>
      <c r="F90" s="183" t="s">
        <v>24</v>
      </c>
      <c r="G90" s="154"/>
      <c r="H90" s="184">
        <v>6409.9220768715013</v>
      </c>
      <c r="I90" s="185">
        <v>7064.7067543365611</v>
      </c>
      <c r="J90" s="185">
        <v>7856.0108435048032</v>
      </c>
      <c r="K90" s="185">
        <v>8736.2058430860325</v>
      </c>
      <c r="L90" s="186">
        <v>9839.1087393628313</v>
      </c>
      <c r="M90" s="149"/>
      <c r="N90" s="187">
        <v>1327.768650299608</v>
      </c>
      <c r="O90" s="188">
        <v>1346.3675718965981</v>
      </c>
      <c r="P90" s="188">
        <v>1435.5431208550381</v>
      </c>
      <c r="Q90" s="188">
        <v>1536.110531067857</v>
      </c>
      <c r="R90" s="188">
        <v>1636.0411150729451</v>
      </c>
      <c r="S90" s="163"/>
      <c r="T90" s="189">
        <v>1327.768650299608</v>
      </c>
      <c r="U90" s="190">
        <v>1346.3675718965981</v>
      </c>
      <c r="V90" s="190">
        <v>1435.5431208550381</v>
      </c>
      <c r="W90" s="190">
        <v>1536.110531067857</v>
      </c>
      <c r="X90" s="190">
        <v>1636.0411150729451</v>
      </c>
      <c r="Y90" s="163"/>
      <c r="Z90" s="191">
        <v>0</v>
      </c>
      <c r="AA90" s="192">
        <v>0</v>
      </c>
      <c r="AB90" s="192">
        <v>0</v>
      </c>
      <c r="AC90" s="192">
        <v>0</v>
      </c>
      <c r="AD90" s="192">
        <v>0</v>
      </c>
      <c r="AE90" s="176"/>
      <c r="AF90" s="156"/>
    </row>
    <row r="91" spans="1:32" ht="13" x14ac:dyDescent="0.3">
      <c r="A91" s="164">
        <f t="shared" si="12"/>
        <v>8</v>
      </c>
      <c r="B91" s="56"/>
      <c r="C91" s="60"/>
      <c r="D91" s="193"/>
      <c r="E91" s="194"/>
      <c r="F91" s="195" t="s">
        <v>25</v>
      </c>
      <c r="G91" s="194"/>
      <c r="H91" s="196">
        <f>SUM(H87:H90)</f>
        <v>202412.823350438</v>
      </c>
      <c r="I91" s="197">
        <f>SUM(I87:I90)</f>
        <v>213363.11462607502</v>
      </c>
      <c r="J91" s="197">
        <f>SUM(J87:J90)</f>
        <v>225999.46657486985</v>
      </c>
      <c r="K91" s="197">
        <f>SUM(K87:K90)</f>
        <v>242065.16531880861</v>
      </c>
      <c r="L91" s="198">
        <f>SUM(L87:L90)</f>
        <v>262496.55255360476</v>
      </c>
      <c r="M91" s="199"/>
      <c r="N91" s="200">
        <f>IF(H91=0,0,SUMPRODUCT(N87:N90,H87:H90)/H91)</f>
        <v>504.81500243607428</v>
      </c>
      <c r="O91" s="201">
        <f>IF(I91=0,0,SUMPRODUCT(O87:O90,I87:I90)/I91)</f>
        <v>551.314944207915</v>
      </c>
      <c r="P91" s="201">
        <f>IF(J91=0,0,SUMPRODUCT(P87:P90,J87:J90)/J91)</f>
        <v>595.16622160259169</v>
      </c>
      <c r="Q91" s="201">
        <f>IF(K91=0,0,SUMPRODUCT(Q87:Q90,K87:K90)/K91)</f>
        <v>639.33832610045988</v>
      </c>
      <c r="R91" s="201">
        <f>IF(L91=0,0,SUMPRODUCT(R87:R90,L87:L90)/L91)</f>
        <v>685.69778526734819</v>
      </c>
      <c r="S91" s="202"/>
      <c r="T91" s="200">
        <f>IF(H91=0,0,SUMPRODUCT(T87:T90,H87:H90)/H91)</f>
        <v>504.81500243607428</v>
      </c>
      <c r="U91" s="201">
        <f>IF(I91=0,0,SUMPRODUCT(U87:U90,I87:I90)/I91)</f>
        <v>551.314944207915</v>
      </c>
      <c r="V91" s="201">
        <f>IF(J91=0,0,SUMPRODUCT(V87:V90,J87:J90)/J91)</f>
        <v>595.16622160259169</v>
      </c>
      <c r="W91" s="201">
        <f>IF(K91=0,0,SUMPRODUCT(W87:W90,K87:K90)/K91)</f>
        <v>639.33832610045988</v>
      </c>
      <c r="X91" s="201">
        <f>IF(L91=0,0,SUMPRODUCT(X87:X90,L87:L90)/L91)</f>
        <v>685.69778526734819</v>
      </c>
      <c r="Y91" s="202"/>
      <c r="Z91" s="203">
        <f>SUM(Z87:Z90)</f>
        <v>0</v>
      </c>
      <c r="AA91" s="204">
        <f>SUM(AA87:AA90)</f>
        <v>0</v>
      </c>
      <c r="AB91" s="204">
        <f>SUM(AB87:AB90)</f>
        <v>0</v>
      </c>
      <c r="AC91" s="204">
        <f>SUM(AC87:AC90)</f>
        <v>0</v>
      </c>
      <c r="AD91" s="204">
        <f>SUM(AD87:AD90)</f>
        <v>0</v>
      </c>
      <c r="AE91" s="205"/>
      <c r="AF91" s="51"/>
    </row>
    <row r="92" spans="1:32" ht="15.65" customHeight="1" x14ac:dyDescent="0.3">
      <c r="A92" s="164">
        <f t="shared" si="12"/>
        <v>8</v>
      </c>
      <c r="B92" s="157"/>
      <c r="C92" s="148"/>
      <c r="D92" s="150"/>
      <c r="E92" s="206"/>
      <c r="F92" s="206"/>
      <c r="G92" s="206"/>
      <c r="H92" s="206"/>
      <c r="I92" s="206"/>
      <c r="J92" s="206"/>
      <c r="K92" s="206"/>
      <c r="L92" s="206"/>
      <c r="M92" s="206"/>
      <c r="N92" s="207">
        <f>SUM(N91*H91)</f>
        <v>102181029.91274403</v>
      </c>
      <c r="O92" s="207">
        <f>SUM(O91*I91)</f>
        <v>117630273.63610153</v>
      </c>
      <c r="P92" s="207">
        <f>SUM(P91*J91)</f>
        <v>134507248.6055665</v>
      </c>
      <c r="Q92" s="207">
        <f>SUM(Q91*K91)</f>
        <v>154761537.60215819</v>
      </c>
      <c r="R92" s="207">
        <f>SUM(R91*L91)</f>
        <v>179993304.72632086</v>
      </c>
      <c r="S92" s="208"/>
      <c r="T92" s="207">
        <f>SUM(T91*H91)</f>
        <v>102181029.91274403</v>
      </c>
      <c r="U92" s="207">
        <f>SUM(U91*I91)</f>
        <v>117630273.63610153</v>
      </c>
      <c r="V92" s="207">
        <f>SUM(V91*J91)</f>
        <v>134507248.6055665</v>
      </c>
      <c r="W92" s="207">
        <f>SUM(W91*K91)</f>
        <v>154761537.60215819</v>
      </c>
      <c r="X92" s="207">
        <f>SUM(X91*L91)</f>
        <v>179993304.72632086</v>
      </c>
      <c r="Y92" s="149"/>
      <c r="Z92" s="209">
        <f>IFERROR(Z91/SUMPRODUCT(N87:N90,H87:H90), 0)</f>
        <v>0</v>
      </c>
      <c r="AA92" s="209">
        <f>IFERROR(AA91/SUMPRODUCT(O87:O90,I87:I90), 0)</f>
        <v>0</v>
      </c>
      <c r="AB92" s="209">
        <f>IFERROR(AB91/SUMPRODUCT(P87:P90,J87:J90), 0)</f>
        <v>0</v>
      </c>
      <c r="AC92" s="209">
        <f>IFERROR(AC91/SUMPRODUCT(Q87:Q90,K87:K90), 0)</f>
        <v>0</v>
      </c>
      <c r="AD92" s="209">
        <f>IFERROR(AD91/SUMPRODUCT(R87:R90,L87:L90), 0)</f>
        <v>0</v>
      </c>
      <c r="AE92" s="210"/>
      <c r="AF92" s="156"/>
    </row>
    <row r="93" spans="1:32" ht="13" x14ac:dyDescent="0.3">
      <c r="A93" s="211">
        <f t="shared" si="12"/>
        <v>8</v>
      </c>
      <c r="B93" s="212"/>
      <c r="C93" s="148"/>
      <c r="D93" s="150"/>
      <c r="E93" s="206"/>
      <c r="F93" s="206"/>
      <c r="G93" s="206"/>
      <c r="H93" s="206"/>
      <c r="I93" s="206"/>
      <c r="J93" s="206"/>
      <c r="K93" s="206"/>
      <c r="L93" s="206"/>
      <c r="M93" s="206"/>
      <c r="N93" s="213"/>
      <c r="O93" s="206"/>
      <c r="P93" s="206"/>
      <c r="Q93" s="206"/>
      <c r="R93" s="214"/>
      <c r="S93" s="206"/>
      <c r="T93" s="206"/>
      <c r="U93" s="206"/>
      <c r="V93" s="206"/>
      <c r="W93" s="206"/>
      <c r="X93" s="206"/>
      <c r="Y93" s="149"/>
      <c r="Z93" s="210"/>
      <c r="AA93" s="210"/>
      <c r="AB93" s="210"/>
      <c r="AC93" s="210"/>
      <c r="AD93" s="215"/>
      <c r="AE93" s="210"/>
      <c r="AF93" s="156"/>
    </row>
    <row r="94" spans="1:32" ht="13" x14ac:dyDescent="0.3">
      <c r="A94" s="58">
        <v>9</v>
      </c>
      <c r="B94" s="147"/>
      <c r="C94" s="148"/>
      <c r="D94" s="149"/>
      <c r="E94" s="149"/>
      <c r="F94" s="150"/>
      <c r="G94" s="149"/>
      <c r="H94" s="151" t="s">
        <v>10</v>
      </c>
      <c r="I94" s="152"/>
      <c r="J94" s="152"/>
      <c r="K94" s="152"/>
      <c r="L94" s="153"/>
      <c r="M94" s="149"/>
      <c r="N94" s="151" t="s">
        <v>11</v>
      </c>
      <c r="O94" s="152"/>
      <c r="P94" s="152"/>
      <c r="Q94" s="152"/>
      <c r="R94" s="153"/>
      <c r="S94" s="154"/>
      <c r="T94" s="151" t="s">
        <v>12</v>
      </c>
      <c r="U94" s="152"/>
      <c r="V94" s="152"/>
      <c r="W94" s="152"/>
      <c r="X94" s="153"/>
      <c r="Y94" s="154"/>
      <c r="Z94" s="151" t="s">
        <v>13</v>
      </c>
      <c r="AA94" s="152"/>
      <c r="AB94" s="152"/>
      <c r="AC94" s="152"/>
      <c r="AD94" s="153"/>
      <c r="AE94" s="155"/>
      <c r="AF94" s="156"/>
    </row>
    <row r="95" spans="1:32" ht="13" x14ac:dyDescent="0.3">
      <c r="A95" s="59">
        <f t="shared" ref="A95:A102" si="13">A94</f>
        <v>9</v>
      </c>
      <c r="B95" s="157"/>
      <c r="C95" s="148"/>
      <c r="D95" s="149"/>
      <c r="E95" s="158"/>
      <c r="F95" s="159" t="s">
        <v>35</v>
      </c>
      <c r="G95" s="154"/>
      <c r="H95" s="160" t="s">
        <v>15</v>
      </c>
      <c r="I95" s="161" t="s">
        <v>16</v>
      </c>
      <c r="J95" s="161" t="s">
        <v>17</v>
      </c>
      <c r="K95" s="161" t="s">
        <v>18</v>
      </c>
      <c r="L95" s="162" t="s">
        <v>19</v>
      </c>
      <c r="M95" s="149"/>
      <c r="N95" s="160" t="s">
        <v>15</v>
      </c>
      <c r="O95" s="161" t="s">
        <v>16</v>
      </c>
      <c r="P95" s="161" t="s">
        <v>17</v>
      </c>
      <c r="Q95" s="161" t="s">
        <v>18</v>
      </c>
      <c r="R95" s="161" t="s">
        <v>19</v>
      </c>
      <c r="S95" s="163"/>
      <c r="T95" s="160" t="s">
        <v>15</v>
      </c>
      <c r="U95" s="161" t="s">
        <v>16</v>
      </c>
      <c r="V95" s="161" t="s">
        <v>17</v>
      </c>
      <c r="W95" s="161" t="s">
        <v>18</v>
      </c>
      <c r="X95" s="161" t="s">
        <v>19</v>
      </c>
      <c r="Y95" s="163"/>
      <c r="Z95" s="160" t="s">
        <v>15</v>
      </c>
      <c r="AA95" s="161" t="s">
        <v>16</v>
      </c>
      <c r="AB95" s="161" t="s">
        <v>17</v>
      </c>
      <c r="AC95" s="161" t="s">
        <v>18</v>
      </c>
      <c r="AD95" s="161" t="s">
        <v>19</v>
      </c>
      <c r="AE95" s="155"/>
      <c r="AF95" s="156"/>
    </row>
    <row r="96" spans="1:32" ht="13" x14ac:dyDescent="0.3">
      <c r="A96" s="164">
        <f t="shared" si="13"/>
        <v>9</v>
      </c>
      <c r="B96" s="52" t="s">
        <v>20</v>
      </c>
      <c r="C96" s="53"/>
      <c r="D96" s="165"/>
      <c r="E96" s="154"/>
      <c r="F96" s="166" t="s">
        <v>20</v>
      </c>
      <c r="G96" s="154"/>
      <c r="H96" s="167">
        <v>157150.5698794341</v>
      </c>
      <c r="I96" s="168">
        <v>166366.06315599979</v>
      </c>
      <c r="J96" s="168">
        <v>176438.7404791583</v>
      </c>
      <c r="K96" s="168">
        <v>188779.36474824819</v>
      </c>
      <c r="L96" s="169">
        <v>204383.61955612281</v>
      </c>
      <c r="M96" s="149"/>
      <c r="N96" s="170">
        <v>357.54265937682783</v>
      </c>
      <c r="O96" s="171">
        <v>395.4777154833227</v>
      </c>
      <c r="P96" s="171">
        <v>429.34714217518609</v>
      </c>
      <c r="Q96" s="171">
        <v>463.02555438026587</v>
      </c>
      <c r="R96" s="171">
        <v>499.27641265116728</v>
      </c>
      <c r="S96" s="163"/>
      <c r="T96" s="172">
        <v>357.54265937682783</v>
      </c>
      <c r="U96" s="173">
        <v>395.4777154833227</v>
      </c>
      <c r="V96" s="173">
        <v>429.34714217518609</v>
      </c>
      <c r="W96" s="173">
        <v>463.02555438026587</v>
      </c>
      <c r="X96" s="173">
        <v>499.27641265116728</v>
      </c>
      <c r="Y96" s="163"/>
      <c r="Z96" s="174">
        <v>0</v>
      </c>
      <c r="AA96" s="175">
        <v>0</v>
      </c>
      <c r="AB96" s="175">
        <v>0</v>
      </c>
      <c r="AC96" s="175">
        <v>0</v>
      </c>
      <c r="AD96" s="175">
        <v>0</v>
      </c>
      <c r="AE96" s="176"/>
      <c r="AF96" s="156"/>
    </row>
    <row r="97" spans="1:32" ht="13" x14ac:dyDescent="0.3">
      <c r="A97" s="164">
        <f t="shared" si="13"/>
        <v>9</v>
      </c>
      <c r="B97" s="52" t="s">
        <v>21</v>
      </c>
      <c r="C97" s="53"/>
      <c r="D97" s="177"/>
      <c r="E97" s="154"/>
      <c r="F97" s="178" t="s">
        <v>21</v>
      </c>
      <c r="G97" s="154"/>
      <c r="H97" s="167">
        <v>32196.532472128631</v>
      </c>
      <c r="I97" s="168">
        <v>33116.239902239431</v>
      </c>
      <c r="J97" s="168">
        <v>34642.692031570397</v>
      </c>
      <c r="K97" s="168">
        <v>36957.62592114271</v>
      </c>
      <c r="L97" s="169">
        <v>39984.903404345561</v>
      </c>
      <c r="M97" s="149"/>
      <c r="N97" s="179">
        <v>869.41813434800315</v>
      </c>
      <c r="O97" s="171">
        <v>944.14092378824864</v>
      </c>
      <c r="P97" s="171">
        <v>1012.651915889031</v>
      </c>
      <c r="Q97" s="171">
        <v>1078.3175914066201</v>
      </c>
      <c r="R97" s="171">
        <v>1146.6670271553901</v>
      </c>
      <c r="S97" s="163"/>
      <c r="T97" s="172">
        <v>869.41813434800315</v>
      </c>
      <c r="U97" s="173">
        <v>944.14092378824864</v>
      </c>
      <c r="V97" s="173">
        <v>1012.651915889031</v>
      </c>
      <c r="W97" s="173">
        <v>1078.3175914066201</v>
      </c>
      <c r="X97" s="173">
        <v>1146.6670271553901</v>
      </c>
      <c r="Y97" s="163"/>
      <c r="Z97" s="180">
        <v>0</v>
      </c>
      <c r="AA97" s="181">
        <v>0</v>
      </c>
      <c r="AB97" s="181">
        <v>0</v>
      </c>
      <c r="AC97" s="181">
        <v>0</v>
      </c>
      <c r="AD97" s="181">
        <v>0</v>
      </c>
      <c r="AE97" s="176"/>
      <c r="AF97" s="156"/>
    </row>
    <row r="98" spans="1:32" ht="13" x14ac:dyDescent="0.3">
      <c r="A98" s="164">
        <f t="shared" si="13"/>
        <v>9</v>
      </c>
      <c r="B98" s="52" t="s">
        <v>22</v>
      </c>
      <c r="C98" s="53"/>
      <c r="D98" s="177">
        <v>9</v>
      </c>
      <c r="E98" s="154"/>
      <c r="F98" s="182" t="s">
        <v>22</v>
      </c>
      <c r="G98" s="154"/>
      <c r="H98" s="167">
        <v>11179.528978316601</v>
      </c>
      <c r="I98" s="168">
        <v>11846.022649541481</v>
      </c>
      <c r="J98" s="168">
        <v>12697.133716636379</v>
      </c>
      <c r="K98" s="168">
        <v>13876.440582575289</v>
      </c>
      <c r="L98" s="169">
        <v>15393.53052153622</v>
      </c>
      <c r="M98" s="149"/>
      <c r="N98" s="179">
        <v>953.33172707375047</v>
      </c>
      <c r="O98" s="171">
        <v>1037.141446788243</v>
      </c>
      <c r="P98" s="171">
        <v>1109.5264526965541</v>
      </c>
      <c r="Q98" s="171">
        <v>1171.122079705764</v>
      </c>
      <c r="R98" s="171">
        <v>1229.0247985590761</v>
      </c>
      <c r="S98" s="163"/>
      <c r="T98" s="172">
        <v>953.33172707375047</v>
      </c>
      <c r="U98" s="173">
        <v>1037.141446788243</v>
      </c>
      <c r="V98" s="173">
        <v>1109.5264526965541</v>
      </c>
      <c r="W98" s="173">
        <v>1171.122079705764</v>
      </c>
      <c r="X98" s="173">
        <v>1229.0247985590761</v>
      </c>
      <c r="Y98" s="163"/>
      <c r="Z98" s="180">
        <v>0</v>
      </c>
      <c r="AA98" s="181">
        <v>0</v>
      </c>
      <c r="AB98" s="181">
        <v>0</v>
      </c>
      <c r="AC98" s="181">
        <v>0</v>
      </c>
      <c r="AD98" s="181">
        <v>0</v>
      </c>
      <c r="AE98" s="176"/>
      <c r="AF98" s="156"/>
    </row>
    <row r="99" spans="1:32" ht="13" x14ac:dyDescent="0.3">
      <c r="A99" s="164">
        <f t="shared" si="13"/>
        <v>9</v>
      </c>
      <c r="B99" s="52" t="s">
        <v>24</v>
      </c>
      <c r="C99" s="53"/>
      <c r="D99" s="177"/>
      <c r="E99" s="154"/>
      <c r="F99" s="183" t="s">
        <v>24</v>
      </c>
      <c r="G99" s="154"/>
      <c r="H99" s="184">
        <v>14710.91797920827</v>
      </c>
      <c r="I99" s="185">
        <v>16256.547768369101</v>
      </c>
      <c r="J99" s="185">
        <v>18001.330372594992</v>
      </c>
      <c r="K99" s="185">
        <v>19963.695238178381</v>
      </c>
      <c r="L99" s="186">
        <v>22345.860186649079</v>
      </c>
      <c r="M99" s="149"/>
      <c r="N99" s="187">
        <v>4400.6598635439332</v>
      </c>
      <c r="O99" s="188">
        <v>4640.8881241666822</v>
      </c>
      <c r="P99" s="188">
        <v>4923.1157552410004</v>
      </c>
      <c r="Q99" s="188">
        <v>5186.4963697012818</v>
      </c>
      <c r="R99" s="188">
        <v>5497.0520967206057</v>
      </c>
      <c r="S99" s="163"/>
      <c r="T99" s="189">
        <v>4400.6598635439332</v>
      </c>
      <c r="U99" s="190">
        <v>4640.8881241666822</v>
      </c>
      <c r="V99" s="190">
        <v>4923.1157552410004</v>
      </c>
      <c r="W99" s="190">
        <v>5186.4963697012818</v>
      </c>
      <c r="X99" s="190">
        <v>5497.0520967206057</v>
      </c>
      <c r="Y99" s="163"/>
      <c r="Z99" s="191">
        <v>0</v>
      </c>
      <c r="AA99" s="192">
        <v>0</v>
      </c>
      <c r="AB99" s="192">
        <v>0</v>
      </c>
      <c r="AC99" s="192">
        <v>0</v>
      </c>
      <c r="AD99" s="192">
        <v>0</v>
      </c>
      <c r="AE99" s="176"/>
      <c r="AF99" s="156"/>
    </row>
    <row r="100" spans="1:32" ht="13" x14ac:dyDescent="0.3">
      <c r="A100" s="164">
        <f t="shared" si="13"/>
        <v>9</v>
      </c>
      <c r="B100" s="56"/>
      <c r="C100" s="60"/>
      <c r="D100" s="193"/>
      <c r="E100" s="194"/>
      <c r="F100" s="195" t="s">
        <v>25</v>
      </c>
      <c r="G100" s="194"/>
      <c r="H100" s="196">
        <f>SUM(H96:H99)</f>
        <v>215237.5493090876</v>
      </c>
      <c r="I100" s="197">
        <f>SUM(I96:I99)</f>
        <v>227584.87347614981</v>
      </c>
      <c r="J100" s="197">
        <f>SUM(J96:J99)</f>
        <v>241779.89659996005</v>
      </c>
      <c r="K100" s="197">
        <f>SUM(K96:K99)</f>
        <v>259577.12649014455</v>
      </c>
      <c r="L100" s="198">
        <f>SUM(L96:L99)</f>
        <v>282107.91366865369</v>
      </c>
      <c r="M100" s="199"/>
      <c r="N100" s="200">
        <f>IF(H100=0,0,SUMPRODUCT(N96:N99,H96:H99)/H100)</f>
        <v>741.39400099874035</v>
      </c>
      <c r="O100" s="201">
        <f>IF(I100=0,0,SUMPRODUCT(O96:O99,I96:I99)/I100)</f>
        <v>811.96647936073146</v>
      </c>
      <c r="P100" s="201">
        <f>IF(J100=0,0,SUMPRODUCT(P96:P99,J96:J99)/J100)</f>
        <v>883.22023194929602</v>
      </c>
      <c r="Q100" s="201">
        <f>IF(K100=0,0,SUMPRODUCT(Q96:Q99,K96:K99)/K100)</f>
        <v>951.75707643677731</v>
      </c>
      <c r="R100" s="201">
        <f>IF(L100=0,0,SUMPRODUCT(R96:R99,L96:L99)/L100)</f>
        <v>1026.7300738503577</v>
      </c>
      <c r="S100" s="202"/>
      <c r="T100" s="200">
        <f>IF(H100=0,0,SUMPRODUCT(T96:T99,H96:H99)/H100)</f>
        <v>741.39400099874035</v>
      </c>
      <c r="U100" s="201">
        <f>IF(I100=0,0,SUMPRODUCT(U96:U99,I96:I99)/I100)</f>
        <v>811.96647936073146</v>
      </c>
      <c r="V100" s="201">
        <f>IF(J100=0,0,SUMPRODUCT(V96:V99,J96:J99)/J100)</f>
        <v>883.22023194929602</v>
      </c>
      <c r="W100" s="201">
        <f>IF(K100=0,0,SUMPRODUCT(W96:W99,K96:K99)/K100)</f>
        <v>951.75707643677731</v>
      </c>
      <c r="X100" s="201">
        <f>IF(L100=0,0,SUMPRODUCT(X96:X99,L96:L99)/L100)</f>
        <v>1026.7300738503577</v>
      </c>
      <c r="Y100" s="202"/>
      <c r="Z100" s="203">
        <f>SUM(Z96:Z99)</f>
        <v>0</v>
      </c>
      <c r="AA100" s="204">
        <f>SUM(AA96:AA99)</f>
        <v>0</v>
      </c>
      <c r="AB100" s="204">
        <f>SUM(AB96:AB99)</f>
        <v>0</v>
      </c>
      <c r="AC100" s="204">
        <f>SUM(AC96:AC99)</f>
        <v>0</v>
      </c>
      <c r="AD100" s="204">
        <f>SUM(AD96:AD99)</f>
        <v>0</v>
      </c>
      <c r="AE100" s="205"/>
      <c r="AF100" s="51"/>
    </row>
    <row r="101" spans="1:32" ht="15.65" customHeight="1" x14ac:dyDescent="0.3">
      <c r="A101" s="164">
        <f t="shared" si="13"/>
        <v>9</v>
      </c>
      <c r="B101" s="157"/>
      <c r="C101" s="148"/>
      <c r="D101" s="150"/>
      <c r="E101" s="206"/>
      <c r="F101" s="206"/>
      <c r="G101" s="206"/>
      <c r="H101" s="206"/>
      <c r="I101" s="206"/>
      <c r="J101" s="206"/>
      <c r="K101" s="206"/>
      <c r="L101" s="206"/>
      <c r="M101" s="206"/>
      <c r="N101" s="207">
        <f>SUM(N100*H100)</f>
        <v>159575827.84742811</v>
      </c>
      <c r="O101" s="207">
        <f>SUM(O100*I100)</f>
        <v>184791288.47218686</v>
      </c>
      <c r="P101" s="207">
        <f>SUM(P100*J100)</f>
        <v>213544896.35569352</v>
      </c>
      <c r="Q101" s="207">
        <f>SUM(Q100*K100)</f>
        <v>247054367.01811951</v>
      </c>
      <c r="R101" s="207">
        <f>SUM(R100*L100)</f>
        <v>289648679.03478712</v>
      </c>
      <c r="S101" s="208"/>
      <c r="T101" s="207">
        <f>SUM(T100*H100)</f>
        <v>159575827.84742811</v>
      </c>
      <c r="U101" s="207">
        <f>SUM(U100*I100)</f>
        <v>184791288.47218686</v>
      </c>
      <c r="V101" s="207">
        <f>SUM(V100*J100)</f>
        <v>213544896.35569352</v>
      </c>
      <c r="W101" s="207">
        <f>SUM(W100*K100)</f>
        <v>247054367.01811951</v>
      </c>
      <c r="X101" s="207">
        <f>SUM(X100*L100)</f>
        <v>289648679.03478712</v>
      </c>
      <c r="Y101" s="149"/>
      <c r="Z101" s="209">
        <f>IFERROR(Z100/SUMPRODUCT(N96:N99,H96:H99), 0)</f>
        <v>0</v>
      </c>
      <c r="AA101" s="209">
        <f>IFERROR(AA100/SUMPRODUCT(O96:O99,I96:I99), 0)</f>
        <v>0</v>
      </c>
      <c r="AB101" s="209">
        <f>IFERROR(AB100/SUMPRODUCT(P96:P99,J96:J99), 0)</f>
        <v>0</v>
      </c>
      <c r="AC101" s="209">
        <f>IFERROR(AC100/SUMPRODUCT(Q96:Q99,K96:K99), 0)</f>
        <v>0</v>
      </c>
      <c r="AD101" s="209">
        <f>IFERROR(AD100/SUMPRODUCT(R96:R99,L96:L99), 0)</f>
        <v>0</v>
      </c>
      <c r="AE101" s="210"/>
      <c r="AF101" s="156"/>
    </row>
    <row r="102" spans="1:32" ht="13" x14ac:dyDescent="0.3">
      <c r="A102" s="211">
        <f t="shared" si="13"/>
        <v>9</v>
      </c>
      <c r="B102" s="212"/>
      <c r="C102" s="148"/>
      <c r="D102" s="150"/>
      <c r="E102" s="206"/>
      <c r="F102" s="206"/>
      <c r="G102" s="206"/>
      <c r="H102" s="206"/>
      <c r="I102" s="206"/>
      <c r="J102" s="206"/>
      <c r="K102" s="206"/>
      <c r="L102" s="206"/>
      <c r="M102" s="206"/>
      <c r="N102" s="213"/>
      <c r="O102" s="206"/>
      <c r="P102" s="206"/>
      <c r="Q102" s="206"/>
      <c r="R102" s="214"/>
      <c r="S102" s="206"/>
      <c r="T102" s="206"/>
      <c r="U102" s="206"/>
      <c r="V102" s="206"/>
      <c r="W102" s="206"/>
      <c r="X102" s="206"/>
      <c r="Y102" s="149"/>
      <c r="Z102" s="210"/>
      <c r="AA102" s="210"/>
      <c r="AB102" s="210"/>
      <c r="AC102" s="210"/>
      <c r="AD102" s="215"/>
      <c r="AE102" s="210"/>
      <c r="AF102" s="156"/>
    </row>
    <row r="103" spans="1:32" ht="13" x14ac:dyDescent="0.3">
      <c r="A103" s="58">
        <v>10</v>
      </c>
      <c r="B103" s="147"/>
      <c r="C103" s="148"/>
      <c r="D103" s="149"/>
      <c r="E103" s="149"/>
      <c r="F103" s="150"/>
      <c r="G103" s="149"/>
      <c r="H103" s="151" t="s">
        <v>10</v>
      </c>
      <c r="I103" s="152"/>
      <c r="J103" s="152"/>
      <c r="K103" s="152"/>
      <c r="L103" s="153"/>
      <c r="M103" s="149"/>
      <c r="N103" s="151" t="s">
        <v>11</v>
      </c>
      <c r="O103" s="152"/>
      <c r="P103" s="152"/>
      <c r="Q103" s="152"/>
      <c r="R103" s="153"/>
      <c r="S103" s="154"/>
      <c r="T103" s="151" t="s">
        <v>12</v>
      </c>
      <c r="U103" s="152"/>
      <c r="V103" s="152"/>
      <c r="W103" s="152"/>
      <c r="X103" s="153"/>
      <c r="Y103" s="154"/>
      <c r="Z103" s="151" t="s">
        <v>13</v>
      </c>
      <c r="AA103" s="152"/>
      <c r="AB103" s="152"/>
      <c r="AC103" s="152"/>
      <c r="AD103" s="153"/>
      <c r="AE103" s="155"/>
      <c r="AF103" s="156"/>
    </row>
    <row r="104" spans="1:32" ht="13" x14ac:dyDescent="0.3">
      <c r="A104" s="59">
        <f t="shared" ref="A104:A111" si="14">A103</f>
        <v>10</v>
      </c>
      <c r="B104" s="157"/>
      <c r="C104" s="148"/>
      <c r="D104" s="149"/>
      <c r="E104" s="158"/>
      <c r="F104" s="159" t="s">
        <v>36</v>
      </c>
      <c r="G104" s="154"/>
      <c r="H104" s="160" t="s">
        <v>15</v>
      </c>
      <c r="I104" s="161" t="s">
        <v>16</v>
      </c>
      <c r="J104" s="161" t="s">
        <v>17</v>
      </c>
      <c r="K104" s="161" t="s">
        <v>18</v>
      </c>
      <c r="L104" s="162" t="s">
        <v>19</v>
      </c>
      <c r="M104" s="149"/>
      <c r="N104" s="160" t="s">
        <v>15</v>
      </c>
      <c r="O104" s="161" t="s">
        <v>16</v>
      </c>
      <c r="P104" s="161" t="s">
        <v>17</v>
      </c>
      <c r="Q104" s="161" t="s">
        <v>18</v>
      </c>
      <c r="R104" s="161" t="s">
        <v>19</v>
      </c>
      <c r="S104" s="163"/>
      <c r="T104" s="160" t="s">
        <v>15</v>
      </c>
      <c r="U104" s="161" t="s">
        <v>16</v>
      </c>
      <c r="V104" s="161" t="s">
        <v>17</v>
      </c>
      <c r="W104" s="161" t="s">
        <v>18</v>
      </c>
      <c r="X104" s="161" t="s">
        <v>19</v>
      </c>
      <c r="Y104" s="163"/>
      <c r="Z104" s="160" t="s">
        <v>15</v>
      </c>
      <c r="AA104" s="161" t="s">
        <v>16</v>
      </c>
      <c r="AB104" s="161" t="s">
        <v>17</v>
      </c>
      <c r="AC104" s="161" t="s">
        <v>18</v>
      </c>
      <c r="AD104" s="161" t="s">
        <v>19</v>
      </c>
      <c r="AE104" s="155"/>
      <c r="AF104" s="156"/>
    </row>
    <row r="105" spans="1:32" ht="13" x14ac:dyDescent="0.3">
      <c r="A105" s="164">
        <f t="shared" si="14"/>
        <v>10</v>
      </c>
      <c r="B105" s="52" t="s">
        <v>20</v>
      </c>
      <c r="C105" s="53"/>
      <c r="D105" s="165"/>
      <c r="E105" s="154"/>
      <c r="F105" s="166" t="s">
        <v>20</v>
      </c>
      <c r="G105" s="154"/>
      <c r="H105" s="167">
        <v>94555.798301638046</v>
      </c>
      <c r="I105" s="168">
        <v>102608.9401524844</v>
      </c>
      <c r="J105" s="168">
        <v>109512.1710616229</v>
      </c>
      <c r="K105" s="168">
        <v>118038.3332176863</v>
      </c>
      <c r="L105" s="169">
        <v>130186.091231465</v>
      </c>
      <c r="M105" s="149"/>
      <c r="N105" s="170">
        <v>577.19015147161383</v>
      </c>
      <c r="O105" s="171">
        <v>619.64678015596735</v>
      </c>
      <c r="P105" s="171">
        <v>663.25486853853249</v>
      </c>
      <c r="Q105" s="171">
        <v>705.68517026897473</v>
      </c>
      <c r="R105" s="171">
        <v>742.57116582706897</v>
      </c>
      <c r="S105" s="163"/>
      <c r="T105" s="172">
        <v>577.19015147161383</v>
      </c>
      <c r="U105" s="173">
        <v>619.64678015596735</v>
      </c>
      <c r="V105" s="173">
        <v>663.25486853853249</v>
      </c>
      <c r="W105" s="173">
        <v>705.68517026897473</v>
      </c>
      <c r="X105" s="173">
        <v>742.57116582706897</v>
      </c>
      <c r="Y105" s="163"/>
      <c r="Z105" s="174">
        <v>0</v>
      </c>
      <c r="AA105" s="175">
        <v>0</v>
      </c>
      <c r="AB105" s="175">
        <v>0</v>
      </c>
      <c r="AC105" s="175">
        <v>0</v>
      </c>
      <c r="AD105" s="175">
        <v>0</v>
      </c>
      <c r="AE105" s="176"/>
      <c r="AF105" s="156"/>
    </row>
    <row r="106" spans="1:32" ht="13" x14ac:dyDescent="0.3">
      <c r="A106" s="164">
        <f t="shared" si="14"/>
        <v>10</v>
      </c>
      <c r="B106" s="52" t="s">
        <v>21</v>
      </c>
      <c r="C106" s="53"/>
      <c r="D106" s="177"/>
      <c r="E106" s="154"/>
      <c r="F106" s="178" t="s">
        <v>21</v>
      </c>
      <c r="G106" s="154"/>
      <c r="H106" s="167">
        <v>15310.524213892229</v>
      </c>
      <c r="I106" s="168">
        <v>15566.201442707261</v>
      </c>
      <c r="J106" s="168">
        <v>16009.44708856159</v>
      </c>
      <c r="K106" s="168">
        <v>17008.415955756031</v>
      </c>
      <c r="L106" s="169">
        <v>18568.3804927819</v>
      </c>
      <c r="M106" s="149"/>
      <c r="N106" s="179">
        <v>1768.340905799641</v>
      </c>
      <c r="O106" s="171">
        <v>1929.924621761799</v>
      </c>
      <c r="P106" s="171">
        <v>2084.8885560364311</v>
      </c>
      <c r="Q106" s="171">
        <v>2212.2361040321098</v>
      </c>
      <c r="R106" s="171">
        <v>2315.243586728966</v>
      </c>
      <c r="S106" s="163"/>
      <c r="T106" s="172">
        <v>1768.340905799641</v>
      </c>
      <c r="U106" s="173">
        <v>1929.924621761799</v>
      </c>
      <c r="V106" s="173">
        <v>2084.8885560364311</v>
      </c>
      <c r="W106" s="173">
        <v>2212.2361040321098</v>
      </c>
      <c r="X106" s="173">
        <v>2315.243586728966</v>
      </c>
      <c r="Y106" s="163"/>
      <c r="Z106" s="180">
        <v>0</v>
      </c>
      <c r="AA106" s="181">
        <v>0</v>
      </c>
      <c r="AB106" s="181">
        <v>0</v>
      </c>
      <c r="AC106" s="181">
        <v>0</v>
      </c>
      <c r="AD106" s="181">
        <v>0</v>
      </c>
      <c r="AE106" s="176"/>
      <c r="AF106" s="156"/>
    </row>
    <row r="107" spans="1:32" ht="13" x14ac:dyDescent="0.3">
      <c r="A107" s="164">
        <f t="shared" si="14"/>
        <v>10</v>
      </c>
      <c r="B107" s="52" t="s">
        <v>22</v>
      </c>
      <c r="C107" s="53"/>
      <c r="D107" s="177">
        <v>10</v>
      </c>
      <c r="E107" s="154"/>
      <c r="F107" s="182" t="s">
        <v>22</v>
      </c>
      <c r="G107" s="154"/>
      <c r="H107" s="167">
        <v>5571.2121448732642</v>
      </c>
      <c r="I107" s="168">
        <v>5912.560174131776</v>
      </c>
      <c r="J107" s="168">
        <v>6231.0277344815122</v>
      </c>
      <c r="K107" s="168">
        <v>6648.186545103601</v>
      </c>
      <c r="L107" s="169">
        <v>7214.741069601675</v>
      </c>
      <c r="M107" s="149"/>
      <c r="N107" s="179">
        <v>1881.820089812639</v>
      </c>
      <c r="O107" s="171">
        <v>2043.611694124565</v>
      </c>
      <c r="P107" s="171">
        <v>2214.1833775462342</v>
      </c>
      <c r="Q107" s="171">
        <v>2388.0881280662711</v>
      </c>
      <c r="R107" s="171">
        <v>2553.2277348020461</v>
      </c>
      <c r="S107" s="163"/>
      <c r="T107" s="172">
        <v>1881.820089812639</v>
      </c>
      <c r="U107" s="173">
        <v>2043.611694124565</v>
      </c>
      <c r="V107" s="173">
        <v>2214.1833775462342</v>
      </c>
      <c r="W107" s="173">
        <v>2388.0881280662711</v>
      </c>
      <c r="X107" s="173">
        <v>2553.2277348020461</v>
      </c>
      <c r="Y107" s="163"/>
      <c r="Z107" s="180">
        <v>0</v>
      </c>
      <c r="AA107" s="181">
        <v>0</v>
      </c>
      <c r="AB107" s="181">
        <v>0</v>
      </c>
      <c r="AC107" s="181">
        <v>0</v>
      </c>
      <c r="AD107" s="181">
        <v>0</v>
      </c>
      <c r="AE107" s="176"/>
      <c r="AF107" s="156"/>
    </row>
    <row r="108" spans="1:32" ht="13" x14ac:dyDescent="0.3">
      <c r="A108" s="164">
        <f t="shared" si="14"/>
        <v>10</v>
      </c>
      <c r="B108" s="52" t="s">
        <v>24</v>
      </c>
      <c r="C108" s="53"/>
      <c r="D108" s="177"/>
      <c r="E108" s="154"/>
      <c r="F108" s="183" t="s">
        <v>24</v>
      </c>
      <c r="G108" s="154"/>
      <c r="H108" s="184">
        <v>1404.6821646041219</v>
      </c>
      <c r="I108" s="185">
        <v>1493.9136836040191</v>
      </c>
      <c r="J108" s="185">
        <v>1570.3413577761939</v>
      </c>
      <c r="K108" s="185">
        <v>1775.2089167365691</v>
      </c>
      <c r="L108" s="186">
        <v>1985.760441284026</v>
      </c>
      <c r="M108" s="149"/>
      <c r="N108" s="187">
        <v>6041.7207392090122</v>
      </c>
      <c r="O108" s="188">
        <v>6341.1604849245768</v>
      </c>
      <c r="P108" s="188">
        <v>7143.9864862840068</v>
      </c>
      <c r="Q108" s="188">
        <v>7510.6514328835656</v>
      </c>
      <c r="R108" s="188">
        <v>8044.614730913032</v>
      </c>
      <c r="S108" s="163"/>
      <c r="T108" s="189">
        <v>6041.7207392090122</v>
      </c>
      <c r="U108" s="190">
        <v>6341.1604849245768</v>
      </c>
      <c r="V108" s="190">
        <v>7143.9864862840068</v>
      </c>
      <c r="W108" s="190">
        <v>7510.6514328835656</v>
      </c>
      <c r="X108" s="190">
        <v>8044.614730913032</v>
      </c>
      <c r="Y108" s="163"/>
      <c r="Z108" s="191">
        <v>0</v>
      </c>
      <c r="AA108" s="192">
        <v>0</v>
      </c>
      <c r="AB108" s="192">
        <v>0</v>
      </c>
      <c r="AC108" s="192">
        <v>0</v>
      </c>
      <c r="AD108" s="192">
        <v>0</v>
      </c>
      <c r="AE108" s="176"/>
      <c r="AF108" s="156"/>
    </row>
    <row r="109" spans="1:32" ht="13" x14ac:dyDescent="0.3">
      <c r="A109" s="164">
        <f t="shared" si="14"/>
        <v>10</v>
      </c>
      <c r="B109" s="56"/>
      <c r="C109" s="60"/>
      <c r="D109" s="193"/>
      <c r="E109" s="194"/>
      <c r="F109" s="195" t="s">
        <v>25</v>
      </c>
      <c r="G109" s="194"/>
      <c r="H109" s="196">
        <f>SUM(H105:H108)</f>
        <v>116842.21682500766</v>
      </c>
      <c r="I109" s="197">
        <f>SUM(I105:I108)</f>
        <v>125581.61545292745</v>
      </c>
      <c r="J109" s="197">
        <f>SUM(J105:J108)</f>
        <v>133322.98724244221</v>
      </c>
      <c r="K109" s="197">
        <f>SUM(K105:K108)</f>
        <v>143470.14463528252</v>
      </c>
      <c r="L109" s="198">
        <f>SUM(L105:L108)</f>
        <v>157954.97323513261</v>
      </c>
      <c r="M109" s="199"/>
      <c r="N109" s="200">
        <f>IF(H109=0,0,SUMPRODUCT(N105:N108,H105:H108)/H109)</f>
        <v>861.17518855636581</v>
      </c>
      <c r="O109" s="201">
        <f>IF(I109=0,0,SUMPRODUCT(O105:O108,I105:I108)/I109)</f>
        <v>917.16464969261506</v>
      </c>
      <c r="P109" s="201">
        <f>IF(J109=0,0,SUMPRODUCT(P105:P108,J105:J108)/J109)</f>
        <v>982.78272807910707</v>
      </c>
      <c r="Q109" s="201">
        <f>IF(K109=0,0,SUMPRODUCT(Q105:Q108,K105:K108)/K109)</f>
        <v>1046.4474282231536</v>
      </c>
      <c r="R109" s="201">
        <f>IF(L109=0,0,SUMPRODUCT(R105:R108,L105:L108)/L109)</f>
        <v>1101.9489448382908</v>
      </c>
      <c r="S109" s="202"/>
      <c r="T109" s="200">
        <f>IF(H109=0,0,SUMPRODUCT(T105:T108,H105:H108)/H109)</f>
        <v>861.17518855636581</v>
      </c>
      <c r="U109" s="201">
        <f>IF(I109=0,0,SUMPRODUCT(U105:U108,I105:I108)/I109)</f>
        <v>917.16464969261506</v>
      </c>
      <c r="V109" s="201">
        <f>IF(J109=0,0,SUMPRODUCT(V105:V108,J105:J108)/J109)</f>
        <v>982.78272807910707</v>
      </c>
      <c r="W109" s="201">
        <f>IF(K109=0,0,SUMPRODUCT(W105:W108,K105:K108)/K109)</f>
        <v>1046.4474282231536</v>
      </c>
      <c r="X109" s="201">
        <f>IF(L109=0,0,SUMPRODUCT(X105:X108,L105:L108)/L109)</f>
        <v>1101.9489448382908</v>
      </c>
      <c r="Y109" s="202"/>
      <c r="Z109" s="203">
        <f>SUM(Z105:Z108)</f>
        <v>0</v>
      </c>
      <c r="AA109" s="204">
        <f>SUM(AA105:AA108)</f>
        <v>0</v>
      </c>
      <c r="AB109" s="204">
        <f>SUM(AB105:AB108)</f>
        <v>0</v>
      </c>
      <c r="AC109" s="204">
        <f>SUM(AC105:AC108)</f>
        <v>0</v>
      </c>
      <c r="AD109" s="204">
        <f>SUM(AD105:AD108)</f>
        <v>0</v>
      </c>
      <c r="AE109" s="205"/>
      <c r="AF109" s="51"/>
    </row>
    <row r="110" spans="1:32" ht="15.65" customHeight="1" x14ac:dyDescent="0.3">
      <c r="A110" s="164">
        <f t="shared" si="14"/>
        <v>10</v>
      </c>
      <c r="B110" s="157"/>
      <c r="C110" s="148"/>
      <c r="D110" s="150"/>
      <c r="E110" s="206"/>
      <c r="F110" s="206"/>
      <c r="G110" s="206"/>
      <c r="H110" s="206"/>
      <c r="I110" s="206"/>
      <c r="J110" s="206"/>
      <c r="K110" s="206"/>
      <c r="L110" s="206"/>
      <c r="M110" s="206"/>
      <c r="N110" s="207">
        <f>SUM(N109*H109)</f>
        <v>100621618.10561976</v>
      </c>
      <c r="O110" s="207">
        <f>SUM(O109*I109)</f>
        <v>115179018.34471689</v>
      </c>
      <c r="P110" s="207">
        <f>SUM(P109*J109)</f>
        <v>131027529.11778334</v>
      </c>
      <c r="Q110" s="207">
        <f>SUM(Q109*K109)</f>
        <v>150133963.88039526</v>
      </c>
      <c r="R110" s="207">
        <f>SUM(R109*L109)</f>
        <v>174058316.08841485</v>
      </c>
      <c r="S110" s="208"/>
      <c r="T110" s="207">
        <f>SUM(T109*H109)</f>
        <v>100621618.10561976</v>
      </c>
      <c r="U110" s="207">
        <f>SUM(U109*I109)</f>
        <v>115179018.34471689</v>
      </c>
      <c r="V110" s="207">
        <f>SUM(V109*J109)</f>
        <v>131027529.11778334</v>
      </c>
      <c r="W110" s="207">
        <f>SUM(W109*K109)</f>
        <v>150133963.88039526</v>
      </c>
      <c r="X110" s="207">
        <f>SUM(X109*L109)</f>
        <v>174058316.08841485</v>
      </c>
      <c r="Y110" s="149"/>
      <c r="Z110" s="209">
        <f>IFERROR(Z109/SUMPRODUCT(N105:N108,H105:H108), 0)</f>
        <v>0</v>
      </c>
      <c r="AA110" s="209">
        <f>IFERROR(AA109/SUMPRODUCT(O105:O108,I105:I108), 0)</f>
        <v>0</v>
      </c>
      <c r="AB110" s="209">
        <f>IFERROR(AB109/SUMPRODUCT(P105:P108,J105:J108), 0)</f>
        <v>0</v>
      </c>
      <c r="AC110" s="209">
        <f>IFERROR(AC109/SUMPRODUCT(Q105:Q108,K105:K108), 0)</f>
        <v>0</v>
      </c>
      <c r="AD110" s="209">
        <f>IFERROR(AD109/SUMPRODUCT(R105:R108,L105:L108), 0)</f>
        <v>0</v>
      </c>
      <c r="AE110" s="210"/>
      <c r="AF110" s="156"/>
    </row>
    <row r="111" spans="1:32" ht="13" x14ac:dyDescent="0.3">
      <c r="A111" s="211">
        <f t="shared" si="14"/>
        <v>10</v>
      </c>
      <c r="B111" s="212"/>
      <c r="C111" s="148"/>
      <c r="D111" s="150"/>
      <c r="E111" s="206"/>
      <c r="F111" s="206"/>
      <c r="G111" s="206"/>
      <c r="H111" s="206"/>
      <c r="I111" s="206"/>
      <c r="J111" s="206"/>
      <c r="K111" s="206"/>
      <c r="L111" s="206"/>
      <c r="M111" s="206"/>
      <c r="N111" s="213"/>
      <c r="O111" s="206"/>
      <c r="P111" s="206"/>
      <c r="Q111" s="206"/>
      <c r="R111" s="214"/>
      <c r="S111" s="206"/>
      <c r="T111" s="206"/>
      <c r="U111" s="206"/>
      <c r="V111" s="206"/>
      <c r="W111" s="206"/>
      <c r="X111" s="206"/>
      <c r="Y111" s="149"/>
      <c r="Z111" s="210"/>
      <c r="AA111" s="210"/>
      <c r="AB111" s="210"/>
      <c r="AC111" s="210"/>
      <c r="AD111" s="215"/>
      <c r="AE111" s="210"/>
      <c r="AF111" s="156"/>
    </row>
    <row r="112" spans="1:32" ht="13" x14ac:dyDescent="0.3">
      <c r="A112" s="58">
        <v>11</v>
      </c>
      <c r="B112" s="147"/>
      <c r="C112" s="148"/>
      <c r="D112" s="149"/>
      <c r="E112" s="149"/>
      <c r="F112" s="150"/>
      <c r="G112" s="149"/>
      <c r="H112" s="151" t="s">
        <v>10</v>
      </c>
      <c r="I112" s="152"/>
      <c r="J112" s="152"/>
      <c r="K112" s="152"/>
      <c r="L112" s="153"/>
      <c r="M112" s="149"/>
      <c r="N112" s="151" t="s">
        <v>11</v>
      </c>
      <c r="O112" s="152"/>
      <c r="P112" s="152"/>
      <c r="Q112" s="152"/>
      <c r="R112" s="153"/>
      <c r="S112" s="154"/>
      <c r="T112" s="151" t="s">
        <v>12</v>
      </c>
      <c r="U112" s="152"/>
      <c r="V112" s="152"/>
      <c r="W112" s="152"/>
      <c r="X112" s="153"/>
      <c r="Y112" s="154"/>
      <c r="Z112" s="151" t="s">
        <v>13</v>
      </c>
      <c r="AA112" s="152"/>
      <c r="AB112" s="152"/>
      <c r="AC112" s="152"/>
      <c r="AD112" s="153"/>
      <c r="AE112" s="155"/>
      <c r="AF112" s="156"/>
    </row>
    <row r="113" spans="1:32" ht="13" x14ac:dyDescent="0.3">
      <c r="A113" s="59">
        <f t="shared" ref="A113:A120" si="15">A112</f>
        <v>11</v>
      </c>
      <c r="B113" s="157"/>
      <c r="C113" s="148"/>
      <c r="D113" s="149"/>
      <c r="E113" s="158"/>
      <c r="F113" s="159" t="s">
        <v>37</v>
      </c>
      <c r="G113" s="154"/>
      <c r="H113" s="160" t="s">
        <v>15</v>
      </c>
      <c r="I113" s="161" t="s">
        <v>16</v>
      </c>
      <c r="J113" s="161" t="s">
        <v>17</v>
      </c>
      <c r="K113" s="161" t="s">
        <v>18</v>
      </c>
      <c r="L113" s="162" t="s">
        <v>19</v>
      </c>
      <c r="M113" s="149"/>
      <c r="N113" s="160" t="s">
        <v>15</v>
      </c>
      <c r="O113" s="161" t="s">
        <v>16</v>
      </c>
      <c r="P113" s="161" t="s">
        <v>17</v>
      </c>
      <c r="Q113" s="161" t="s">
        <v>18</v>
      </c>
      <c r="R113" s="161" t="s">
        <v>19</v>
      </c>
      <c r="S113" s="163"/>
      <c r="T113" s="160" t="s">
        <v>15</v>
      </c>
      <c r="U113" s="161" t="s">
        <v>16</v>
      </c>
      <c r="V113" s="161" t="s">
        <v>17</v>
      </c>
      <c r="W113" s="161" t="s">
        <v>18</v>
      </c>
      <c r="X113" s="161" t="s">
        <v>19</v>
      </c>
      <c r="Y113" s="163"/>
      <c r="Z113" s="160" t="s">
        <v>15</v>
      </c>
      <c r="AA113" s="161" t="s">
        <v>16</v>
      </c>
      <c r="AB113" s="161" t="s">
        <v>17</v>
      </c>
      <c r="AC113" s="161" t="s">
        <v>18</v>
      </c>
      <c r="AD113" s="161" t="s">
        <v>19</v>
      </c>
      <c r="AE113" s="155"/>
      <c r="AF113" s="156"/>
    </row>
    <row r="114" spans="1:32" ht="13" x14ac:dyDescent="0.3">
      <c r="A114" s="164">
        <f t="shared" si="15"/>
        <v>11</v>
      </c>
      <c r="B114" s="52" t="s">
        <v>20</v>
      </c>
      <c r="C114" s="53"/>
      <c r="D114" s="165"/>
      <c r="E114" s="154"/>
      <c r="F114" s="166" t="s">
        <v>20</v>
      </c>
      <c r="G114" s="154"/>
      <c r="H114" s="167">
        <v>157692.51408509031</v>
      </c>
      <c r="I114" s="168">
        <v>166487.4670033709</v>
      </c>
      <c r="J114" s="168">
        <v>176028.38671510649</v>
      </c>
      <c r="K114" s="168">
        <v>187750.64860807301</v>
      </c>
      <c r="L114" s="169">
        <v>202596.03437798319</v>
      </c>
      <c r="M114" s="149"/>
      <c r="N114" s="170">
        <v>309.77119973466932</v>
      </c>
      <c r="O114" s="171">
        <v>350.69368397624311</v>
      </c>
      <c r="P114" s="171">
        <v>387.48656279842783</v>
      </c>
      <c r="Q114" s="171">
        <v>421.9756948363198</v>
      </c>
      <c r="R114" s="171">
        <v>457.95715458769769</v>
      </c>
      <c r="S114" s="163"/>
      <c r="T114" s="172">
        <v>309.77119973466932</v>
      </c>
      <c r="U114" s="173">
        <v>350.69368397624311</v>
      </c>
      <c r="V114" s="173">
        <v>387.48656279842783</v>
      </c>
      <c r="W114" s="173">
        <v>421.9756948363198</v>
      </c>
      <c r="X114" s="173">
        <v>457.95715458769769</v>
      </c>
      <c r="Y114" s="163"/>
      <c r="Z114" s="174">
        <v>0</v>
      </c>
      <c r="AA114" s="175">
        <v>0</v>
      </c>
      <c r="AB114" s="175">
        <v>0</v>
      </c>
      <c r="AC114" s="175">
        <v>0</v>
      </c>
      <c r="AD114" s="175">
        <v>0</v>
      </c>
      <c r="AE114" s="176"/>
      <c r="AF114" s="156"/>
    </row>
    <row r="115" spans="1:32" ht="13" x14ac:dyDescent="0.3">
      <c r="A115" s="164">
        <f t="shared" si="15"/>
        <v>11</v>
      </c>
      <c r="B115" s="52" t="s">
        <v>21</v>
      </c>
      <c r="C115" s="53"/>
      <c r="D115" s="177"/>
      <c r="E115" s="154"/>
      <c r="F115" s="178" t="s">
        <v>21</v>
      </c>
      <c r="G115" s="154"/>
      <c r="H115" s="167">
        <v>32146.429680124122</v>
      </c>
      <c r="I115" s="168">
        <v>32965.714566486269</v>
      </c>
      <c r="J115" s="168">
        <v>34361.047806516021</v>
      </c>
      <c r="K115" s="168">
        <v>36546.786595602971</v>
      </c>
      <c r="L115" s="169">
        <v>39399.495980668449</v>
      </c>
      <c r="M115" s="149"/>
      <c r="N115" s="179">
        <v>567.32081259763106</v>
      </c>
      <c r="O115" s="171">
        <v>639.88757376777392</v>
      </c>
      <c r="P115" s="171">
        <v>705.13330627633388</v>
      </c>
      <c r="Q115" s="171">
        <v>759.35418054163608</v>
      </c>
      <c r="R115" s="171">
        <v>815.21286888764541</v>
      </c>
      <c r="S115" s="163"/>
      <c r="T115" s="172">
        <v>567.32081259763106</v>
      </c>
      <c r="U115" s="173">
        <v>639.88757376777392</v>
      </c>
      <c r="V115" s="173">
        <v>705.13330627633388</v>
      </c>
      <c r="W115" s="173">
        <v>759.35418054163608</v>
      </c>
      <c r="X115" s="173">
        <v>815.21286888764541</v>
      </c>
      <c r="Y115" s="163"/>
      <c r="Z115" s="180">
        <v>0</v>
      </c>
      <c r="AA115" s="181">
        <v>0</v>
      </c>
      <c r="AB115" s="181">
        <v>0</v>
      </c>
      <c r="AC115" s="181">
        <v>0</v>
      </c>
      <c r="AD115" s="181">
        <v>0</v>
      </c>
      <c r="AE115" s="176"/>
      <c r="AF115" s="156"/>
    </row>
    <row r="116" spans="1:32" ht="13" x14ac:dyDescent="0.3">
      <c r="A116" s="164">
        <f t="shared" si="15"/>
        <v>11</v>
      </c>
      <c r="B116" s="52" t="s">
        <v>22</v>
      </c>
      <c r="C116" s="53"/>
      <c r="D116" s="177">
        <v>11</v>
      </c>
      <c r="E116" s="154"/>
      <c r="F116" s="182" t="s">
        <v>22</v>
      </c>
      <c r="G116" s="154"/>
      <c r="H116" s="167">
        <v>11715.217719618389</v>
      </c>
      <c r="I116" s="168">
        <v>12404.13892512474</v>
      </c>
      <c r="J116" s="168">
        <v>13282.19313651666</v>
      </c>
      <c r="K116" s="168">
        <v>14452.7654678493</v>
      </c>
      <c r="L116" s="169">
        <v>15925.6448948094</v>
      </c>
      <c r="M116" s="149"/>
      <c r="N116" s="179">
        <v>724.92833956108109</v>
      </c>
      <c r="O116" s="171">
        <v>804.61809209563137</v>
      </c>
      <c r="P116" s="171">
        <v>874.37876864870998</v>
      </c>
      <c r="Q116" s="171">
        <v>937.07419752822921</v>
      </c>
      <c r="R116" s="171">
        <v>996.92391103537773</v>
      </c>
      <c r="S116" s="163"/>
      <c r="T116" s="172">
        <v>724.92833956108109</v>
      </c>
      <c r="U116" s="173">
        <v>804.61809209563137</v>
      </c>
      <c r="V116" s="173">
        <v>874.37876864870998</v>
      </c>
      <c r="W116" s="173">
        <v>937.07419752822921</v>
      </c>
      <c r="X116" s="173">
        <v>996.92391103537773</v>
      </c>
      <c r="Y116" s="163"/>
      <c r="Z116" s="180">
        <v>0</v>
      </c>
      <c r="AA116" s="181">
        <v>0</v>
      </c>
      <c r="AB116" s="181">
        <v>0</v>
      </c>
      <c r="AC116" s="181">
        <v>0</v>
      </c>
      <c r="AD116" s="181">
        <v>0</v>
      </c>
      <c r="AE116" s="176"/>
      <c r="AF116" s="156"/>
    </row>
    <row r="117" spans="1:32" ht="13" x14ac:dyDescent="0.3">
      <c r="A117" s="164">
        <f t="shared" si="15"/>
        <v>11</v>
      </c>
      <c r="B117" s="52" t="s">
        <v>24</v>
      </c>
      <c r="C117" s="53"/>
      <c r="D117" s="177"/>
      <c r="E117" s="154"/>
      <c r="F117" s="183" t="s">
        <v>24</v>
      </c>
      <c r="G117" s="154"/>
      <c r="H117" s="184">
        <v>21553.13526743168</v>
      </c>
      <c r="I117" s="185">
        <v>23768.579813615801</v>
      </c>
      <c r="J117" s="185">
        <v>26311.55657400404</v>
      </c>
      <c r="K117" s="185">
        <v>29150.45252801626</v>
      </c>
      <c r="L117" s="186">
        <v>32577.479946620319</v>
      </c>
      <c r="M117" s="149"/>
      <c r="N117" s="187">
        <v>3289.167379109836</v>
      </c>
      <c r="O117" s="188">
        <v>3465.106106355337</v>
      </c>
      <c r="P117" s="188">
        <v>3687.1491509610842</v>
      </c>
      <c r="Q117" s="188">
        <v>3906.3555641789799</v>
      </c>
      <c r="R117" s="188">
        <v>4160.7658559162173</v>
      </c>
      <c r="S117" s="163"/>
      <c r="T117" s="189">
        <v>3289.167379109836</v>
      </c>
      <c r="U117" s="190">
        <v>3465.106106355337</v>
      </c>
      <c r="V117" s="190">
        <v>3687.1491509610842</v>
      </c>
      <c r="W117" s="190">
        <v>3906.3555641789799</v>
      </c>
      <c r="X117" s="190">
        <v>4160.7658559162173</v>
      </c>
      <c r="Y117" s="163"/>
      <c r="Z117" s="191">
        <v>0</v>
      </c>
      <c r="AA117" s="192">
        <v>0</v>
      </c>
      <c r="AB117" s="192">
        <v>0</v>
      </c>
      <c r="AC117" s="192">
        <v>0</v>
      </c>
      <c r="AD117" s="192">
        <v>0</v>
      </c>
      <c r="AE117" s="176"/>
      <c r="AF117" s="156"/>
    </row>
    <row r="118" spans="1:32" ht="13" x14ac:dyDescent="0.3">
      <c r="A118" s="164">
        <f t="shared" si="15"/>
        <v>11</v>
      </c>
      <c r="B118" s="56"/>
      <c r="C118" s="60"/>
      <c r="D118" s="193"/>
      <c r="E118" s="194"/>
      <c r="F118" s="195" t="s">
        <v>25</v>
      </c>
      <c r="G118" s="194"/>
      <c r="H118" s="196">
        <f>SUM(H114:H117)</f>
        <v>223107.29675226449</v>
      </c>
      <c r="I118" s="197">
        <f>SUM(I114:I117)</f>
        <v>235625.90030859772</v>
      </c>
      <c r="J118" s="197">
        <f>SUM(J114:J117)</f>
        <v>249983.18423214322</v>
      </c>
      <c r="K118" s="197">
        <f>SUM(K114:K117)</f>
        <v>267900.65319954156</v>
      </c>
      <c r="L118" s="198">
        <f>SUM(L114:L117)</f>
        <v>290498.65520008135</v>
      </c>
      <c r="M118" s="199"/>
      <c r="N118" s="200">
        <f>IF(H118=0,0,SUMPRODUCT(N114:N117,H114:H117)/H118)</f>
        <v>656.50251150885401</v>
      </c>
      <c r="O118" s="201">
        <f>IF(I118=0,0,SUMPRODUCT(O114:O117,I114:I117)/I118)</f>
        <v>729.21397721260166</v>
      </c>
      <c r="P118" s="201">
        <f>IF(J118=0,0,SUMPRODUCT(P114:P117,J114:J117)/J118)</f>
        <v>804.31832064898072</v>
      </c>
      <c r="Q118" s="201">
        <f>IF(K118=0,0,SUMPRODUCT(Q114:Q117,K114:K117)/K118)</f>
        <v>874.92698813433378</v>
      </c>
      <c r="R118" s="201">
        <f>IF(L118=0,0,SUMPRODUCT(R114:R117,L114:L117)/L118)</f>
        <v>951.20303336099653</v>
      </c>
      <c r="S118" s="202"/>
      <c r="T118" s="200">
        <f>IF(H118=0,0,SUMPRODUCT(T114:T117,H114:H117)/H118)</f>
        <v>656.50251150885401</v>
      </c>
      <c r="U118" s="201">
        <f>IF(I118=0,0,SUMPRODUCT(U114:U117,I114:I117)/I118)</f>
        <v>729.21397721260166</v>
      </c>
      <c r="V118" s="201">
        <f>IF(J118=0,0,SUMPRODUCT(V114:V117,J114:J117)/J118)</f>
        <v>804.31832064898072</v>
      </c>
      <c r="W118" s="201">
        <f>IF(K118=0,0,SUMPRODUCT(W114:W117,K114:K117)/K118)</f>
        <v>874.92698813433378</v>
      </c>
      <c r="X118" s="201">
        <f>IF(L118=0,0,SUMPRODUCT(X114:X117,L114:L117)/L118)</f>
        <v>951.20303336099653</v>
      </c>
      <c r="Y118" s="202"/>
      <c r="Z118" s="203">
        <f>SUM(Z114:Z117)</f>
        <v>0</v>
      </c>
      <c r="AA118" s="204">
        <f>SUM(AA114:AA117)</f>
        <v>0</v>
      </c>
      <c r="AB118" s="204">
        <f>SUM(AB114:AB117)</f>
        <v>0</v>
      </c>
      <c r="AC118" s="204">
        <f>SUM(AC114:AC117)</f>
        <v>0</v>
      </c>
      <c r="AD118" s="204">
        <f>SUM(AD114:AD117)</f>
        <v>0</v>
      </c>
      <c r="AE118" s="205"/>
      <c r="AF118" s="51"/>
    </row>
    <row r="119" spans="1:32" ht="15.65" customHeight="1" x14ac:dyDescent="0.3">
      <c r="A119" s="164">
        <f t="shared" si="15"/>
        <v>11</v>
      </c>
      <c r="B119" s="157"/>
      <c r="C119" s="148"/>
      <c r="D119" s="150"/>
      <c r="E119" s="206"/>
      <c r="F119" s="206"/>
      <c r="G119" s="206"/>
      <c r="H119" s="206"/>
      <c r="I119" s="206"/>
      <c r="J119" s="206"/>
      <c r="K119" s="206"/>
      <c r="L119" s="206"/>
      <c r="M119" s="206"/>
      <c r="N119" s="207">
        <f>SUM(N118*H118)</f>
        <v>146470500.65381283</v>
      </c>
      <c r="O119" s="207">
        <f>SUM(O118*I118)</f>
        <v>171821699.89833254</v>
      </c>
      <c r="P119" s="207">
        <f>SUM(P118*J118)</f>
        <v>201066054.93208218</v>
      </c>
      <c r="Q119" s="207">
        <f>SUM(Q118*K118)</f>
        <v>234393511.62309557</v>
      </c>
      <c r="R119" s="207">
        <f>SUM(R118*L118)</f>
        <v>276323202.01360762</v>
      </c>
      <c r="S119" s="208"/>
      <c r="T119" s="207">
        <f>SUM(T118*H118)</f>
        <v>146470500.65381283</v>
      </c>
      <c r="U119" s="207">
        <f>SUM(U118*I118)</f>
        <v>171821699.89833254</v>
      </c>
      <c r="V119" s="207">
        <f>SUM(V118*J118)</f>
        <v>201066054.93208218</v>
      </c>
      <c r="W119" s="207">
        <f>SUM(W118*K118)</f>
        <v>234393511.62309557</v>
      </c>
      <c r="X119" s="207">
        <f>SUM(X118*L118)</f>
        <v>276323202.01360762</v>
      </c>
      <c r="Y119" s="149"/>
      <c r="Z119" s="209">
        <f>IFERROR(Z118/SUMPRODUCT(N114:N117,H114:H117), 0)</f>
        <v>0</v>
      </c>
      <c r="AA119" s="209">
        <f>IFERROR(AA118/SUMPRODUCT(O114:O117,I114:I117), 0)</f>
        <v>0</v>
      </c>
      <c r="AB119" s="209">
        <f>IFERROR(AB118/SUMPRODUCT(P114:P117,J114:J117), 0)</f>
        <v>0</v>
      </c>
      <c r="AC119" s="209">
        <f>IFERROR(AC118/SUMPRODUCT(Q114:Q117,K114:K117), 0)</f>
        <v>0</v>
      </c>
      <c r="AD119" s="209">
        <f>IFERROR(AD118/SUMPRODUCT(R114:R117,L114:L117), 0)</f>
        <v>0</v>
      </c>
      <c r="AE119" s="210"/>
      <c r="AF119" s="156"/>
    </row>
    <row r="120" spans="1:32" ht="13" x14ac:dyDescent="0.3">
      <c r="A120" s="211">
        <f t="shared" si="15"/>
        <v>11</v>
      </c>
      <c r="B120" s="212"/>
      <c r="C120" s="148"/>
      <c r="D120" s="150"/>
      <c r="E120" s="206"/>
      <c r="F120" s="206"/>
      <c r="G120" s="206"/>
      <c r="H120" s="206"/>
      <c r="I120" s="206"/>
      <c r="J120" s="206"/>
      <c r="K120" s="206"/>
      <c r="L120" s="206"/>
      <c r="M120" s="206"/>
      <c r="N120" s="213"/>
      <c r="O120" s="206"/>
      <c r="P120" s="206"/>
      <c r="Q120" s="206"/>
      <c r="R120" s="214"/>
      <c r="S120" s="206"/>
      <c r="T120" s="206"/>
      <c r="U120" s="206"/>
      <c r="V120" s="206"/>
      <c r="W120" s="206"/>
      <c r="X120" s="206"/>
      <c r="Y120" s="149"/>
      <c r="Z120" s="210"/>
      <c r="AA120" s="210"/>
      <c r="AB120" s="210"/>
      <c r="AC120" s="210"/>
      <c r="AD120" s="215"/>
      <c r="AE120" s="210"/>
      <c r="AF120" s="156"/>
    </row>
    <row r="121" spans="1:32" ht="13" x14ac:dyDescent="0.3">
      <c r="A121" s="58">
        <v>12</v>
      </c>
      <c r="B121" s="147"/>
      <c r="C121" s="148"/>
      <c r="D121" s="149"/>
      <c r="E121" s="149"/>
      <c r="F121" s="150"/>
      <c r="G121" s="149"/>
      <c r="H121" s="151" t="s">
        <v>10</v>
      </c>
      <c r="I121" s="152"/>
      <c r="J121" s="152"/>
      <c r="K121" s="152"/>
      <c r="L121" s="153"/>
      <c r="M121" s="149"/>
      <c r="N121" s="151" t="s">
        <v>11</v>
      </c>
      <c r="O121" s="152"/>
      <c r="P121" s="152"/>
      <c r="Q121" s="152"/>
      <c r="R121" s="153"/>
      <c r="S121" s="154"/>
      <c r="T121" s="151" t="s">
        <v>12</v>
      </c>
      <c r="U121" s="152"/>
      <c r="V121" s="152"/>
      <c r="W121" s="152"/>
      <c r="X121" s="153"/>
      <c r="Y121" s="154"/>
      <c r="Z121" s="151" t="s">
        <v>13</v>
      </c>
      <c r="AA121" s="152"/>
      <c r="AB121" s="152"/>
      <c r="AC121" s="152"/>
      <c r="AD121" s="153"/>
      <c r="AE121" s="155"/>
      <c r="AF121" s="156"/>
    </row>
    <row r="122" spans="1:32" ht="13" x14ac:dyDescent="0.3">
      <c r="A122" s="59">
        <f t="shared" ref="A122:A129" si="16">A121</f>
        <v>12</v>
      </c>
      <c r="B122" s="157"/>
      <c r="C122" s="148"/>
      <c r="D122" s="149"/>
      <c r="E122" s="158"/>
      <c r="F122" s="159" t="s">
        <v>38</v>
      </c>
      <c r="G122" s="154"/>
      <c r="H122" s="160" t="s">
        <v>15</v>
      </c>
      <c r="I122" s="161" t="s">
        <v>16</v>
      </c>
      <c r="J122" s="161" t="s">
        <v>17</v>
      </c>
      <c r="K122" s="161" t="s">
        <v>18</v>
      </c>
      <c r="L122" s="162" t="s">
        <v>19</v>
      </c>
      <c r="M122" s="149"/>
      <c r="N122" s="160" t="s">
        <v>15</v>
      </c>
      <c r="O122" s="161" t="s">
        <v>16</v>
      </c>
      <c r="P122" s="161" t="s">
        <v>17</v>
      </c>
      <c r="Q122" s="161" t="s">
        <v>18</v>
      </c>
      <c r="R122" s="161" t="s">
        <v>19</v>
      </c>
      <c r="S122" s="163"/>
      <c r="T122" s="160" t="s">
        <v>15</v>
      </c>
      <c r="U122" s="161" t="s">
        <v>16</v>
      </c>
      <c r="V122" s="161" t="s">
        <v>17</v>
      </c>
      <c r="W122" s="161" t="s">
        <v>18</v>
      </c>
      <c r="X122" s="161" t="s">
        <v>19</v>
      </c>
      <c r="Y122" s="163"/>
      <c r="Z122" s="160" t="s">
        <v>15</v>
      </c>
      <c r="AA122" s="161" t="s">
        <v>16</v>
      </c>
      <c r="AB122" s="161" t="s">
        <v>17</v>
      </c>
      <c r="AC122" s="161" t="s">
        <v>18</v>
      </c>
      <c r="AD122" s="161" t="s">
        <v>19</v>
      </c>
      <c r="AE122" s="155"/>
      <c r="AF122" s="156"/>
    </row>
    <row r="123" spans="1:32" ht="13" x14ac:dyDescent="0.3">
      <c r="A123" s="164">
        <f t="shared" si="16"/>
        <v>12</v>
      </c>
      <c r="B123" s="52" t="s">
        <v>20</v>
      </c>
      <c r="C123" s="53"/>
      <c r="D123" s="165"/>
      <c r="E123" s="154"/>
      <c r="F123" s="166" t="s">
        <v>20</v>
      </c>
      <c r="G123" s="154"/>
      <c r="H123" s="167">
        <v>103201.9129036544</v>
      </c>
      <c r="I123" s="168">
        <v>110774.80133627741</v>
      </c>
      <c r="J123" s="168">
        <v>118491.76585373</v>
      </c>
      <c r="K123" s="168">
        <v>127969.7271904833</v>
      </c>
      <c r="L123" s="169">
        <v>140052.4303256018</v>
      </c>
      <c r="M123" s="149"/>
      <c r="N123" s="170">
        <v>456.26594795663152</v>
      </c>
      <c r="O123" s="171">
        <v>510.02171993625223</v>
      </c>
      <c r="P123" s="171">
        <v>556.84853975368719</v>
      </c>
      <c r="Q123" s="171">
        <v>597.23407975897408</v>
      </c>
      <c r="R123" s="171">
        <v>637.54246354405984</v>
      </c>
      <c r="S123" s="163"/>
      <c r="T123" s="172">
        <v>456.26594795663152</v>
      </c>
      <c r="U123" s="173">
        <v>510.02171993625223</v>
      </c>
      <c r="V123" s="173">
        <v>556.84853975368719</v>
      </c>
      <c r="W123" s="173">
        <v>597.23407975897408</v>
      </c>
      <c r="X123" s="173">
        <v>637.54246354405984</v>
      </c>
      <c r="Y123" s="163"/>
      <c r="Z123" s="174">
        <v>0</v>
      </c>
      <c r="AA123" s="175">
        <v>0</v>
      </c>
      <c r="AB123" s="175">
        <v>0</v>
      </c>
      <c r="AC123" s="175">
        <v>0</v>
      </c>
      <c r="AD123" s="175">
        <v>0</v>
      </c>
      <c r="AE123" s="176"/>
      <c r="AF123" s="156"/>
    </row>
    <row r="124" spans="1:32" ht="13" x14ac:dyDescent="0.3">
      <c r="A124" s="164">
        <f t="shared" si="16"/>
        <v>12</v>
      </c>
      <c r="B124" s="52" t="s">
        <v>21</v>
      </c>
      <c r="C124" s="53"/>
      <c r="D124" s="177"/>
      <c r="E124" s="154"/>
      <c r="F124" s="178" t="s">
        <v>21</v>
      </c>
      <c r="G124" s="154"/>
      <c r="H124" s="167">
        <v>17340.933643121971</v>
      </c>
      <c r="I124" s="168">
        <v>17728.771988537141</v>
      </c>
      <c r="J124" s="168">
        <v>18436.926361882699</v>
      </c>
      <c r="K124" s="168">
        <v>19689.729284718531</v>
      </c>
      <c r="L124" s="169">
        <v>21365.588995489921</v>
      </c>
      <c r="M124" s="149"/>
      <c r="N124" s="179">
        <v>906.83275658967</v>
      </c>
      <c r="O124" s="171">
        <v>1031.4947046222919</v>
      </c>
      <c r="P124" s="171">
        <v>1138.431795990932</v>
      </c>
      <c r="Q124" s="171">
        <v>1212.9395415375311</v>
      </c>
      <c r="R124" s="171">
        <v>1284.035117092536</v>
      </c>
      <c r="S124" s="163"/>
      <c r="T124" s="172">
        <v>906.83275658967</v>
      </c>
      <c r="U124" s="173">
        <v>1031.4947046222919</v>
      </c>
      <c r="V124" s="173">
        <v>1138.431795990932</v>
      </c>
      <c r="W124" s="173">
        <v>1212.9395415375311</v>
      </c>
      <c r="X124" s="173">
        <v>1284.035117092536</v>
      </c>
      <c r="Y124" s="163"/>
      <c r="Z124" s="180">
        <v>0</v>
      </c>
      <c r="AA124" s="181">
        <v>0</v>
      </c>
      <c r="AB124" s="181">
        <v>0</v>
      </c>
      <c r="AC124" s="181">
        <v>0</v>
      </c>
      <c r="AD124" s="181">
        <v>0</v>
      </c>
      <c r="AE124" s="176"/>
      <c r="AF124" s="156"/>
    </row>
    <row r="125" spans="1:32" ht="13" x14ac:dyDescent="0.3">
      <c r="A125" s="164">
        <f t="shared" si="16"/>
        <v>12</v>
      </c>
      <c r="B125" s="52" t="s">
        <v>22</v>
      </c>
      <c r="C125" s="53"/>
      <c r="D125" s="177">
        <v>12</v>
      </c>
      <c r="E125" s="154"/>
      <c r="F125" s="182" t="s">
        <v>22</v>
      </c>
      <c r="G125" s="154"/>
      <c r="H125" s="167">
        <v>6288.9452782971384</v>
      </c>
      <c r="I125" s="168">
        <v>6597.5403234689702</v>
      </c>
      <c r="J125" s="168">
        <v>6933.4030045579257</v>
      </c>
      <c r="K125" s="168">
        <v>7388.2173838954723</v>
      </c>
      <c r="L125" s="169">
        <v>7933.971151500341</v>
      </c>
      <c r="M125" s="149"/>
      <c r="N125" s="179">
        <v>917.26479314045059</v>
      </c>
      <c r="O125" s="171">
        <v>1027.072514548895</v>
      </c>
      <c r="P125" s="171">
        <v>1122.270807806359</v>
      </c>
      <c r="Q125" s="171">
        <v>1210.0696770161569</v>
      </c>
      <c r="R125" s="171">
        <v>1302.351392805951</v>
      </c>
      <c r="S125" s="163"/>
      <c r="T125" s="172">
        <v>917.26479314045059</v>
      </c>
      <c r="U125" s="173">
        <v>1027.072514548895</v>
      </c>
      <c r="V125" s="173">
        <v>1122.270807806359</v>
      </c>
      <c r="W125" s="173">
        <v>1210.0696770161569</v>
      </c>
      <c r="X125" s="173">
        <v>1302.351392805951</v>
      </c>
      <c r="Y125" s="163"/>
      <c r="Z125" s="180">
        <v>0</v>
      </c>
      <c r="AA125" s="181">
        <v>0</v>
      </c>
      <c r="AB125" s="181">
        <v>0</v>
      </c>
      <c r="AC125" s="181">
        <v>0</v>
      </c>
      <c r="AD125" s="181">
        <v>0</v>
      </c>
      <c r="AE125" s="176"/>
      <c r="AF125" s="156"/>
    </row>
    <row r="126" spans="1:32" ht="13" x14ac:dyDescent="0.3">
      <c r="A126" s="164">
        <f t="shared" si="16"/>
        <v>12</v>
      </c>
      <c r="B126" s="52" t="s">
        <v>24</v>
      </c>
      <c r="C126" s="53"/>
      <c r="D126" s="177"/>
      <c r="E126" s="154"/>
      <c r="F126" s="183" t="s">
        <v>24</v>
      </c>
      <c r="G126" s="154"/>
      <c r="H126" s="184">
        <v>21793.834047568242</v>
      </c>
      <c r="I126" s="185">
        <v>24033.758203894111</v>
      </c>
      <c r="J126" s="185">
        <v>26612.0526726237</v>
      </c>
      <c r="K126" s="185">
        <v>29520.163612174019</v>
      </c>
      <c r="L126" s="186">
        <v>33073.917609996322</v>
      </c>
      <c r="M126" s="149"/>
      <c r="N126" s="187">
        <v>3061.130129608619</v>
      </c>
      <c r="O126" s="188">
        <v>3255.980697866029</v>
      </c>
      <c r="P126" s="188">
        <v>3499.044542719666</v>
      </c>
      <c r="Q126" s="188">
        <v>3732.1747590144541</v>
      </c>
      <c r="R126" s="188">
        <v>3997.700972154073</v>
      </c>
      <c r="S126" s="163"/>
      <c r="T126" s="189">
        <v>3061.130129608619</v>
      </c>
      <c r="U126" s="190">
        <v>3255.980697866029</v>
      </c>
      <c r="V126" s="190">
        <v>3499.044542719666</v>
      </c>
      <c r="W126" s="190">
        <v>3732.1747590144541</v>
      </c>
      <c r="X126" s="190">
        <v>3997.700972154073</v>
      </c>
      <c r="Y126" s="163"/>
      <c r="Z126" s="191">
        <v>0</v>
      </c>
      <c r="AA126" s="192">
        <v>0</v>
      </c>
      <c r="AB126" s="192">
        <v>0</v>
      </c>
      <c r="AC126" s="192">
        <v>0</v>
      </c>
      <c r="AD126" s="192">
        <v>0</v>
      </c>
      <c r="AE126" s="176"/>
      <c r="AF126" s="156"/>
    </row>
    <row r="127" spans="1:32" ht="13" x14ac:dyDescent="0.3">
      <c r="A127" s="164">
        <f t="shared" si="16"/>
        <v>12</v>
      </c>
      <c r="B127" s="56"/>
      <c r="C127" s="60"/>
      <c r="D127" s="193"/>
      <c r="E127" s="194"/>
      <c r="F127" s="195" t="s">
        <v>25</v>
      </c>
      <c r="G127" s="194"/>
      <c r="H127" s="196">
        <f>SUM(H123:H126)</f>
        <v>148625.62587264174</v>
      </c>
      <c r="I127" s="197">
        <f>SUM(I123:I126)</f>
        <v>159134.87185217763</v>
      </c>
      <c r="J127" s="197">
        <f>SUM(J123:J126)</f>
        <v>170474.14789279434</v>
      </c>
      <c r="K127" s="197">
        <f>SUM(K123:K126)</f>
        <v>184567.83747127131</v>
      </c>
      <c r="L127" s="198">
        <f>SUM(L123:L126)</f>
        <v>202425.9080825884</v>
      </c>
      <c r="M127" s="199"/>
      <c r="N127" s="200">
        <f>IF(H127=0,0,SUMPRODUCT(N123:N126,H123:H126)/H127)</f>
        <v>910.30893641288981</v>
      </c>
      <c r="O127" s="201">
        <f>IF(I127=0,0,SUMPRODUCT(O123:O126,I123:I126)/I127)</f>
        <v>1004.2694753676113</v>
      </c>
      <c r="P127" s="201">
        <f>IF(J127=0,0,SUMPRODUCT(P123:P126,J123:J126)/J127)</f>
        <v>1102.0384367184245</v>
      </c>
      <c r="Q127" s="201">
        <f>IF(K127=0,0,SUMPRODUCT(Q123:Q126,K123:K126)/K127)</f>
        <v>1188.8582746176596</v>
      </c>
      <c r="R127" s="201">
        <f>IF(L127=0,0,SUMPRODUCT(R123:R126,L123:L126)/L127)</f>
        <v>1280.8438971111036</v>
      </c>
      <c r="S127" s="202"/>
      <c r="T127" s="200">
        <f>IF(H127=0,0,SUMPRODUCT(T123:T126,H123:H126)/H127)</f>
        <v>910.30893641288981</v>
      </c>
      <c r="U127" s="201">
        <f>IF(I127=0,0,SUMPRODUCT(U123:U126,I123:I126)/I127)</f>
        <v>1004.2694753676113</v>
      </c>
      <c r="V127" s="201">
        <f>IF(J127=0,0,SUMPRODUCT(V123:V126,J123:J126)/J127)</f>
        <v>1102.0384367184245</v>
      </c>
      <c r="W127" s="201">
        <f>IF(K127=0,0,SUMPRODUCT(W123:W126,K123:K126)/K127)</f>
        <v>1188.8582746176596</v>
      </c>
      <c r="X127" s="201">
        <f>IF(L127=0,0,SUMPRODUCT(X123:X126,L123:L126)/L127)</f>
        <v>1280.8438971111036</v>
      </c>
      <c r="Y127" s="202"/>
      <c r="Z127" s="203">
        <f>SUM(Z123:Z126)</f>
        <v>0</v>
      </c>
      <c r="AA127" s="204">
        <f>SUM(AA123:AA126)</f>
        <v>0</v>
      </c>
      <c r="AB127" s="204">
        <f>SUM(AB123:AB126)</f>
        <v>0</v>
      </c>
      <c r="AC127" s="204">
        <f>SUM(AC123:AC126)</f>
        <v>0</v>
      </c>
      <c r="AD127" s="204">
        <f>SUM(AD123:AD126)</f>
        <v>0</v>
      </c>
      <c r="AE127" s="205"/>
      <c r="AF127" s="51"/>
    </row>
    <row r="128" spans="1:32" ht="15.65" customHeight="1" x14ac:dyDescent="0.3">
      <c r="A128" s="164">
        <f t="shared" si="16"/>
        <v>12</v>
      </c>
      <c r="B128" s="157"/>
      <c r="C128" s="148"/>
      <c r="D128" s="150"/>
      <c r="E128" s="206"/>
      <c r="F128" s="206"/>
      <c r="G128" s="206"/>
      <c r="H128" s="206"/>
      <c r="I128" s="206"/>
      <c r="J128" s="206"/>
      <c r="K128" s="206"/>
      <c r="L128" s="206"/>
      <c r="M128" s="206"/>
      <c r="N128" s="207">
        <f>SUM(N127*H127)</f>
        <v>135295235.41182458</v>
      </c>
      <c r="O128" s="207">
        <f>SUM(O127*I127)</f>
        <v>159814294.2676785</v>
      </c>
      <c r="P128" s="207">
        <f>SUM(P127*J127)</f>
        <v>187869063.44468057</v>
      </c>
      <c r="Q128" s="207">
        <f>SUM(Q127*K127)</f>
        <v>219425000.80600825</v>
      </c>
      <c r="R128" s="207">
        <f>SUM(R127*L127)</f>
        <v>259275988.98475659</v>
      </c>
      <c r="S128" s="208"/>
      <c r="T128" s="207">
        <f>SUM(T127*H127)</f>
        <v>135295235.41182458</v>
      </c>
      <c r="U128" s="207">
        <f>SUM(U127*I127)</f>
        <v>159814294.2676785</v>
      </c>
      <c r="V128" s="207">
        <f>SUM(V127*J127)</f>
        <v>187869063.44468057</v>
      </c>
      <c r="W128" s="207">
        <f>SUM(W127*K127)</f>
        <v>219425000.80600825</v>
      </c>
      <c r="X128" s="207">
        <f>SUM(X127*L127)</f>
        <v>259275988.98475659</v>
      </c>
      <c r="Y128" s="149"/>
      <c r="Z128" s="209">
        <f>IFERROR(Z127/SUMPRODUCT(N123:N126,H123:H126), 0)</f>
        <v>0</v>
      </c>
      <c r="AA128" s="209">
        <f>IFERROR(AA127/SUMPRODUCT(O123:O126,I123:I126), 0)</f>
        <v>0</v>
      </c>
      <c r="AB128" s="209">
        <f>IFERROR(AB127/SUMPRODUCT(P123:P126,J123:J126), 0)</f>
        <v>0</v>
      </c>
      <c r="AC128" s="209">
        <f>IFERROR(AC127/SUMPRODUCT(Q123:Q126,K123:K126), 0)</f>
        <v>0</v>
      </c>
      <c r="AD128" s="209">
        <f>IFERROR(AD127/SUMPRODUCT(R123:R126,L123:L126), 0)</f>
        <v>0</v>
      </c>
      <c r="AE128" s="210"/>
      <c r="AF128" s="156"/>
    </row>
    <row r="129" spans="1:32" ht="13" x14ac:dyDescent="0.3">
      <c r="A129" s="211">
        <f t="shared" si="16"/>
        <v>12</v>
      </c>
      <c r="B129" s="212"/>
      <c r="C129" s="148"/>
      <c r="D129" s="150"/>
      <c r="E129" s="206"/>
      <c r="F129" s="206"/>
      <c r="G129" s="206"/>
      <c r="H129" s="206"/>
      <c r="I129" s="206"/>
      <c r="J129" s="206"/>
      <c r="K129" s="206"/>
      <c r="L129" s="206"/>
      <c r="M129" s="206"/>
      <c r="N129" s="213"/>
      <c r="O129" s="206"/>
      <c r="P129" s="206"/>
      <c r="Q129" s="206"/>
      <c r="R129" s="214"/>
      <c r="S129" s="206"/>
      <c r="T129" s="206"/>
      <c r="U129" s="206"/>
      <c r="V129" s="206"/>
      <c r="W129" s="206"/>
      <c r="X129" s="206"/>
      <c r="Y129" s="149"/>
      <c r="Z129" s="210"/>
      <c r="AA129" s="210"/>
      <c r="AB129" s="210"/>
      <c r="AC129" s="210"/>
      <c r="AD129" s="215"/>
      <c r="AE129" s="210"/>
      <c r="AF129" s="156"/>
    </row>
    <row r="130" spans="1:32" ht="13" x14ac:dyDescent="0.3">
      <c r="A130" s="58">
        <v>13</v>
      </c>
      <c r="B130" s="147"/>
      <c r="C130" s="148"/>
      <c r="D130" s="149"/>
      <c r="E130" s="149"/>
      <c r="F130" s="150"/>
      <c r="G130" s="149"/>
      <c r="H130" s="151" t="s">
        <v>10</v>
      </c>
      <c r="I130" s="152"/>
      <c r="J130" s="152"/>
      <c r="K130" s="152"/>
      <c r="L130" s="153"/>
      <c r="M130" s="149"/>
      <c r="N130" s="151" t="s">
        <v>11</v>
      </c>
      <c r="O130" s="152"/>
      <c r="P130" s="152"/>
      <c r="Q130" s="152"/>
      <c r="R130" s="153"/>
      <c r="S130" s="154"/>
      <c r="T130" s="151" t="s">
        <v>12</v>
      </c>
      <c r="U130" s="152"/>
      <c r="V130" s="152"/>
      <c r="W130" s="152"/>
      <c r="X130" s="153"/>
      <c r="Y130" s="154"/>
      <c r="Z130" s="151" t="s">
        <v>13</v>
      </c>
      <c r="AA130" s="152"/>
      <c r="AB130" s="152"/>
      <c r="AC130" s="152"/>
      <c r="AD130" s="153"/>
      <c r="AE130" s="155"/>
      <c r="AF130" s="156"/>
    </row>
    <row r="131" spans="1:32" ht="13" x14ac:dyDescent="0.3">
      <c r="A131" s="59">
        <f t="shared" ref="A131:A138" si="17">A130</f>
        <v>13</v>
      </c>
      <c r="B131" s="157"/>
      <c r="C131" s="148"/>
      <c r="D131" s="149"/>
      <c r="E131" s="158"/>
      <c r="F131" s="159" t="s">
        <v>39</v>
      </c>
      <c r="G131" s="154"/>
      <c r="H131" s="160" t="s">
        <v>15</v>
      </c>
      <c r="I131" s="161" t="s">
        <v>16</v>
      </c>
      <c r="J131" s="161" t="s">
        <v>17</v>
      </c>
      <c r="K131" s="161" t="s">
        <v>18</v>
      </c>
      <c r="L131" s="162" t="s">
        <v>19</v>
      </c>
      <c r="M131" s="149"/>
      <c r="N131" s="160" t="s">
        <v>15</v>
      </c>
      <c r="O131" s="161" t="s">
        <v>16</v>
      </c>
      <c r="P131" s="161" t="s">
        <v>17</v>
      </c>
      <c r="Q131" s="161" t="s">
        <v>18</v>
      </c>
      <c r="R131" s="161" t="s">
        <v>19</v>
      </c>
      <c r="S131" s="163"/>
      <c r="T131" s="160" t="s">
        <v>15</v>
      </c>
      <c r="U131" s="161" t="s">
        <v>16</v>
      </c>
      <c r="V131" s="161" t="s">
        <v>17</v>
      </c>
      <c r="W131" s="161" t="s">
        <v>18</v>
      </c>
      <c r="X131" s="161" t="s">
        <v>19</v>
      </c>
      <c r="Y131" s="163"/>
      <c r="Z131" s="160" t="s">
        <v>15</v>
      </c>
      <c r="AA131" s="161" t="s">
        <v>16</v>
      </c>
      <c r="AB131" s="161" t="s">
        <v>17</v>
      </c>
      <c r="AC131" s="161" t="s">
        <v>18</v>
      </c>
      <c r="AD131" s="161" t="s">
        <v>19</v>
      </c>
      <c r="AE131" s="155"/>
      <c r="AF131" s="156"/>
    </row>
    <row r="132" spans="1:32" ht="13" x14ac:dyDescent="0.3">
      <c r="A132" s="164">
        <f t="shared" si="17"/>
        <v>13</v>
      </c>
      <c r="B132" s="52" t="s">
        <v>20</v>
      </c>
      <c r="C132" s="53"/>
      <c r="D132" s="165"/>
      <c r="E132" s="154"/>
      <c r="F132" s="166" t="s">
        <v>20</v>
      </c>
      <c r="G132" s="154"/>
      <c r="H132" s="167">
        <v>111324.4401573982</v>
      </c>
      <c r="I132" s="168">
        <v>121847.4623552705</v>
      </c>
      <c r="J132" s="168">
        <v>131736.08546493409</v>
      </c>
      <c r="K132" s="168">
        <v>142033.88227056159</v>
      </c>
      <c r="L132" s="169">
        <v>156204.35567420151</v>
      </c>
      <c r="M132" s="149"/>
      <c r="N132" s="170">
        <v>455.28908366106771</v>
      </c>
      <c r="O132" s="171">
        <v>492.13813025494159</v>
      </c>
      <c r="P132" s="171">
        <v>526.08860078123644</v>
      </c>
      <c r="Q132" s="171">
        <v>561.04081224593187</v>
      </c>
      <c r="R132" s="171">
        <v>592.1160423149372</v>
      </c>
      <c r="S132" s="163"/>
      <c r="T132" s="172">
        <v>455.28908366106771</v>
      </c>
      <c r="U132" s="173">
        <v>492.13813025494159</v>
      </c>
      <c r="V132" s="173">
        <v>526.08860078123644</v>
      </c>
      <c r="W132" s="173">
        <v>561.04081224593187</v>
      </c>
      <c r="X132" s="173">
        <v>592.1160423149372</v>
      </c>
      <c r="Y132" s="163"/>
      <c r="Z132" s="174">
        <v>0</v>
      </c>
      <c r="AA132" s="175">
        <v>0</v>
      </c>
      <c r="AB132" s="175">
        <v>0</v>
      </c>
      <c r="AC132" s="175">
        <v>0</v>
      </c>
      <c r="AD132" s="175">
        <v>0</v>
      </c>
      <c r="AE132" s="176"/>
      <c r="AF132" s="156"/>
    </row>
    <row r="133" spans="1:32" ht="13" x14ac:dyDescent="0.3">
      <c r="A133" s="164">
        <f t="shared" si="17"/>
        <v>13</v>
      </c>
      <c r="B133" s="52" t="s">
        <v>21</v>
      </c>
      <c r="C133" s="53"/>
      <c r="D133" s="177"/>
      <c r="E133" s="154"/>
      <c r="F133" s="178" t="s">
        <v>21</v>
      </c>
      <c r="G133" s="154"/>
      <c r="H133" s="167">
        <v>24363.465668491401</v>
      </c>
      <c r="I133" s="168">
        <v>25902.718858317559</v>
      </c>
      <c r="J133" s="168">
        <v>27594.28627857782</v>
      </c>
      <c r="K133" s="168">
        <v>29509.54822980945</v>
      </c>
      <c r="L133" s="169">
        <v>32225.475046334032</v>
      </c>
      <c r="M133" s="149"/>
      <c r="N133" s="179">
        <v>876.10267461969897</v>
      </c>
      <c r="O133" s="171">
        <v>937.46656053549862</v>
      </c>
      <c r="P133" s="171">
        <v>992.63573082413416</v>
      </c>
      <c r="Q133" s="171">
        <v>1045.9471695114769</v>
      </c>
      <c r="R133" s="171">
        <v>1091.236700654531</v>
      </c>
      <c r="S133" s="163"/>
      <c r="T133" s="172">
        <v>876.10267461969897</v>
      </c>
      <c r="U133" s="173">
        <v>937.46656053549862</v>
      </c>
      <c r="V133" s="173">
        <v>992.63573082413416</v>
      </c>
      <c r="W133" s="173">
        <v>1045.9471695114769</v>
      </c>
      <c r="X133" s="173">
        <v>1091.236700654531</v>
      </c>
      <c r="Y133" s="163"/>
      <c r="Z133" s="180">
        <v>0</v>
      </c>
      <c r="AA133" s="181">
        <v>0</v>
      </c>
      <c r="AB133" s="181">
        <v>0</v>
      </c>
      <c r="AC133" s="181">
        <v>0</v>
      </c>
      <c r="AD133" s="181">
        <v>0</v>
      </c>
      <c r="AE133" s="176"/>
      <c r="AF133" s="156"/>
    </row>
    <row r="134" spans="1:32" ht="13" x14ac:dyDescent="0.3">
      <c r="A134" s="164">
        <f t="shared" si="17"/>
        <v>13</v>
      </c>
      <c r="B134" s="52" t="s">
        <v>22</v>
      </c>
      <c r="C134" s="53"/>
      <c r="D134" s="177">
        <v>13</v>
      </c>
      <c r="E134" s="154"/>
      <c r="F134" s="182" t="s">
        <v>22</v>
      </c>
      <c r="G134" s="154"/>
      <c r="H134" s="167">
        <v>8372.0465979325127</v>
      </c>
      <c r="I134" s="168">
        <v>9151.9539820784139</v>
      </c>
      <c r="J134" s="168">
        <v>10028.71138517801</v>
      </c>
      <c r="K134" s="168">
        <v>11088.113026889359</v>
      </c>
      <c r="L134" s="169">
        <v>12516.893204039299</v>
      </c>
      <c r="M134" s="149"/>
      <c r="N134" s="179">
        <v>863.98202795165435</v>
      </c>
      <c r="O134" s="171">
        <v>916.41939050232861</v>
      </c>
      <c r="P134" s="171">
        <v>954.22709541542304</v>
      </c>
      <c r="Q134" s="171">
        <v>989.2823143586304</v>
      </c>
      <c r="R134" s="171">
        <v>1012.871741440769</v>
      </c>
      <c r="S134" s="163"/>
      <c r="T134" s="172">
        <v>863.98202795165435</v>
      </c>
      <c r="U134" s="173">
        <v>916.41939050232861</v>
      </c>
      <c r="V134" s="173">
        <v>954.22709541542304</v>
      </c>
      <c r="W134" s="173">
        <v>989.2823143586304</v>
      </c>
      <c r="X134" s="173">
        <v>1012.871741440769</v>
      </c>
      <c r="Y134" s="163"/>
      <c r="Z134" s="180">
        <v>0</v>
      </c>
      <c r="AA134" s="181">
        <v>0</v>
      </c>
      <c r="AB134" s="181">
        <v>0</v>
      </c>
      <c r="AC134" s="181">
        <v>0</v>
      </c>
      <c r="AD134" s="181">
        <v>0</v>
      </c>
      <c r="AE134" s="176"/>
      <c r="AF134" s="156"/>
    </row>
    <row r="135" spans="1:32" ht="13" x14ac:dyDescent="0.3">
      <c r="A135" s="164">
        <f t="shared" si="17"/>
        <v>13</v>
      </c>
      <c r="B135" s="52" t="s">
        <v>24</v>
      </c>
      <c r="C135" s="53"/>
      <c r="D135" s="177"/>
      <c r="E135" s="154"/>
      <c r="F135" s="183" t="s">
        <v>24</v>
      </c>
      <c r="G135" s="154"/>
      <c r="H135" s="184">
        <v>9325.3987313432426</v>
      </c>
      <c r="I135" s="185">
        <v>10449.335495545591</v>
      </c>
      <c r="J135" s="185">
        <v>11630.462044742681</v>
      </c>
      <c r="K135" s="185">
        <v>13162.775516103529</v>
      </c>
      <c r="L135" s="186">
        <v>14974.822150948599</v>
      </c>
      <c r="M135" s="149"/>
      <c r="N135" s="187">
        <v>6443.9331661361157</v>
      </c>
      <c r="O135" s="188">
        <v>6709.6640300941172</v>
      </c>
      <c r="P135" s="188">
        <v>7088.9900361228138</v>
      </c>
      <c r="Q135" s="188">
        <v>7394.2094455524057</v>
      </c>
      <c r="R135" s="188">
        <v>7729.2354105628838</v>
      </c>
      <c r="S135" s="163"/>
      <c r="T135" s="189">
        <v>6443.9331661361157</v>
      </c>
      <c r="U135" s="190">
        <v>6709.6640300941172</v>
      </c>
      <c r="V135" s="190">
        <v>7088.9900361228138</v>
      </c>
      <c r="W135" s="190">
        <v>7394.2094455524057</v>
      </c>
      <c r="X135" s="190">
        <v>7729.2354105628838</v>
      </c>
      <c r="Y135" s="163"/>
      <c r="Z135" s="191">
        <v>0</v>
      </c>
      <c r="AA135" s="192">
        <v>0</v>
      </c>
      <c r="AB135" s="192">
        <v>0</v>
      </c>
      <c r="AC135" s="192">
        <v>0</v>
      </c>
      <c r="AD135" s="192">
        <v>0</v>
      </c>
      <c r="AE135" s="176"/>
      <c r="AF135" s="156"/>
    </row>
    <row r="136" spans="1:32" ht="13" x14ac:dyDescent="0.3">
      <c r="A136" s="164">
        <f t="shared" si="17"/>
        <v>13</v>
      </c>
      <c r="B136" s="56"/>
      <c r="C136" s="60"/>
      <c r="D136" s="193"/>
      <c r="E136" s="194"/>
      <c r="F136" s="195" t="s">
        <v>25</v>
      </c>
      <c r="G136" s="194"/>
      <c r="H136" s="196">
        <f>SUM(H132:H135)</f>
        <v>153385.35115516538</v>
      </c>
      <c r="I136" s="197">
        <f>SUM(I132:I135)</f>
        <v>167351.47069121205</v>
      </c>
      <c r="J136" s="197">
        <f>SUM(J132:J135)</f>
        <v>180989.54517343259</v>
      </c>
      <c r="K136" s="197">
        <f>SUM(K132:K135)</f>
        <v>195794.31904336391</v>
      </c>
      <c r="L136" s="198">
        <f>SUM(L132:L135)</f>
        <v>215921.54607552345</v>
      </c>
      <c r="M136" s="199"/>
      <c r="N136" s="200">
        <f>IF(H136=0,0,SUMPRODUCT(N132:N135,H132:H135)/H136)</f>
        <v>908.53033033562076</v>
      </c>
      <c r="O136" s="201">
        <f>IF(I136=0,0,SUMPRODUCT(O132:O135,I132:I135)/I136)</f>
        <v>972.4878603532519</v>
      </c>
      <c r="P136" s="201">
        <f>IF(J136=0,0,SUMPRODUCT(P132:P135,J132:J135)/J136)</f>
        <v>1042.6780447845213</v>
      </c>
      <c r="Q136" s="201">
        <f>IF(K136=0,0,SUMPRODUCT(Q132:Q135,K132:K135)/K136)</f>
        <v>1117.7537088782958</v>
      </c>
      <c r="R136" s="201">
        <f>IF(L136=0,0,SUMPRODUCT(R132:R135,L132:L135)/L136)</f>
        <v>1185.9801101284118</v>
      </c>
      <c r="S136" s="202"/>
      <c r="T136" s="200">
        <f>IF(H136=0,0,SUMPRODUCT(T132:T135,H132:H135)/H136)</f>
        <v>908.53033033562076</v>
      </c>
      <c r="U136" s="201">
        <f>IF(I136=0,0,SUMPRODUCT(U132:U135,I132:I135)/I136)</f>
        <v>972.4878603532519</v>
      </c>
      <c r="V136" s="201">
        <f>IF(J136=0,0,SUMPRODUCT(V132:V135,J132:J135)/J136)</f>
        <v>1042.6780447845213</v>
      </c>
      <c r="W136" s="201">
        <f>IF(K136=0,0,SUMPRODUCT(W132:W135,K132:K135)/K136)</f>
        <v>1117.7537088782958</v>
      </c>
      <c r="X136" s="201">
        <f>IF(L136=0,0,SUMPRODUCT(X132:X135,L132:L135)/L136)</f>
        <v>1185.9801101284118</v>
      </c>
      <c r="Y136" s="202"/>
      <c r="Z136" s="203">
        <f>SUM(Z132:Z135)</f>
        <v>0</v>
      </c>
      <c r="AA136" s="204">
        <f>SUM(AA132:AA135)</f>
        <v>0</v>
      </c>
      <c r="AB136" s="204">
        <f>SUM(AB132:AB135)</f>
        <v>0</v>
      </c>
      <c r="AC136" s="204">
        <f>SUM(AC132:AC135)</f>
        <v>0</v>
      </c>
      <c r="AD136" s="204">
        <f>SUM(AD132:AD135)</f>
        <v>0</v>
      </c>
      <c r="AE136" s="205"/>
      <c r="AF136" s="51"/>
    </row>
    <row r="137" spans="1:32" ht="15.65" customHeight="1" x14ac:dyDescent="0.3">
      <c r="A137" s="164">
        <f t="shared" si="17"/>
        <v>13</v>
      </c>
      <c r="B137" s="157"/>
      <c r="C137" s="148"/>
      <c r="D137" s="150"/>
      <c r="E137" s="206"/>
      <c r="F137" s="206"/>
      <c r="G137" s="206"/>
      <c r="H137" s="206"/>
      <c r="I137" s="206"/>
      <c r="J137" s="206"/>
      <c r="K137" s="206"/>
      <c r="L137" s="206"/>
      <c r="M137" s="206"/>
      <c r="N137" s="207">
        <f>SUM(N136*H136)</f>
        <v>139355243.7536476</v>
      </c>
      <c r="O137" s="207">
        <f>SUM(O136*I136)</f>
        <v>162747273.65946674</v>
      </c>
      <c r="P137" s="207">
        <f>SUM(P136*J136)</f>
        <v>188713825.08787447</v>
      </c>
      <c r="Q137" s="207">
        <f>SUM(Q136*K136)</f>
        <v>218849826.28802034</v>
      </c>
      <c r="R137" s="207">
        <f>SUM(R136*L136)</f>
        <v>256078658.99374625</v>
      </c>
      <c r="S137" s="208"/>
      <c r="T137" s="207">
        <f>SUM(T136*H136)</f>
        <v>139355243.7536476</v>
      </c>
      <c r="U137" s="207">
        <f>SUM(U136*I136)</f>
        <v>162747273.65946674</v>
      </c>
      <c r="V137" s="207">
        <f>SUM(V136*J136)</f>
        <v>188713825.08787447</v>
      </c>
      <c r="W137" s="207">
        <f>SUM(W136*K136)</f>
        <v>218849826.28802034</v>
      </c>
      <c r="X137" s="207">
        <f>SUM(X136*L136)</f>
        <v>256078658.99374625</v>
      </c>
      <c r="Y137" s="149"/>
      <c r="Z137" s="209">
        <f>IFERROR(Z136/SUMPRODUCT(N132:N135,H132:H135), 0)</f>
        <v>0</v>
      </c>
      <c r="AA137" s="209">
        <f>IFERROR(AA136/SUMPRODUCT(O132:O135,I132:I135), 0)</f>
        <v>0</v>
      </c>
      <c r="AB137" s="209">
        <f>IFERROR(AB136/SUMPRODUCT(P132:P135,J132:J135), 0)</f>
        <v>0</v>
      </c>
      <c r="AC137" s="209">
        <f>IFERROR(AC136/SUMPRODUCT(Q132:Q135,K132:K135), 0)</f>
        <v>0</v>
      </c>
      <c r="AD137" s="209">
        <f>IFERROR(AD136/SUMPRODUCT(R132:R135,L132:L135), 0)</f>
        <v>0</v>
      </c>
      <c r="AE137" s="210"/>
      <c r="AF137" s="156"/>
    </row>
    <row r="138" spans="1:32" ht="13" x14ac:dyDescent="0.3">
      <c r="A138" s="211">
        <f t="shared" si="17"/>
        <v>13</v>
      </c>
      <c r="B138" s="212"/>
      <c r="C138" s="148"/>
      <c r="D138" s="150"/>
      <c r="E138" s="206"/>
      <c r="F138" s="206"/>
      <c r="G138" s="206"/>
      <c r="H138" s="206"/>
      <c r="I138" s="206"/>
      <c r="J138" s="206"/>
      <c r="K138" s="206"/>
      <c r="L138" s="206"/>
      <c r="M138" s="206"/>
      <c r="N138" s="213"/>
      <c r="O138" s="206"/>
      <c r="P138" s="206"/>
      <c r="Q138" s="206"/>
      <c r="R138" s="214"/>
      <c r="S138" s="206"/>
      <c r="T138" s="206"/>
      <c r="U138" s="206"/>
      <c r="V138" s="206"/>
      <c r="W138" s="206"/>
      <c r="X138" s="206"/>
      <c r="Y138" s="149"/>
      <c r="Z138" s="210"/>
      <c r="AA138" s="210"/>
      <c r="AB138" s="210"/>
      <c r="AC138" s="210"/>
      <c r="AD138" s="215"/>
      <c r="AE138" s="210"/>
      <c r="AF138" s="156"/>
    </row>
    <row r="139" spans="1:32" ht="13" x14ac:dyDescent="0.3">
      <c r="A139" s="58">
        <v>14</v>
      </c>
      <c r="B139" s="147"/>
      <c r="C139" s="148"/>
      <c r="D139" s="149"/>
      <c r="E139" s="149"/>
      <c r="F139" s="150"/>
      <c r="G139" s="149"/>
      <c r="H139" s="151" t="s">
        <v>10</v>
      </c>
      <c r="I139" s="152"/>
      <c r="J139" s="152"/>
      <c r="K139" s="152"/>
      <c r="L139" s="153"/>
      <c r="M139" s="149"/>
      <c r="N139" s="151" t="s">
        <v>11</v>
      </c>
      <c r="O139" s="152"/>
      <c r="P139" s="152"/>
      <c r="Q139" s="152"/>
      <c r="R139" s="153"/>
      <c r="S139" s="154"/>
      <c r="T139" s="151" t="s">
        <v>12</v>
      </c>
      <c r="U139" s="152"/>
      <c r="V139" s="152"/>
      <c r="W139" s="152"/>
      <c r="X139" s="153"/>
      <c r="Y139" s="154"/>
      <c r="Z139" s="151" t="s">
        <v>13</v>
      </c>
      <c r="AA139" s="152"/>
      <c r="AB139" s="152"/>
      <c r="AC139" s="152"/>
      <c r="AD139" s="153"/>
      <c r="AE139" s="155"/>
      <c r="AF139" s="156"/>
    </row>
    <row r="140" spans="1:32" ht="13" x14ac:dyDescent="0.3">
      <c r="A140" s="59">
        <f t="shared" ref="A140:A147" si="18">A139</f>
        <v>14</v>
      </c>
      <c r="B140" s="157"/>
      <c r="C140" s="148"/>
      <c r="D140" s="149"/>
      <c r="E140" s="158"/>
      <c r="F140" s="159" t="s">
        <v>40</v>
      </c>
      <c r="G140" s="154"/>
      <c r="H140" s="160" t="s">
        <v>15</v>
      </c>
      <c r="I140" s="161" t="s">
        <v>16</v>
      </c>
      <c r="J140" s="161" t="s">
        <v>17</v>
      </c>
      <c r="K140" s="161" t="s">
        <v>18</v>
      </c>
      <c r="L140" s="162" t="s">
        <v>19</v>
      </c>
      <c r="M140" s="149"/>
      <c r="N140" s="160" t="s">
        <v>15</v>
      </c>
      <c r="O140" s="161" t="s">
        <v>16</v>
      </c>
      <c r="P140" s="161" t="s">
        <v>17</v>
      </c>
      <c r="Q140" s="161" t="s">
        <v>18</v>
      </c>
      <c r="R140" s="161" t="s">
        <v>19</v>
      </c>
      <c r="S140" s="163"/>
      <c r="T140" s="160" t="s">
        <v>15</v>
      </c>
      <c r="U140" s="161" t="s">
        <v>16</v>
      </c>
      <c r="V140" s="161" t="s">
        <v>17</v>
      </c>
      <c r="W140" s="161" t="s">
        <v>18</v>
      </c>
      <c r="X140" s="161" t="s">
        <v>19</v>
      </c>
      <c r="Y140" s="163"/>
      <c r="Z140" s="160" t="s">
        <v>15</v>
      </c>
      <c r="AA140" s="161" t="s">
        <v>16</v>
      </c>
      <c r="AB140" s="161" t="s">
        <v>17</v>
      </c>
      <c r="AC140" s="161" t="s">
        <v>18</v>
      </c>
      <c r="AD140" s="161" t="s">
        <v>19</v>
      </c>
      <c r="AE140" s="155"/>
      <c r="AF140" s="156"/>
    </row>
    <row r="141" spans="1:32" ht="13" x14ac:dyDescent="0.3">
      <c r="A141" s="164">
        <f t="shared" si="18"/>
        <v>14</v>
      </c>
      <c r="B141" s="52" t="s">
        <v>20</v>
      </c>
      <c r="C141" s="53"/>
      <c r="D141" s="165"/>
      <c r="E141" s="154"/>
      <c r="F141" s="166" t="s">
        <v>20</v>
      </c>
      <c r="G141" s="154"/>
      <c r="H141" s="167">
        <v>106437.9955083135</v>
      </c>
      <c r="I141" s="168">
        <v>116982.86172747239</v>
      </c>
      <c r="J141" s="168">
        <v>126864.88463709581</v>
      </c>
      <c r="K141" s="168">
        <v>137233.1215876971</v>
      </c>
      <c r="L141" s="169">
        <v>151943.2381704578</v>
      </c>
      <c r="M141" s="149"/>
      <c r="N141" s="170">
        <v>467.76016398962179</v>
      </c>
      <c r="O141" s="171">
        <v>504.40684690541423</v>
      </c>
      <c r="P141" s="171">
        <v>538.26119399586798</v>
      </c>
      <c r="Q141" s="171">
        <v>572.97034915371307</v>
      </c>
      <c r="R141" s="171">
        <v>602.40421713769183</v>
      </c>
      <c r="S141" s="163"/>
      <c r="T141" s="172">
        <v>467.76016398962179</v>
      </c>
      <c r="U141" s="173">
        <v>504.40684690541423</v>
      </c>
      <c r="V141" s="173">
        <v>538.26119399586798</v>
      </c>
      <c r="W141" s="173">
        <v>572.97034915371307</v>
      </c>
      <c r="X141" s="173">
        <v>602.40421713769183</v>
      </c>
      <c r="Y141" s="163"/>
      <c r="Z141" s="174">
        <v>0</v>
      </c>
      <c r="AA141" s="175">
        <v>0</v>
      </c>
      <c r="AB141" s="175">
        <v>0</v>
      </c>
      <c r="AC141" s="175">
        <v>0</v>
      </c>
      <c r="AD141" s="175">
        <v>0</v>
      </c>
      <c r="AE141" s="176"/>
      <c r="AF141" s="156"/>
    </row>
    <row r="142" spans="1:32" ht="13" x14ac:dyDescent="0.3">
      <c r="A142" s="164">
        <f t="shared" si="18"/>
        <v>14</v>
      </c>
      <c r="B142" s="52" t="s">
        <v>21</v>
      </c>
      <c r="C142" s="53"/>
      <c r="D142" s="177"/>
      <c r="E142" s="154"/>
      <c r="F142" s="178" t="s">
        <v>21</v>
      </c>
      <c r="G142" s="154"/>
      <c r="H142" s="167">
        <v>22844.02317563858</v>
      </c>
      <c r="I142" s="168">
        <v>24425.118678846949</v>
      </c>
      <c r="J142" s="168">
        <v>26147.812428159021</v>
      </c>
      <c r="K142" s="168">
        <v>28101.74915671839</v>
      </c>
      <c r="L142" s="169">
        <v>30933.40129641776</v>
      </c>
      <c r="M142" s="149"/>
      <c r="N142" s="179">
        <v>913.10536300380591</v>
      </c>
      <c r="O142" s="171">
        <v>972.98301475196922</v>
      </c>
      <c r="P142" s="171">
        <v>1026.581101827765</v>
      </c>
      <c r="Q142" s="171">
        <v>1078.132043989787</v>
      </c>
      <c r="R142" s="171">
        <v>1120.1286273162709</v>
      </c>
      <c r="S142" s="163"/>
      <c r="T142" s="172">
        <v>913.10536300380591</v>
      </c>
      <c r="U142" s="173">
        <v>972.98301475196922</v>
      </c>
      <c r="V142" s="173">
        <v>1026.581101827765</v>
      </c>
      <c r="W142" s="173">
        <v>1078.132043989787</v>
      </c>
      <c r="X142" s="173">
        <v>1120.1286273162709</v>
      </c>
      <c r="Y142" s="163"/>
      <c r="Z142" s="180">
        <v>0</v>
      </c>
      <c r="AA142" s="181">
        <v>0</v>
      </c>
      <c r="AB142" s="181">
        <v>0</v>
      </c>
      <c r="AC142" s="181">
        <v>0</v>
      </c>
      <c r="AD142" s="181">
        <v>0</v>
      </c>
      <c r="AE142" s="176"/>
      <c r="AF142" s="156"/>
    </row>
    <row r="143" spans="1:32" ht="13" x14ac:dyDescent="0.3">
      <c r="A143" s="164">
        <f t="shared" si="18"/>
        <v>14</v>
      </c>
      <c r="B143" s="52" t="s">
        <v>22</v>
      </c>
      <c r="C143" s="53"/>
      <c r="D143" s="177">
        <v>14</v>
      </c>
      <c r="E143" s="154"/>
      <c r="F143" s="182" t="s">
        <v>22</v>
      </c>
      <c r="G143" s="154"/>
      <c r="H143" s="167">
        <v>8137.9890348528697</v>
      </c>
      <c r="I143" s="168">
        <v>8912.981992701787</v>
      </c>
      <c r="J143" s="168">
        <v>9783.4596378173464</v>
      </c>
      <c r="K143" s="168">
        <v>10836.90240549016</v>
      </c>
      <c r="L143" s="169">
        <v>12270.683647955881</v>
      </c>
      <c r="M143" s="149"/>
      <c r="N143" s="179">
        <v>866.76867474541234</v>
      </c>
      <c r="O143" s="171">
        <v>919.8998276407624</v>
      </c>
      <c r="P143" s="171">
        <v>958.11362985626909</v>
      </c>
      <c r="Q143" s="171">
        <v>993.42442799138701</v>
      </c>
      <c r="R143" s="171">
        <v>1016.906561819536</v>
      </c>
      <c r="S143" s="163"/>
      <c r="T143" s="172">
        <v>866.76867474541234</v>
      </c>
      <c r="U143" s="173">
        <v>919.8998276407624</v>
      </c>
      <c r="V143" s="173">
        <v>958.11362985626909</v>
      </c>
      <c r="W143" s="173">
        <v>993.42442799138701</v>
      </c>
      <c r="X143" s="173">
        <v>1016.906561819536</v>
      </c>
      <c r="Y143" s="163"/>
      <c r="Z143" s="180">
        <v>0</v>
      </c>
      <c r="AA143" s="181">
        <v>0</v>
      </c>
      <c r="AB143" s="181">
        <v>0</v>
      </c>
      <c r="AC143" s="181">
        <v>0</v>
      </c>
      <c r="AD143" s="181">
        <v>0</v>
      </c>
      <c r="AE143" s="176"/>
      <c r="AF143" s="156"/>
    </row>
    <row r="144" spans="1:32" ht="13" x14ac:dyDescent="0.3">
      <c r="A144" s="164">
        <f t="shared" si="18"/>
        <v>14</v>
      </c>
      <c r="B144" s="52" t="s">
        <v>24</v>
      </c>
      <c r="C144" s="53"/>
      <c r="D144" s="177"/>
      <c r="E144" s="154"/>
      <c r="F144" s="183" t="s">
        <v>24</v>
      </c>
      <c r="G144" s="154"/>
      <c r="H144" s="184">
        <v>1760.481144683637</v>
      </c>
      <c r="I144" s="185">
        <v>1860.419473918638</v>
      </c>
      <c r="J144" s="185">
        <v>1944.3094559687311</v>
      </c>
      <c r="K144" s="185">
        <v>1823.789626062603</v>
      </c>
      <c r="L144" s="186">
        <v>2036.2430853801779</v>
      </c>
      <c r="M144" s="149"/>
      <c r="N144" s="187">
        <v>3966.754825953552</v>
      </c>
      <c r="O144" s="188">
        <v>4151.2187692559573</v>
      </c>
      <c r="P144" s="188">
        <v>4678.268091987562</v>
      </c>
      <c r="Q144" s="188">
        <v>5903.2263209092271</v>
      </c>
      <c r="R144" s="188">
        <v>6324.4827143287584</v>
      </c>
      <c r="S144" s="163"/>
      <c r="T144" s="189">
        <v>3966.754825953552</v>
      </c>
      <c r="U144" s="190">
        <v>4151.2187692559573</v>
      </c>
      <c r="V144" s="190">
        <v>4678.268091987562</v>
      </c>
      <c r="W144" s="190">
        <v>5903.2263209092271</v>
      </c>
      <c r="X144" s="190">
        <v>6324.4827143287584</v>
      </c>
      <c r="Y144" s="163"/>
      <c r="Z144" s="191">
        <v>0</v>
      </c>
      <c r="AA144" s="192">
        <v>0</v>
      </c>
      <c r="AB144" s="192">
        <v>0</v>
      </c>
      <c r="AC144" s="192">
        <v>0</v>
      </c>
      <c r="AD144" s="192">
        <v>0</v>
      </c>
      <c r="AE144" s="176"/>
      <c r="AF144" s="156"/>
    </row>
    <row r="145" spans="1:32" ht="13" x14ac:dyDescent="0.3">
      <c r="A145" s="164">
        <f t="shared" si="18"/>
        <v>14</v>
      </c>
      <c r="B145" s="56"/>
      <c r="C145" s="60"/>
      <c r="D145" s="193"/>
      <c r="E145" s="194"/>
      <c r="F145" s="195" t="s">
        <v>25</v>
      </c>
      <c r="G145" s="194"/>
      <c r="H145" s="196">
        <f>SUM(H141:H144)</f>
        <v>139180.48886348857</v>
      </c>
      <c r="I145" s="197">
        <f>SUM(I141:I144)</f>
        <v>152181.38187293979</v>
      </c>
      <c r="J145" s="197">
        <f>SUM(J141:J144)</f>
        <v>164740.46615904089</v>
      </c>
      <c r="K145" s="197">
        <f>SUM(K141:K144)</f>
        <v>177995.56277596828</v>
      </c>
      <c r="L145" s="198">
        <f>SUM(L141:L144)</f>
        <v>197183.56620021162</v>
      </c>
      <c r="M145" s="199"/>
      <c r="N145" s="200">
        <f>IF(H145=0,0,SUMPRODUCT(N141:N144,H141:H144)/H145)</f>
        <v>608.44451723775705</v>
      </c>
      <c r="O145" s="201">
        <f>IF(I145=0,0,SUMPRODUCT(O141:O144,I141:I144)/I145)</f>
        <v>648.53032385932659</v>
      </c>
      <c r="P145" s="201">
        <f>IF(J145=0,0,SUMPRODUCT(P141:P144,J141:J144)/J145)</f>
        <v>689.56318952671529</v>
      </c>
      <c r="Q145" s="201">
        <f>IF(K145=0,0,SUMPRODUCT(Q141:Q144,K141:K144)/K145)</f>
        <v>732.93845258112299</v>
      </c>
      <c r="R145" s="201">
        <f>IF(L145=0,0,SUMPRODUCT(R141:R144,L141:L144)/L145)</f>
        <v>768.50703944177906</v>
      </c>
      <c r="S145" s="202"/>
      <c r="T145" s="200">
        <f>IF(H145=0,0,SUMPRODUCT(T141:T144,H141:H144)/H145)</f>
        <v>608.44451723775705</v>
      </c>
      <c r="U145" s="201">
        <f>IF(I145=0,0,SUMPRODUCT(U141:U144,I141:I144)/I145)</f>
        <v>648.53032385932659</v>
      </c>
      <c r="V145" s="201">
        <f>IF(J145=0,0,SUMPRODUCT(V141:V144,J141:J144)/J145)</f>
        <v>689.56318952671529</v>
      </c>
      <c r="W145" s="201">
        <f>IF(K145=0,0,SUMPRODUCT(W141:W144,K141:K144)/K145)</f>
        <v>732.93845258112299</v>
      </c>
      <c r="X145" s="201">
        <f>IF(L145=0,0,SUMPRODUCT(X141:X144,L141:L144)/L145)</f>
        <v>768.50703944177906</v>
      </c>
      <c r="Y145" s="202"/>
      <c r="Z145" s="203">
        <f>SUM(Z141:Z144)</f>
        <v>0</v>
      </c>
      <c r="AA145" s="204">
        <f>SUM(AA141:AA144)</f>
        <v>0</v>
      </c>
      <c r="AB145" s="204">
        <f>SUM(AB141:AB144)</f>
        <v>0</v>
      </c>
      <c r="AC145" s="204">
        <f>SUM(AC141:AC144)</f>
        <v>0</v>
      </c>
      <c r="AD145" s="204">
        <f>SUM(AD141:AD144)</f>
        <v>0</v>
      </c>
      <c r="AE145" s="205"/>
      <c r="AF145" s="51"/>
    </row>
    <row r="146" spans="1:32" ht="15.65" customHeight="1" x14ac:dyDescent="0.3">
      <c r="A146" s="164">
        <f t="shared" si="18"/>
        <v>14</v>
      </c>
      <c r="B146" s="157"/>
      <c r="C146" s="148"/>
      <c r="D146" s="150"/>
      <c r="E146" s="206"/>
      <c r="F146" s="206"/>
      <c r="G146" s="206"/>
      <c r="H146" s="206"/>
      <c r="I146" s="206"/>
      <c r="J146" s="206"/>
      <c r="K146" s="206"/>
      <c r="L146" s="206"/>
      <c r="M146" s="206"/>
      <c r="N146" s="207">
        <f>SUM(N145*H145)</f>
        <v>84683605.355460331</v>
      </c>
      <c r="O146" s="207">
        <f>SUM(O145*I145)</f>
        <v>98694240.871417493</v>
      </c>
      <c r="P146" s="207">
        <f>SUM(P145*J145)</f>
        <v>113598961.28874615</v>
      </c>
      <c r="Q146" s="207">
        <f>SUM(Q145*K145)</f>
        <v>130459792.34732433</v>
      </c>
      <c r="R146" s="207">
        <f>SUM(R145*L145)</f>
        <v>151536958.68709669</v>
      </c>
      <c r="S146" s="208"/>
      <c r="T146" s="207">
        <f>SUM(T145*H145)</f>
        <v>84683605.355460331</v>
      </c>
      <c r="U146" s="207">
        <f>SUM(U145*I145)</f>
        <v>98694240.871417493</v>
      </c>
      <c r="V146" s="207">
        <f>SUM(V145*J145)</f>
        <v>113598961.28874615</v>
      </c>
      <c r="W146" s="207">
        <f>SUM(W145*K145)</f>
        <v>130459792.34732433</v>
      </c>
      <c r="X146" s="207">
        <f>SUM(X145*L145)</f>
        <v>151536958.68709669</v>
      </c>
      <c r="Y146" s="149"/>
      <c r="Z146" s="209">
        <f>IFERROR(Z145/SUMPRODUCT(N141:N144,H141:H144), 0)</f>
        <v>0</v>
      </c>
      <c r="AA146" s="209">
        <f>IFERROR(AA145/SUMPRODUCT(O141:O144,I141:I144), 0)</f>
        <v>0</v>
      </c>
      <c r="AB146" s="209">
        <f>IFERROR(AB145/SUMPRODUCT(P141:P144,J141:J144), 0)</f>
        <v>0</v>
      </c>
      <c r="AC146" s="209">
        <f>IFERROR(AC145/SUMPRODUCT(Q141:Q144,K141:K144), 0)</f>
        <v>0</v>
      </c>
      <c r="AD146" s="209">
        <f>IFERROR(AD145/SUMPRODUCT(R141:R144,L141:L144), 0)</f>
        <v>0</v>
      </c>
      <c r="AE146" s="210"/>
      <c r="AF146" s="156"/>
    </row>
    <row r="147" spans="1:32" ht="13" x14ac:dyDescent="0.3">
      <c r="A147" s="211">
        <f t="shared" si="18"/>
        <v>14</v>
      </c>
      <c r="B147" s="212"/>
      <c r="C147" s="148"/>
      <c r="D147" s="150"/>
      <c r="E147" s="206"/>
      <c r="F147" s="206"/>
      <c r="G147" s="206"/>
      <c r="H147" s="206"/>
      <c r="I147" s="206"/>
      <c r="J147" s="206"/>
      <c r="K147" s="206"/>
      <c r="L147" s="206"/>
      <c r="M147" s="206"/>
      <c r="N147" s="213"/>
      <c r="O147" s="206"/>
      <c r="P147" s="206"/>
      <c r="Q147" s="206"/>
      <c r="R147" s="214"/>
      <c r="S147" s="206"/>
      <c r="T147" s="206"/>
      <c r="U147" s="206"/>
      <c r="V147" s="206"/>
      <c r="W147" s="206"/>
      <c r="X147" s="206"/>
      <c r="Y147" s="149"/>
      <c r="Z147" s="210"/>
      <c r="AA147" s="210"/>
      <c r="AB147" s="210"/>
      <c r="AC147" s="210"/>
      <c r="AD147" s="215"/>
      <c r="AE147" s="210"/>
      <c r="AF147" s="156"/>
    </row>
    <row r="148" spans="1:32" ht="13" x14ac:dyDescent="0.3">
      <c r="A148" s="58">
        <v>15</v>
      </c>
      <c r="B148" s="147"/>
      <c r="C148" s="148"/>
      <c r="D148" s="149"/>
      <c r="E148" s="149"/>
      <c r="F148" s="150"/>
      <c r="G148" s="149"/>
      <c r="H148" s="151" t="s">
        <v>10</v>
      </c>
      <c r="I148" s="152"/>
      <c r="J148" s="152"/>
      <c r="K148" s="152"/>
      <c r="L148" s="153"/>
      <c r="M148" s="149"/>
      <c r="N148" s="151" t="s">
        <v>11</v>
      </c>
      <c r="O148" s="152"/>
      <c r="P148" s="152"/>
      <c r="Q148" s="152"/>
      <c r="R148" s="153"/>
      <c r="S148" s="154"/>
      <c r="T148" s="151" t="s">
        <v>12</v>
      </c>
      <c r="U148" s="152"/>
      <c r="V148" s="152"/>
      <c r="W148" s="152"/>
      <c r="X148" s="153"/>
      <c r="Y148" s="154"/>
      <c r="Z148" s="151" t="s">
        <v>13</v>
      </c>
      <c r="AA148" s="152"/>
      <c r="AB148" s="152"/>
      <c r="AC148" s="152"/>
      <c r="AD148" s="153"/>
      <c r="AE148" s="155"/>
      <c r="AF148" s="156"/>
    </row>
    <row r="149" spans="1:32" ht="13" x14ac:dyDescent="0.3">
      <c r="A149" s="59">
        <f t="shared" ref="A149:A156" si="19">A148</f>
        <v>15</v>
      </c>
      <c r="B149" s="157"/>
      <c r="C149" s="148"/>
      <c r="D149" s="149"/>
      <c r="E149" s="158"/>
      <c r="F149" s="159" t="s">
        <v>41</v>
      </c>
      <c r="G149" s="154"/>
      <c r="H149" s="160" t="s">
        <v>15</v>
      </c>
      <c r="I149" s="161" t="s">
        <v>16</v>
      </c>
      <c r="J149" s="161" t="s">
        <v>17</v>
      </c>
      <c r="K149" s="161" t="s">
        <v>18</v>
      </c>
      <c r="L149" s="162" t="s">
        <v>19</v>
      </c>
      <c r="M149" s="149"/>
      <c r="N149" s="160" t="s">
        <v>15</v>
      </c>
      <c r="O149" s="161" t="s">
        <v>16</v>
      </c>
      <c r="P149" s="161" t="s">
        <v>17</v>
      </c>
      <c r="Q149" s="161" t="s">
        <v>18</v>
      </c>
      <c r="R149" s="161" t="s">
        <v>19</v>
      </c>
      <c r="S149" s="163"/>
      <c r="T149" s="160" t="s">
        <v>15</v>
      </c>
      <c r="U149" s="161" t="s">
        <v>16</v>
      </c>
      <c r="V149" s="161" t="s">
        <v>17</v>
      </c>
      <c r="W149" s="161" t="s">
        <v>18</v>
      </c>
      <c r="X149" s="161" t="s">
        <v>19</v>
      </c>
      <c r="Y149" s="163"/>
      <c r="Z149" s="160" t="s">
        <v>15</v>
      </c>
      <c r="AA149" s="161" t="s">
        <v>16</v>
      </c>
      <c r="AB149" s="161" t="s">
        <v>17</v>
      </c>
      <c r="AC149" s="161" t="s">
        <v>18</v>
      </c>
      <c r="AD149" s="161" t="s">
        <v>19</v>
      </c>
      <c r="AE149" s="155"/>
      <c r="AF149" s="156"/>
    </row>
    <row r="150" spans="1:32" ht="13" x14ac:dyDescent="0.3">
      <c r="A150" s="164">
        <f t="shared" si="19"/>
        <v>15</v>
      </c>
      <c r="B150" s="52" t="s">
        <v>20</v>
      </c>
      <c r="C150" s="53"/>
      <c r="D150" s="165"/>
      <c r="E150" s="154"/>
      <c r="F150" s="166" t="s">
        <v>20</v>
      </c>
      <c r="G150" s="154"/>
      <c r="H150" s="167">
        <v>89688.350214319144</v>
      </c>
      <c r="I150" s="168">
        <v>98820.808783255736</v>
      </c>
      <c r="J150" s="168">
        <v>106838.638771253</v>
      </c>
      <c r="K150" s="168">
        <v>114712.31946317961</v>
      </c>
      <c r="L150" s="169">
        <v>126042.9684777896</v>
      </c>
      <c r="M150" s="149"/>
      <c r="N150" s="170">
        <v>511.52705189586351</v>
      </c>
      <c r="O150" s="171">
        <v>551.81626462419968</v>
      </c>
      <c r="P150" s="171">
        <v>592.36208332035869</v>
      </c>
      <c r="Q150" s="171">
        <v>635.97183379700141</v>
      </c>
      <c r="R150" s="171">
        <v>674.13274280869996</v>
      </c>
      <c r="S150" s="163"/>
      <c r="T150" s="172">
        <v>511.52705189586351</v>
      </c>
      <c r="U150" s="173">
        <v>551.81626462419968</v>
      </c>
      <c r="V150" s="173">
        <v>592.36208332035869</v>
      </c>
      <c r="W150" s="173">
        <v>635.97183379700141</v>
      </c>
      <c r="X150" s="173">
        <v>674.13274280869996</v>
      </c>
      <c r="Y150" s="163"/>
      <c r="Z150" s="174">
        <v>0</v>
      </c>
      <c r="AA150" s="175">
        <v>0</v>
      </c>
      <c r="AB150" s="175">
        <v>0</v>
      </c>
      <c r="AC150" s="175">
        <v>0</v>
      </c>
      <c r="AD150" s="175">
        <v>0</v>
      </c>
      <c r="AE150" s="176"/>
      <c r="AF150" s="156"/>
    </row>
    <row r="151" spans="1:32" ht="13" x14ac:dyDescent="0.3">
      <c r="A151" s="164">
        <f t="shared" si="19"/>
        <v>15</v>
      </c>
      <c r="B151" s="52" t="s">
        <v>21</v>
      </c>
      <c r="C151" s="53"/>
      <c r="D151" s="177"/>
      <c r="E151" s="154"/>
      <c r="F151" s="178" t="s">
        <v>21</v>
      </c>
      <c r="G151" s="154"/>
      <c r="H151" s="167">
        <v>13905.26828886898</v>
      </c>
      <c r="I151" s="168">
        <v>14900.744747582879</v>
      </c>
      <c r="J151" s="168">
        <v>15871.62972199817</v>
      </c>
      <c r="K151" s="168">
        <v>16842.746543631489</v>
      </c>
      <c r="L151" s="169">
        <v>18367.877225775199</v>
      </c>
      <c r="M151" s="149"/>
      <c r="N151" s="179">
        <v>1092.067296088687</v>
      </c>
      <c r="O151" s="171">
        <v>1167.166650911297</v>
      </c>
      <c r="P151" s="171">
        <v>1244.080150660179</v>
      </c>
      <c r="Q151" s="171">
        <v>1323.308369036848</v>
      </c>
      <c r="R151" s="171">
        <v>1386.4733907344089</v>
      </c>
      <c r="S151" s="163"/>
      <c r="T151" s="172">
        <v>1092.067296088687</v>
      </c>
      <c r="U151" s="173">
        <v>1167.166650911297</v>
      </c>
      <c r="V151" s="173">
        <v>1244.080150660179</v>
      </c>
      <c r="W151" s="173">
        <v>1323.308369036848</v>
      </c>
      <c r="X151" s="173">
        <v>1386.4733907344089</v>
      </c>
      <c r="Y151" s="163"/>
      <c r="Z151" s="180">
        <v>0</v>
      </c>
      <c r="AA151" s="181">
        <v>0</v>
      </c>
      <c r="AB151" s="181">
        <v>0</v>
      </c>
      <c r="AC151" s="181">
        <v>0</v>
      </c>
      <c r="AD151" s="181">
        <v>0</v>
      </c>
      <c r="AE151" s="176"/>
      <c r="AF151" s="156"/>
    </row>
    <row r="152" spans="1:32" ht="13" x14ac:dyDescent="0.3">
      <c r="A152" s="164">
        <f t="shared" si="19"/>
        <v>15</v>
      </c>
      <c r="B152" s="52" t="s">
        <v>22</v>
      </c>
      <c r="C152" s="53"/>
      <c r="D152" s="177">
        <v>15</v>
      </c>
      <c r="E152" s="154"/>
      <c r="F152" s="182" t="s">
        <v>22</v>
      </c>
      <c r="G152" s="154"/>
      <c r="H152" s="167">
        <v>5330.527919748909</v>
      </c>
      <c r="I152" s="168">
        <v>5745.1006263258296</v>
      </c>
      <c r="J152" s="168">
        <v>6127.2925582219596</v>
      </c>
      <c r="K152" s="168">
        <v>6522.1939353039124</v>
      </c>
      <c r="L152" s="169">
        <v>7060.7318577643409</v>
      </c>
      <c r="M152" s="149"/>
      <c r="N152" s="179">
        <v>1060.6595706343369</v>
      </c>
      <c r="O152" s="171">
        <v>1145.4128559333981</v>
      </c>
      <c r="P152" s="171">
        <v>1226.2936610594941</v>
      </c>
      <c r="Q152" s="171">
        <v>1317.7238442227699</v>
      </c>
      <c r="R152" s="171">
        <v>1402.1413491004121</v>
      </c>
      <c r="S152" s="163"/>
      <c r="T152" s="172">
        <v>1060.6595706343369</v>
      </c>
      <c r="U152" s="173">
        <v>1145.4128559333981</v>
      </c>
      <c r="V152" s="173">
        <v>1226.2936610594941</v>
      </c>
      <c r="W152" s="173">
        <v>1317.7238442227699</v>
      </c>
      <c r="X152" s="173">
        <v>1402.1413491004121</v>
      </c>
      <c r="Y152" s="163"/>
      <c r="Z152" s="180">
        <v>0</v>
      </c>
      <c r="AA152" s="181">
        <v>0</v>
      </c>
      <c r="AB152" s="181">
        <v>0</v>
      </c>
      <c r="AC152" s="181">
        <v>0</v>
      </c>
      <c r="AD152" s="181">
        <v>0</v>
      </c>
      <c r="AE152" s="176"/>
      <c r="AF152" s="156"/>
    </row>
    <row r="153" spans="1:32" ht="13" x14ac:dyDescent="0.3">
      <c r="A153" s="164">
        <f t="shared" si="19"/>
        <v>15</v>
      </c>
      <c r="B153" s="52" t="s">
        <v>24</v>
      </c>
      <c r="C153" s="53"/>
      <c r="D153" s="177"/>
      <c r="E153" s="154"/>
      <c r="F153" s="183" t="s">
        <v>24</v>
      </c>
      <c r="G153" s="154"/>
      <c r="H153" s="184">
        <v>9319.2143562094752</v>
      </c>
      <c r="I153" s="185">
        <v>10443.87129089615</v>
      </c>
      <c r="J153" s="185">
        <v>11625.64665975332</v>
      </c>
      <c r="K153" s="185">
        <v>13158.60274424099</v>
      </c>
      <c r="L153" s="186">
        <v>14971.20623549113</v>
      </c>
      <c r="M153" s="149"/>
      <c r="N153" s="187">
        <v>6308.7661114724096</v>
      </c>
      <c r="O153" s="188">
        <v>6583.2912219989084</v>
      </c>
      <c r="P153" s="188">
        <v>6970.3933556457541</v>
      </c>
      <c r="Q153" s="188">
        <v>7285.3791762084766</v>
      </c>
      <c r="R153" s="188">
        <v>7629.8068055499452</v>
      </c>
      <c r="S153" s="163"/>
      <c r="T153" s="189">
        <v>6308.7661114724096</v>
      </c>
      <c r="U153" s="190">
        <v>6583.2912219989084</v>
      </c>
      <c r="V153" s="190">
        <v>6970.3933556457541</v>
      </c>
      <c r="W153" s="190">
        <v>7285.3791762084766</v>
      </c>
      <c r="X153" s="190">
        <v>7629.8068055499452</v>
      </c>
      <c r="Y153" s="163"/>
      <c r="Z153" s="191">
        <v>0</v>
      </c>
      <c r="AA153" s="192">
        <v>0</v>
      </c>
      <c r="AB153" s="192">
        <v>0</v>
      </c>
      <c r="AC153" s="192">
        <v>0</v>
      </c>
      <c r="AD153" s="192">
        <v>0</v>
      </c>
      <c r="AE153" s="176"/>
      <c r="AF153" s="156"/>
    </row>
    <row r="154" spans="1:32" ht="13" x14ac:dyDescent="0.3">
      <c r="A154" s="164">
        <f t="shared" si="19"/>
        <v>15</v>
      </c>
      <c r="B154" s="56"/>
      <c r="C154" s="60"/>
      <c r="D154" s="193"/>
      <c r="E154" s="194"/>
      <c r="F154" s="195" t="s">
        <v>25</v>
      </c>
      <c r="G154" s="194"/>
      <c r="H154" s="196">
        <f>SUM(H150:H153)</f>
        <v>118243.3607791465</v>
      </c>
      <c r="I154" s="197">
        <f>SUM(I150:I153)</f>
        <v>129910.52544806059</v>
      </c>
      <c r="J154" s="197">
        <f>SUM(J150:J153)</f>
        <v>140463.20771122645</v>
      </c>
      <c r="K154" s="197">
        <f>SUM(K150:K153)</f>
        <v>151235.86268635601</v>
      </c>
      <c r="L154" s="198">
        <f>SUM(L150:L153)</f>
        <v>166442.78379682027</v>
      </c>
      <c r="M154" s="199"/>
      <c r="N154" s="200">
        <f>IF(H154=0,0,SUMPRODUCT(N150:N153,H150:H153)/H154)</f>
        <v>1061.456004461767</v>
      </c>
      <c r="O154" s="201">
        <f>IF(I154=0,0,SUMPRODUCT(O150:O153,I150:I153)/I154)</f>
        <v>1133.5350982086645</v>
      </c>
      <c r="P154" s="201">
        <f>IF(J154=0,0,SUMPRODUCT(P150:P153,J150:J153)/J154)</f>
        <v>1221.5435713671056</v>
      </c>
      <c r="Q154" s="201">
        <f>IF(K154=0,0,SUMPRODUCT(Q150:Q153,K150:K153)/K154)</f>
        <v>1320.4659858165001</v>
      </c>
      <c r="R154" s="201">
        <f>IF(L154=0,0,SUMPRODUCT(R150:R153,L150:L153)/L154)</f>
        <v>1409.27599884028</v>
      </c>
      <c r="S154" s="202"/>
      <c r="T154" s="200">
        <f>IF(H154=0,0,SUMPRODUCT(T150:T153,H150:H153)/H154)</f>
        <v>1061.456004461767</v>
      </c>
      <c r="U154" s="201">
        <f>IF(I154=0,0,SUMPRODUCT(U150:U153,I150:I153)/I154)</f>
        <v>1133.5350982086645</v>
      </c>
      <c r="V154" s="201">
        <f>IF(J154=0,0,SUMPRODUCT(V150:V153,J150:J153)/J154)</f>
        <v>1221.5435713671056</v>
      </c>
      <c r="W154" s="201">
        <f>IF(K154=0,0,SUMPRODUCT(W150:W153,K150:K153)/K154)</f>
        <v>1320.4659858165001</v>
      </c>
      <c r="X154" s="201">
        <f>IF(L154=0,0,SUMPRODUCT(X150:X153,L150:L153)/L154)</f>
        <v>1409.27599884028</v>
      </c>
      <c r="Y154" s="202"/>
      <c r="Z154" s="203">
        <f>SUM(Z150:Z153)</f>
        <v>0</v>
      </c>
      <c r="AA154" s="204">
        <f>SUM(AA150:AA153)</f>
        <v>0</v>
      </c>
      <c r="AB154" s="204">
        <f>SUM(AB150:AB153)</f>
        <v>0</v>
      </c>
      <c r="AC154" s="204">
        <f>SUM(AC150:AC153)</f>
        <v>0</v>
      </c>
      <c r="AD154" s="204">
        <f>SUM(AD150:AD153)</f>
        <v>0</v>
      </c>
      <c r="AE154" s="205"/>
      <c r="AF154" s="51"/>
    </row>
    <row r="155" spans="1:32" ht="15.65" customHeight="1" x14ac:dyDescent="0.3">
      <c r="A155" s="164">
        <f t="shared" si="19"/>
        <v>15</v>
      </c>
      <c r="B155" s="157"/>
      <c r="C155" s="148"/>
      <c r="D155" s="150"/>
      <c r="E155" s="206"/>
      <c r="F155" s="206"/>
      <c r="G155" s="206"/>
      <c r="H155" s="206"/>
      <c r="I155" s="206"/>
      <c r="J155" s="206"/>
      <c r="K155" s="206"/>
      <c r="L155" s="206"/>
      <c r="M155" s="206"/>
      <c r="N155" s="207">
        <f>SUM(N154*H154)</f>
        <v>125510125.28676406</v>
      </c>
      <c r="O155" s="207">
        <f>SUM(O154*I154)</f>
        <v>147258140.22210658</v>
      </c>
      <c r="P155" s="207">
        <f>SUM(P154*J154)</f>
        <v>171581928.39325112</v>
      </c>
      <c r="Q155" s="207">
        <f>SUM(Q154*K154)</f>
        <v>199701812.51294792</v>
      </c>
      <c r="R155" s="207">
        <f>SUM(R154*L154)</f>
        <v>234563820.38502064</v>
      </c>
      <c r="S155" s="208"/>
      <c r="T155" s="207">
        <f>SUM(T154*H154)</f>
        <v>125510125.28676406</v>
      </c>
      <c r="U155" s="207">
        <f>SUM(U154*I154)</f>
        <v>147258140.22210658</v>
      </c>
      <c r="V155" s="207">
        <f>SUM(V154*J154)</f>
        <v>171581928.39325112</v>
      </c>
      <c r="W155" s="207">
        <f>SUM(W154*K154)</f>
        <v>199701812.51294792</v>
      </c>
      <c r="X155" s="207">
        <f>SUM(X154*L154)</f>
        <v>234563820.38502064</v>
      </c>
      <c r="Y155" s="149"/>
      <c r="Z155" s="209">
        <f>IFERROR(Z154/SUMPRODUCT(N150:N153,H150:H153), 0)</f>
        <v>0</v>
      </c>
      <c r="AA155" s="209">
        <f>IFERROR(AA154/SUMPRODUCT(O150:O153,I150:I153), 0)</f>
        <v>0</v>
      </c>
      <c r="AB155" s="209">
        <f>IFERROR(AB154/SUMPRODUCT(P150:P153,J150:J153), 0)</f>
        <v>0</v>
      </c>
      <c r="AC155" s="209">
        <f>IFERROR(AC154/SUMPRODUCT(Q150:Q153,K150:K153), 0)</f>
        <v>0</v>
      </c>
      <c r="AD155" s="209">
        <f>IFERROR(AD154/SUMPRODUCT(R150:R153,L150:L153), 0)</f>
        <v>0</v>
      </c>
      <c r="AE155" s="210"/>
      <c r="AF155" s="156"/>
    </row>
    <row r="156" spans="1:32" ht="13" x14ac:dyDescent="0.3">
      <c r="A156" s="211">
        <f t="shared" si="19"/>
        <v>15</v>
      </c>
      <c r="B156" s="212"/>
      <c r="C156" s="148"/>
      <c r="D156" s="150"/>
      <c r="E156" s="206"/>
      <c r="F156" s="206"/>
      <c r="G156" s="206"/>
      <c r="H156" s="206"/>
      <c r="I156" s="206"/>
      <c r="J156" s="206"/>
      <c r="K156" s="206"/>
      <c r="L156" s="206"/>
      <c r="M156" s="206"/>
      <c r="N156" s="213"/>
      <c r="O156" s="206"/>
      <c r="P156" s="206"/>
      <c r="Q156" s="206"/>
      <c r="R156" s="214"/>
      <c r="S156" s="206"/>
      <c r="T156" s="206"/>
      <c r="U156" s="206"/>
      <c r="V156" s="206"/>
      <c r="W156" s="206"/>
      <c r="X156" s="206"/>
      <c r="Y156" s="149"/>
      <c r="Z156" s="210"/>
      <c r="AA156" s="210"/>
      <c r="AB156" s="210"/>
      <c r="AC156" s="210"/>
      <c r="AD156" s="215"/>
      <c r="AE156" s="210"/>
      <c r="AF156" s="156"/>
    </row>
    <row r="157" spans="1:32" ht="13" x14ac:dyDescent="0.3">
      <c r="A157" s="58">
        <v>16</v>
      </c>
      <c r="B157" s="147"/>
      <c r="C157" s="148"/>
      <c r="D157" s="149"/>
      <c r="E157" s="149"/>
      <c r="F157" s="150"/>
      <c r="G157" s="149"/>
      <c r="H157" s="151" t="s">
        <v>10</v>
      </c>
      <c r="I157" s="152"/>
      <c r="J157" s="152"/>
      <c r="K157" s="152"/>
      <c r="L157" s="153"/>
      <c r="M157" s="149"/>
      <c r="N157" s="151" t="s">
        <v>11</v>
      </c>
      <c r="O157" s="152"/>
      <c r="P157" s="152"/>
      <c r="Q157" s="152"/>
      <c r="R157" s="153"/>
      <c r="S157" s="154"/>
      <c r="T157" s="151" t="s">
        <v>12</v>
      </c>
      <c r="U157" s="152"/>
      <c r="V157" s="152"/>
      <c r="W157" s="152"/>
      <c r="X157" s="153"/>
      <c r="Y157" s="154"/>
      <c r="Z157" s="151" t="s">
        <v>13</v>
      </c>
      <c r="AA157" s="152"/>
      <c r="AB157" s="152"/>
      <c r="AC157" s="152"/>
      <c r="AD157" s="153"/>
      <c r="AE157" s="155"/>
      <c r="AF157" s="156"/>
    </row>
    <row r="158" spans="1:32" ht="13" x14ac:dyDescent="0.3">
      <c r="A158" s="59">
        <f t="shared" ref="A158:A165" si="20">A157</f>
        <v>16</v>
      </c>
      <c r="B158" s="157"/>
      <c r="C158" s="148"/>
      <c r="D158" s="149"/>
      <c r="E158" s="158"/>
      <c r="F158" s="159" t="s">
        <v>42</v>
      </c>
      <c r="G158" s="154"/>
      <c r="H158" s="160" t="s">
        <v>15</v>
      </c>
      <c r="I158" s="161" t="s">
        <v>16</v>
      </c>
      <c r="J158" s="161" t="s">
        <v>17</v>
      </c>
      <c r="K158" s="161" t="s">
        <v>18</v>
      </c>
      <c r="L158" s="162" t="s">
        <v>19</v>
      </c>
      <c r="M158" s="149"/>
      <c r="N158" s="160" t="s">
        <v>15</v>
      </c>
      <c r="O158" s="161" t="s">
        <v>16</v>
      </c>
      <c r="P158" s="161" t="s">
        <v>17</v>
      </c>
      <c r="Q158" s="161" t="s">
        <v>18</v>
      </c>
      <c r="R158" s="161" t="s">
        <v>19</v>
      </c>
      <c r="S158" s="163"/>
      <c r="T158" s="160" t="s">
        <v>15</v>
      </c>
      <c r="U158" s="161" t="s">
        <v>16</v>
      </c>
      <c r="V158" s="161" t="s">
        <v>17</v>
      </c>
      <c r="W158" s="161" t="s">
        <v>18</v>
      </c>
      <c r="X158" s="161" t="s">
        <v>19</v>
      </c>
      <c r="Y158" s="163"/>
      <c r="Z158" s="160" t="s">
        <v>15</v>
      </c>
      <c r="AA158" s="161" t="s">
        <v>16</v>
      </c>
      <c r="AB158" s="161" t="s">
        <v>17</v>
      </c>
      <c r="AC158" s="161" t="s">
        <v>18</v>
      </c>
      <c r="AD158" s="161" t="s">
        <v>19</v>
      </c>
      <c r="AE158" s="155"/>
      <c r="AF158" s="156"/>
    </row>
    <row r="159" spans="1:32" ht="13" x14ac:dyDescent="0.3">
      <c r="A159" s="164">
        <f t="shared" si="20"/>
        <v>16</v>
      </c>
      <c r="B159" s="52" t="s">
        <v>20</v>
      </c>
      <c r="C159" s="53"/>
      <c r="D159" s="165"/>
      <c r="E159" s="154"/>
      <c r="F159" s="166" t="s">
        <v>20</v>
      </c>
      <c r="G159" s="154"/>
      <c r="H159" s="167">
        <v>93756.681961825801</v>
      </c>
      <c r="I159" s="168">
        <v>100529.0639658555</v>
      </c>
      <c r="J159" s="168">
        <v>106909.60848483771</v>
      </c>
      <c r="K159" s="168">
        <v>114781.7394171515</v>
      </c>
      <c r="L159" s="169">
        <v>126111.11819998181</v>
      </c>
      <c r="M159" s="149"/>
      <c r="N159" s="170">
        <v>581.36649384271982</v>
      </c>
      <c r="O159" s="171">
        <v>630.59532167484963</v>
      </c>
      <c r="P159" s="171">
        <v>678.31470769163877</v>
      </c>
      <c r="Q159" s="171">
        <v>725.4415019601588</v>
      </c>
      <c r="R159" s="171">
        <v>767.29848413365391</v>
      </c>
      <c r="S159" s="163"/>
      <c r="T159" s="172">
        <v>581.36649384271982</v>
      </c>
      <c r="U159" s="173">
        <v>630.59532167484963</v>
      </c>
      <c r="V159" s="173">
        <v>678.31470769163877</v>
      </c>
      <c r="W159" s="173">
        <v>725.4415019601588</v>
      </c>
      <c r="X159" s="173">
        <v>767.29848413365391</v>
      </c>
      <c r="Y159" s="163"/>
      <c r="Z159" s="174">
        <v>0</v>
      </c>
      <c r="AA159" s="175">
        <v>0</v>
      </c>
      <c r="AB159" s="175">
        <v>0</v>
      </c>
      <c r="AC159" s="175">
        <v>0</v>
      </c>
      <c r="AD159" s="175">
        <v>0</v>
      </c>
      <c r="AE159" s="176"/>
      <c r="AF159" s="156"/>
    </row>
    <row r="160" spans="1:32" ht="13" x14ac:dyDescent="0.3">
      <c r="A160" s="164">
        <f t="shared" si="20"/>
        <v>16</v>
      </c>
      <c r="B160" s="52" t="s">
        <v>21</v>
      </c>
      <c r="C160" s="53"/>
      <c r="D160" s="177"/>
      <c r="E160" s="154"/>
      <c r="F160" s="178" t="s">
        <v>21</v>
      </c>
      <c r="G160" s="154"/>
      <c r="H160" s="167">
        <v>15277.854161120331</v>
      </c>
      <c r="I160" s="168">
        <v>15481.17042284837</v>
      </c>
      <c r="J160" s="168">
        <v>15903.04720131097</v>
      </c>
      <c r="K160" s="168">
        <v>16875.277464958392</v>
      </c>
      <c r="L160" s="169">
        <v>18401.78440456944</v>
      </c>
      <c r="M160" s="149"/>
      <c r="N160" s="179">
        <v>1768.9644180387779</v>
      </c>
      <c r="O160" s="171">
        <v>1931.935553511433</v>
      </c>
      <c r="P160" s="171">
        <v>2092.2899119948602</v>
      </c>
      <c r="Q160" s="171">
        <v>2225.3736280486669</v>
      </c>
      <c r="R160" s="171">
        <v>2334.659813666658</v>
      </c>
      <c r="S160" s="163"/>
      <c r="T160" s="172">
        <v>1768.9644180387779</v>
      </c>
      <c r="U160" s="173">
        <v>1931.935553511433</v>
      </c>
      <c r="V160" s="173">
        <v>2092.2899119948602</v>
      </c>
      <c r="W160" s="173">
        <v>2225.3736280486669</v>
      </c>
      <c r="X160" s="173">
        <v>2334.659813666658</v>
      </c>
      <c r="Y160" s="163"/>
      <c r="Z160" s="180">
        <v>0</v>
      </c>
      <c r="AA160" s="181">
        <v>0</v>
      </c>
      <c r="AB160" s="181">
        <v>0</v>
      </c>
      <c r="AC160" s="181">
        <v>0</v>
      </c>
      <c r="AD160" s="181">
        <v>0</v>
      </c>
      <c r="AE160" s="176"/>
      <c r="AF160" s="156"/>
    </row>
    <row r="161" spans="1:32" ht="13" x14ac:dyDescent="0.3">
      <c r="A161" s="164">
        <f t="shared" si="20"/>
        <v>16</v>
      </c>
      <c r="B161" s="52" t="s">
        <v>22</v>
      </c>
      <c r="C161" s="53"/>
      <c r="D161" s="177">
        <v>16</v>
      </c>
      <c r="E161" s="154"/>
      <c r="F161" s="182" t="s">
        <v>22</v>
      </c>
      <c r="G161" s="154"/>
      <c r="H161" s="167">
        <v>5543.3001855993498</v>
      </c>
      <c r="I161" s="168">
        <v>5839.9131527088466</v>
      </c>
      <c r="J161" s="168">
        <v>6140.1240410291284</v>
      </c>
      <c r="K161" s="168">
        <v>6534.4384963531611</v>
      </c>
      <c r="L161" s="169">
        <v>7072.4163315057194</v>
      </c>
      <c r="M161" s="149"/>
      <c r="N161" s="179">
        <v>1886.9313985705819</v>
      </c>
      <c r="O161" s="171">
        <v>2057.4717640794929</v>
      </c>
      <c r="P161" s="171">
        <v>2237.3388724258321</v>
      </c>
      <c r="Q161" s="171">
        <v>2422.1086220798679</v>
      </c>
      <c r="R161" s="171">
        <v>2599.8639682591361</v>
      </c>
      <c r="S161" s="163"/>
      <c r="T161" s="172">
        <v>1886.9313985705819</v>
      </c>
      <c r="U161" s="173">
        <v>2057.4717640794929</v>
      </c>
      <c r="V161" s="173">
        <v>2237.3388724258321</v>
      </c>
      <c r="W161" s="173">
        <v>2422.1086220798679</v>
      </c>
      <c r="X161" s="173">
        <v>2599.8639682591361</v>
      </c>
      <c r="Y161" s="163"/>
      <c r="Z161" s="180">
        <v>0</v>
      </c>
      <c r="AA161" s="181">
        <v>0</v>
      </c>
      <c r="AB161" s="181">
        <v>0</v>
      </c>
      <c r="AC161" s="181">
        <v>0</v>
      </c>
      <c r="AD161" s="181">
        <v>0</v>
      </c>
      <c r="AE161" s="176"/>
      <c r="AF161" s="156"/>
    </row>
    <row r="162" spans="1:32" ht="13" x14ac:dyDescent="0.3">
      <c r="A162" s="164">
        <f t="shared" si="20"/>
        <v>16</v>
      </c>
      <c r="B162" s="52" t="s">
        <v>24</v>
      </c>
      <c r="C162" s="53"/>
      <c r="D162" s="177"/>
      <c r="E162" s="154"/>
      <c r="F162" s="183" t="s">
        <v>24</v>
      </c>
      <c r="G162" s="154"/>
      <c r="H162" s="184">
        <v>9319.2143562094752</v>
      </c>
      <c r="I162" s="185">
        <v>10443.87129089615</v>
      </c>
      <c r="J162" s="185">
        <v>11625.64665975332</v>
      </c>
      <c r="K162" s="185">
        <v>13158.60274424099</v>
      </c>
      <c r="L162" s="186">
        <v>14971.20623549113</v>
      </c>
      <c r="M162" s="149"/>
      <c r="N162" s="187">
        <v>7705.5124877616272</v>
      </c>
      <c r="O162" s="188">
        <v>7931.8158434537772</v>
      </c>
      <c r="P162" s="188">
        <v>8280.6490277554349</v>
      </c>
      <c r="Q162" s="188">
        <v>8462.3815186705397</v>
      </c>
      <c r="R162" s="188">
        <v>8736.4093623498102</v>
      </c>
      <c r="S162" s="163"/>
      <c r="T162" s="189">
        <v>7705.5124877616272</v>
      </c>
      <c r="U162" s="190">
        <v>7931.8158434537772</v>
      </c>
      <c r="V162" s="190">
        <v>8280.6490277554349</v>
      </c>
      <c r="W162" s="190">
        <v>8462.3815186705397</v>
      </c>
      <c r="X162" s="190">
        <v>8736.4093623498102</v>
      </c>
      <c r="Y162" s="163"/>
      <c r="Z162" s="191">
        <v>0</v>
      </c>
      <c r="AA162" s="192">
        <v>0</v>
      </c>
      <c r="AB162" s="192">
        <v>0</v>
      </c>
      <c r="AC162" s="192">
        <v>0</v>
      </c>
      <c r="AD162" s="192">
        <v>0</v>
      </c>
      <c r="AE162" s="176"/>
      <c r="AF162" s="156"/>
    </row>
    <row r="163" spans="1:32" ht="13" x14ac:dyDescent="0.3">
      <c r="A163" s="164">
        <f t="shared" si="20"/>
        <v>16</v>
      </c>
      <c r="B163" s="56"/>
      <c r="C163" s="60"/>
      <c r="D163" s="193"/>
      <c r="E163" s="194"/>
      <c r="F163" s="195" t="s">
        <v>25</v>
      </c>
      <c r="G163" s="194"/>
      <c r="H163" s="196">
        <f>SUM(H159:H162)</f>
        <v>123897.05066475495</v>
      </c>
      <c r="I163" s="197">
        <f>SUM(I159:I162)</f>
        <v>132294.01883230888</v>
      </c>
      <c r="J163" s="197">
        <f>SUM(J159:J162)</f>
        <v>140578.42638693113</v>
      </c>
      <c r="K163" s="197">
        <f>SUM(K159:K162)</f>
        <v>151350.05812270404</v>
      </c>
      <c r="L163" s="198">
        <f>SUM(L159:L162)</f>
        <v>166556.5251715481</v>
      </c>
      <c r="M163" s="199"/>
      <c r="N163" s="200">
        <f>IF(H163=0,0,SUMPRODUCT(N159:N162,H159:H162)/H163)</f>
        <v>1322.0825092480359</v>
      </c>
      <c r="O163" s="201">
        <f>IF(I163=0,0,SUMPRODUCT(O159:O162,I159:I162)/I163)</f>
        <v>1422.2570515911796</v>
      </c>
      <c r="P163" s="201">
        <f>IF(J163=0,0,SUMPRODUCT(P159:P162,J159:J162)/J163)</f>
        <v>1535.0689896951947</v>
      </c>
      <c r="Q163" s="201">
        <f>IF(K163=0,0,SUMPRODUCT(Q159:Q162,K159:K162)/K163)</f>
        <v>1638.5951512003919</v>
      </c>
      <c r="R163" s="201">
        <f>IF(L163=0,0,SUMPRODUCT(R159:R162,L159:L162)/L163)</f>
        <v>1734.5984060907183</v>
      </c>
      <c r="S163" s="202"/>
      <c r="T163" s="200">
        <f>IF(H163=0,0,SUMPRODUCT(T159:T162,H159:H162)/H163)</f>
        <v>1322.0825092480359</v>
      </c>
      <c r="U163" s="201">
        <f>IF(I163=0,0,SUMPRODUCT(U159:U162,I159:I162)/I163)</f>
        <v>1422.2570515911796</v>
      </c>
      <c r="V163" s="201">
        <f>IF(J163=0,0,SUMPRODUCT(V159:V162,J159:J162)/J163)</f>
        <v>1535.0689896951947</v>
      </c>
      <c r="W163" s="201">
        <f>IF(K163=0,0,SUMPRODUCT(W159:W162,K159:K162)/K163)</f>
        <v>1638.5951512003919</v>
      </c>
      <c r="X163" s="201">
        <f>IF(L163=0,0,SUMPRODUCT(X159:X162,L159:L162)/L163)</f>
        <v>1734.5984060907183</v>
      </c>
      <c r="Y163" s="202"/>
      <c r="Z163" s="203">
        <f>SUM(Z159:Z162)</f>
        <v>0</v>
      </c>
      <c r="AA163" s="204">
        <f>SUM(AA159:AA162)</f>
        <v>0</v>
      </c>
      <c r="AB163" s="204">
        <f>SUM(AB159:AB162)</f>
        <v>0</v>
      </c>
      <c r="AC163" s="204">
        <f>SUM(AC159:AC162)</f>
        <v>0</v>
      </c>
      <c r="AD163" s="204">
        <f>SUM(AD159:AD162)</f>
        <v>0</v>
      </c>
      <c r="AE163" s="205"/>
      <c r="AF163" s="51"/>
    </row>
    <row r="164" spans="1:32" ht="15.65" customHeight="1" x14ac:dyDescent="0.3">
      <c r="A164" s="164">
        <f t="shared" si="20"/>
        <v>16</v>
      </c>
      <c r="B164" s="157"/>
      <c r="C164" s="148"/>
      <c r="D164" s="150"/>
      <c r="E164" s="206"/>
      <c r="F164" s="206"/>
      <c r="G164" s="206"/>
      <c r="H164" s="206"/>
      <c r="I164" s="206"/>
      <c r="J164" s="206"/>
      <c r="K164" s="206"/>
      <c r="L164" s="206"/>
      <c r="M164" s="206"/>
      <c r="N164" s="207">
        <f>SUM(N163*H163)</f>
        <v>163802123.63129026</v>
      </c>
      <c r="O164" s="207">
        <f>SUM(O163*I163)</f>
        <v>188156101.16758761</v>
      </c>
      <c r="P164" s="207">
        <f>SUM(P163*J163)</f>
        <v>215797582.96672666</v>
      </c>
      <c r="Q164" s="207">
        <f>SUM(Q163*K163)</f>
        <v>248001471.37376031</v>
      </c>
      <c r="R164" s="207">
        <f>SUM(R163*L163)</f>
        <v>288908683.08657593</v>
      </c>
      <c r="S164" s="208"/>
      <c r="T164" s="207">
        <f>SUM(T163*H163)</f>
        <v>163802123.63129026</v>
      </c>
      <c r="U164" s="207">
        <f>SUM(U163*I163)</f>
        <v>188156101.16758761</v>
      </c>
      <c r="V164" s="207">
        <f>SUM(V163*J163)</f>
        <v>215797582.96672666</v>
      </c>
      <c r="W164" s="207">
        <f>SUM(W163*K163)</f>
        <v>248001471.37376031</v>
      </c>
      <c r="X164" s="207">
        <f>SUM(X163*L163)</f>
        <v>288908683.08657593</v>
      </c>
      <c r="Y164" s="149"/>
      <c r="Z164" s="209">
        <f>IFERROR(Z163/SUMPRODUCT(N159:N162,H159:H162), 0)</f>
        <v>0</v>
      </c>
      <c r="AA164" s="209">
        <f>IFERROR(AA163/SUMPRODUCT(O159:O162,I159:I162), 0)</f>
        <v>0</v>
      </c>
      <c r="AB164" s="209">
        <f>IFERROR(AB163/SUMPRODUCT(P159:P162,J159:J162), 0)</f>
        <v>0</v>
      </c>
      <c r="AC164" s="209">
        <f>IFERROR(AC163/SUMPRODUCT(Q159:Q162,K159:K162), 0)</f>
        <v>0</v>
      </c>
      <c r="AD164" s="209">
        <f>IFERROR(AD163/SUMPRODUCT(R159:R162,L159:L162), 0)</f>
        <v>0</v>
      </c>
      <c r="AE164" s="210"/>
      <c r="AF164" s="156"/>
    </row>
    <row r="165" spans="1:32" ht="13" x14ac:dyDescent="0.3">
      <c r="A165" s="211">
        <f t="shared" si="20"/>
        <v>16</v>
      </c>
      <c r="B165" s="212"/>
      <c r="C165" s="148"/>
      <c r="D165" s="150"/>
      <c r="E165" s="206"/>
      <c r="F165" s="206"/>
      <c r="G165" s="206"/>
      <c r="H165" s="206"/>
      <c r="I165" s="206"/>
      <c r="J165" s="206"/>
      <c r="K165" s="206"/>
      <c r="L165" s="206"/>
      <c r="M165" s="206"/>
      <c r="N165" s="213"/>
      <c r="O165" s="206"/>
      <c r="P165" s="206"/>
      <c r="Q165" s="206"/>
      <c r="R165" s="214"/>
      <c r="S165" s="206"/>
      <c r="T165" s="206"/>
      <c r="U165" s="206"/>
      <c r="V165" s="206"/>
      <c r="W165" s="206"/>
      <c r="X165" s="206"/>
      <c r="Y165" s="149"/>
      <c r="Z165" s="210"/>
      <c r="AA165" s="210"/>
      <c r="AB165" s="210"/>
      <c r="AC165" s="210"/>
      <c r="AD165" s="215"/>
      <c r="AE165" s="210"/>
      <c r="AF165" s="156"/>
    </row>
    <row r="166" spans="1:32" ht="13" x14ac:dyDescent="0.3">
      <c r="A166" s="58">
        <v>17</v>
      </c>
      <c r="B166" s="147"/>
      <c r="C166" s="148"/>
      <c r="D166" s="149"/>
      <c r="E166" s="149"/>
      <c r="F166" s="150"/>
      <c r="G166" s="149"/>
      <c r="H166" s="151" t="s">
        <v>10</v>
      </c>
      <c r="I166" s="152"/>
      <c r="J166" s="152"/>
      <c r="K166" s="152"/>
      <c r="L166" s="153"/>
      <c r="M166" s="149"/>
      <c r="N166" s="151" t="s">
        <v>11</v>
      </c>
      <c r="O166" s="152"/>
      <c r="P166" s="152"/>
      <c r="Q166" s="152"/>
      <c r="R166" s="153"/>
      <c r="S166" s="154"/>
      <c r="T166" s="151" t="s">
        <v>12</v>
      </c>
      <c r="U166" s="152"/>
      <c r="V166" s="152"/>
      <c r="W166" s="152"/>
      <c r="X166" s="153"/>
      <c r="Y166" s="154"/>
      <c r="Z166" s="151" t="s">
        <v>13</v>
      </c>
      <c r="AA166" s="152"/>
      <c r="AB166" s="152"/>
      <c r="AC166" s="152"/>
      <c r="AD166" s="153"/>
      <c r="AE166" s="155"/>
      <c r="AF166" s="156"/>
    </row>
    <row r="167" spans="1:32" ht="13" x14ac:dyDescent="0.3">
      <c r="A167" s="59">
        <f t="shared" ref="A167:A174" si="21">A166</f>
        <v>17</v>
      </c>
      <c r="B167" s="157"/>
      <c r="C167" s="148"/>
      <c r="D167" s="149"/>
      <c r="E167" s="158"/>
      <c r="F167" s="159" t="s">
        <v>43</v>
      </c>
      <c r="G167" s="154"/>
      <c r="H167" s="160" t="s">
        <v>15</v>
      </c>
      <c r="I167" s="161" t="s">
        <v>16</v>
      </c>
      <c r="J167" s="161" t="s">
        <v>17</v>
      </c>
      <c r="K167" s="161" t="s">
        <v>18</v>
      </c>
      <c r="L167" s="162" t="s">
        <v>19</v>
      </c>
      <c r="M167" s="149"/>
      <c r="N167" s="160" t="s">
        <v>15</v>
      </c>
      <c r="O167" s="161" t="s">
        <v>16</v>
      </c>
      <c r="P167" s="161" t="s">
        <v>17</v>
      </c>
      <c r="Q167" s="161" t="s">
        <v>18</v>
      </c>
      <c r="R167" s="161" t="s">
        <v>19</v>
      </c>
      <c r="S167" s="163"/>
      <c r="T167" s="160" t="s">
        <v>15</v>
      </c>
      <c r="U167" s="161" t="s">
        <v>16</v>
      </c>
      <c r="V167" s="161" t="s">
        <v>17</v>
      </c>
      <c r="W167" s="161" t="s">
        <v>18</v>
      </c>
      <c r="X167" s="161" t="s">
        <v>19</v>
      </c>
      <c r="Y167" s="163"/>
      <c r="Z167" s="160" t="s">
        <v>15</v>
      </c>
      <c r="AA167" s="161" t="s">
        <v>16</v>
      </c>
      <c r="AB167" s="161" t="s">
        <v>17</v>
      </c>
      <c r="AC167" s="161" t="s">
        <v>18</v>
      </c>
      <c r="AD167" s="161" t="s">
        <v>19</v>
      </c>
      <c r="AE167" s="155"/>
      <c r="AF167" s="156"/>
    </row>
    <row r="168" spans="1:32" ht="13" x14ac:dyDescent="0.3">
      <c r="A168" s="164">
        <f t="shared" si="21"/>
        <v>17</v>
      </c>
      <c r="B168" s="52" t="s">
        <v>20</v>
      </c>
      <c r="C168" s="53"/>
      <c r="D168" s="165"/>
      <c r="E168" s="154"/>
      <c r="F168" s="166" t="s">
        <v>20</v>
      </c>
      <c r="G168" s="154"/>
      <c r="H168" s="167">
        <v>115375.9801894033</v>
      </c>
      <c r="I168" s="168">
        <v>123534.7071575118</v>
      </c>
      <c r="J168" s="168">
        <v>131781.81776250899</v>
      </c>
      <c r="K168" s="168">
        <v>142072.98716938891</v>
      </c>
      <c r="L168" s="169">
        <v>156236.09114565529</v>
      </c>
      <c r="M168" s="149"/>
      <c r="N168" s="170">
        <v>472.42658407574982</v>
      </c>
      <c r="O168" s="171">
        <v>513.15697993455569</v>
      </c>
      <c r="P168" s="171">
        <v>550.28636850555984</v>
      </c>
      <c r="Q168" s="171">
        <v>586.08357284557235</v>
      </c>
      <c r="R168" s="171">
        <v>619.344197511326</v>
      </c>
      <c r="S168" s="163"/>
      <c r="T168" s="172">
        <v>472.42658407574982</v>
      </c>
      <c r="U168" s="173">
        <v>513.15697993455569</v>
      </c>
      <c r="V168" s="173">
        <v>550.28636850555984</v>
      </c>
      <c r="W168" s="173">
        <v>586.08357284557235</v>
      </c>
      <c r="X168" s="173">
        <v>619.344197511326</v>
      </c>
      <c r="Y168" s="163"/>
      <c r="Z168" s="174">
        <v>0</v>
      </c>
      <c r="AA168" s="175">
        <v>0</v>
      </c>
      <c r="AB168" s="175">
        <v>0</v>
      </c>
      <c r="AC168" s="175">
        <v>0</v>
      </c>
      <c r="AD168" s="175">
        <v>0</v>
      </c>
      <c r="AE168" s="176"/>
      <c r="AF168" s="156"/>
    </row>
    <row r="169" spans="1:32" ht="13" x14ac:dyDescent="0.3">
      <c r="A169" s="164">
        <f t="shared" si="21"/>
        <v>17</v>
      </c>
      <c r="B169" s="52" t="s">
        <v>21</v>
      </c>
      <c r="C169" s="53"/>
      <c r="D169" s="177"/>
      <c r="E169" s="154"/>
      <c r="F169" s="178" t="s">
        <v>21</v>
      </c>
      <c r="G169" s="154"/>
      <c r="H169" s="167">
        <v>25736.05101304355</v>
      </c>
      <c r="I169" s="168">
        <v>26483.144238427849</v>
      </c>
      <c r="J169" s="168">
        <v>27625.70374113067</v>
      </c>
      <c r="K169" s="168">
        <v>29542.07913018181</v>
      </c>
      <c r="L169" s="169">
        <v>32259.38220139053</v>
      </c>
      <c r="M169" s="149"/>
      <c r="N169" s="179">
        <v>1050.1029374598149</v>
      </c>
      <c r="O169" s="171">
        <v>1129.3182196612779</v>
      </c>
      <c r="P169" s="171">
        <v>1204.4142107849559</v>
      </c>
      <c r="Q169" s="171">
        <v>1271.154411972602</v>
      </c>
      <c r="R169" s="171">
        <v>1331.7185042381859</v>
      </c>
      <c r="S169" s="163"/>
      <c r="T169" s="172">
        <v>1050.1029374598149</v>
      </c>
      <c r="U169" s="173">
        <v>1129.3182196612779</v>
      </c>
      <c r="V169" s="173">
        <v>1204.4142107849559</v>
      </c>
      <c r="W169" s="173">
        <v>1271.154411972602</v>
      </c>
      <c r="X169" s="173">
        <v>1331.7185042381859</v>
      </c>
      <c r="Y169" s="163"/>
      <c r="Z169" s="180">
        <v>0</v>
      </c>
      <c r="AA169" s="181">
        <v>0</v>
      </c>
      <c r="AB169" s="181">
        <v>0</v>
      </c>
      <c r="AC169" s="181">
        <v>0</v>
      </c>
      <c r="AD169" s="181">
        <v>0</v>
      </c>
      <c r="AE169" s="176"/>
      <c r="AF169" s="156"/>
    </row>
    <row r="170" spans="1:32" ht="13" x14ac:dyDescent="0.3">
      <c r="A170" s="164">
        <f t="shared" si="21"/>
        <v>17</v>
      </c>
      <c r="B170" s="52" t="s">
        <v>22</v>
      </c>
      <c r="C170" s="53"/>
      <c r="D170" s="177">
        <v>17</v>
      </c>
      <c r="E170" s="154"/>
      <c r="F170" s="182" t="s">
        <v>22</v>
      </c>
      <c r="G170" s="154"/>
      <c r="H170" s="167">
        <v>8584.8188070963333</v>
      </c>
      <c r="I170" s="168">
        <v>9246.7664755838468</v>
      </c>
      <c r="J170" s="168">
        <v>10041.54286425033</v>
      </c>
      <c r="K170" s="168">
        <v>11100.292351729981</v>
      </c>
      <c r="L170" s="169">
        <v>12528.50388621475</v>
      </c>
      <c r="M170" s="149"/>
      <c r="N170" s="179">
        <v>1218.399658036542</v>
      </c>
      <c r="O170" s="171">
        <v>1299.407985185534</v>
      </c>
      <c r="P170" s="171">
        <v>1368.0514590775881</v>
      </c>
      <c r="Q170" s="171">
        <v>1424.54554381925</v>
      </c>
      <c r="R170" s="171">
        <v>1463.84820336644</v>
      </c>
      <c r="S170" s="163"/>
      <c r="T170" s="172">
        <v>1218.399658036542</v>
      </c>
      <c r="U170" s="173">
        <v>1299.407985185534</v>
      </c>
      <c r="V170" s="173">
        <v>1368.0514590775881</v>
      </c>
      <c r="W170" s="173">
        <v>1424.54554381925</v>
      </c>
      <c r="X170" s="173">
        <v>1463.84820336644</v>
      </c>
      <c r="Y170" s="163"/>
      <c r="Z170" s="180">
        <v>0</v>
      </c>
      <c r="AA170" s="181">
        <v>0</v>
      </c>
      <c r="AB170" s="181">
        <v>0</v>
      </c>
      <c r="AC170" s="181">
        <v>0</v>
      </c>
      <c r="AD170" s="181">
        <v>0</v>
      </c>
      <c r="AE170" s="176"/>
      <c r="AF170" s="156"/>
    </row>
    <row r="171" spans="1:32" ht="13" x14ac:dyDescent="0.3">
      <c r="A171" s="164">
        <f t="shared" si="21"/>
        <v>17</v>
      </c>
      <c r="B171" s="52" t="s">
        <v>24</v>
      </c>
      <c r="C171" s="53"/>
      <c r="D171" s="177"/>
      <c r="E171" s="154"/>
      <c r="F171" s="183" t="s">
        <v>24</v>
      </c>
      <c r="G171" s="154"/>
      <c r="H171" s="184">
        <v>9284.2854884846256</v>
      </c>
      <c r="I171" s="185">
        <v>10470.359565751</v>
      </c>
      <c r="J171" s="185">
        <v>11688.80856988457</v>
      </c>
      <c r="K171" s="185">
        <v>13395.885783088041</v>
      </c>
      <c r="L171" s="186">
        <v>15387.780758363981</v>
      </c>
      <c r="M171" s="149"/>
      <c r="N171" s="187">
        <v>7006.0545340526551</v>
      </c>
      <c r="O171" s="188">
        <v>7276.4624894329891</v>
      </c>
      <c r="P171" s="188">
        <v>7744.3340737408216</v>
      </c>
      <c r="Q171" s="188">
        <v>7984.4247511534904</v>
      </c>
      <c r="R171" s="188">
        <v>8334.2468411583359</v>
      </c>
      <c r="S171" s="163"/>
      <c r="T171" s="189">
        <v>7006.0545340526551</v>
      </c>
      <c r="U171" s="190">
        <v>7276.4624894329891</v>
      </c>
      <c r="V171" s="190">
        <v>7744.3340737408216</v>
      </c>
      <c r="W171" s="190">
        <v>7984.4247511534904</v>
      </c>
      <c r="X171" s="190">
        <v>8334.2468411583359</v>
      </c>
      <c r="Y171" s="163"/>
      <c r="Z171" s="191">
        <v>0</v>
      </c>
      <c r="AA171" s="192">
        <v>0</v>
      </c>
      <c r="AB171" s="192">
        <v>0</v>
      </c>
      <c r="AC171" s="192">
        <v>0</v>
      </c>
      <c r="AD171" s="192">
        <v>0</v>
      </c>
      <c r="AE171" s="176"/>
      <c r="AF171" s="156"/>
    </row>
    <row r="172" spans="1:32" ht="13" x14ac:dyDescent="0.3">
      <c r="A172" s="164">
        <f t="shared" si="21"/>
        <v>17</v>
      </c>
      <c r="B172" s="56"/>
      <c r="C172" s="60"/>
      <c r="D172" s="193"/>
      <c r="E172" s="194"/>
      <c r="F172" s="195" t="s">
        <v>25</v>
      </c>
      <c r="G172" s="194"/>
      <c r="H172" s="196">
        <f>SUM(H168:H171)</f>
        <v>158981.13549802781</v>
      </c>
      <c r="I172" s="197">
        <f>SUM(I168:I171)</f>
        <v>169734.97743727447</v>
      </c>
      <c r="J172" s="197">
        <f>SUM(J168:J171)</f>
        <v>181137.87293777458</v>
      </c>
      <c r="K172" s="197">
        <f>SUM(K168:K171)</f>
        <v>196111.24443438876</v>
      </c>
      <c r="L172" s="198">
        <f>SUM(L168:L171)</f>
        <v>216411.75799162456</v>
      </c>
      <c r="M172" s="199"/>
      <c r="N172" s="200">
        <f>IF(H172=0,0,SUMPRODUCT(N168:N171,H168:H171)/H172)</f>
        <v>987.77841296485622</v>
      </c>
      <c r="O172" s="201">
        <f>IF(I172=0,0,SUMPRODUCT(O168:O171,I168:I171)/I172)</f>
        <v>1069.3323091764023</v>
      </c>
      <c r="P172" s="201">
        <f>IF(J172=0,0,SUMPRODUCT(P168:P171,J168:J171)/J172)</f>
        <v>1159.6134510673069</v>
      </c>
      <c r="Q172" s="201">
        <f>IF(K172=0,0,SUMPRODUCT(Q168:Q171,K168:K171)/K172)</f>
        <v>1242.1036991920678</v>
      </c>
      <c r="R172" s="201">
        <f>IF(L172=0,0,SUMPRODUCT(R168:R171,L168:L171)/L172)</f>
        <v>1322.9859895108543</v>
      </c>
      <c r="S172" s="202"/>
      <c r="T172" s="200">
        <f>IF(H172=0,0,SUMPRODUCT(T168:T171,H168:H171)/H172)</f>
        <v>987.77841296485622</v>
      </c>
      <c r="U172" s="201">
        <f>IF(I172=0,0,SUMPRODUCT(U168:U171,I168:I171)/I172)</f>
        <v>1069.3323091764023</v>
      </c>
      <c r="V172" s="201">
        <f>IF(J172=0,0,SUMPRODUCT(V168:V171,J168:J171)/J172)</f>
        <v>1159.6134510673069</v>
      </c>
      <c r="W172" s="201">
        <f>IF(K172=0,0,SUMPRODUCT(W168:W171,K168:K171)/K172)</f>
        <v>1242.1036991920678</v>
      </c>
      <c r="X172" s="201">
        <f>IF(L172=0,0,SUMPRODUCT(X168:X171,L168:L171)/L172)</f>
        <v>1322.9859895108543</v>
      </c>
      <c r="Y172" s="202"/>
      <c r="Z172" s="203">
        <f>SUM(Z168:Z171)</f>
        <v>0</v>
      </c>
      <c r="AA172" s="204">
        <f>SUM(AA168:AA171)</f>
        <v>0</v>
      </c>
      <c r="AB172" s="204">
        <f>SUM(AB168:AB171)</f>
        <v>0</v>
      </c>
      <c r="AC172" s="204">
        <f>SUM(AC168:AC171)</f>
        <v>0</v>
      </c>
      <c r="AD172" s="204">
        <f>SUM(AD168:AD171)</f>
        <v>0</v>
      </c>
      <c r="AE172" s="205"/>
      <c r="AF172" s="51"/>
    </row>
    <row r="173" spans="1:32" ht="15.65" customHeight="1" x14ac:dyDescent="0.3">
      <c r="A173" s="164">
        <f t="shared" si="21"/>
        <v>17</v>
      </c>
      <c r="B173" s="157"/>
      <c r="C173" s="148"/>
      <c r="D173" s="150"/>
      <c r="E173" s="206"/>
      <c r="F173" s="206"/>
      <c r="G173" s="206"/>
      <c r="H173" s="206"/>
      <c r="I173" s="206"/>
      <c r="J173" s="206"/>
      <c r="K173" s="206"/>
      <c r="L173" s="206"/>
      <c r="M173" s="206"/>
      <c r="N173" s="207">
        <f>SUM(N172*H172)</f>
        <v>157038133.71359268</v>
      </c>
      <c r="O173" s="207">
        <f>SUM(O172*I172)</f>
        <v>181503095.37100527</v>
      </c>
      <c r="P173" s="207">
        <f>SUM(P172*J172)</f>
        <v>210049913.9563641</v>
      </c>
      <c r="Q173" s="207">
        <f>SUM(Q172*K172)</f>
        <v>243590502.1651141</v>
      </c>
      <c r="R173" s="207">
        <f>SUM(R172*L172)</f>
        <v>286309723.78833294</v>
      </c>
      <c r="S173" s="208"/>
      <c r="T173" s="207">
        <f>SUM(T172*H172)</f>
        <v>157038133.71359268</v>
      </c>
      <c r="U173" s="207">
        <f>SUM(U172*I172)</f>
        <v>181503095.37100527</v>
      </c>
      <c r="V173" s="207">
        <f>SUM(V172*J172)</f>
        <v>210049913.9563641</v>
      </c>
      <c r="W173" s="207">
        <f>SUM(W172*K172)</f>
        <v>243590502.1651141</v>
      </c>
      <c r="X173" s="207">
        <f>SUM(X172*L172)</f>
        <v>286309723.78833294</v>
      </c>
      <c r="Y173" s="149"/>
      <c r="Z173" s="209">
        <f>IFERROR(Z172/SUMPRODUCT(N168:N171,H168:H171), 0)</f>
        <v>0</v>
      </c>
      <c r="AA173" s="209">
        <f>IFERROR(AA172/SUMPRODUCT(O168:O171,I168:I171), 0)</f>
        <v>0</v>
      </c>
      <c r="AB173" s="209">
        <f>IFERROR(AB172/SUMPRODUCT(P168:P171,J168:J171), 0)</f>
        <v>0</v>
      </c>
      <c r="AC173" s="209">
        <f>IFERROR(AC172/SUMPRODUCT(Q168:Q171,K168:K171), 0)</f>
        <v>0</v>
      </c>
      <c r="AD173" s="209">
        <f>IFERROR(AD172/SUMPRODUCT(R168:R171,L168:L171), 0)</f>
        <v>0</v>
      </c>
      <c r="AE173" s="210"/>
      <c r="AF173" s="156"/>
    </row>
    <row r="174" spans="1:32" ht="13" x14ac:dyDescent="0.3">
      <c r="A174" s="211">
        <f t="shared" si="21"/>
        <v>17</v>
      </c>
      <c r="B174" s="212"/>
      <c r="C174" s="148"/>
      <c r="D174" s="150"/>
      <c r="E174" s="206"/>
      <c r="F174" s="206"/>
      <c r="G174" s="206"/>
      <c r="H174" s="206"/>
      <c r="I174" s="206"/>
      <c r="J174" s="206"/>
      <c r="K174" s="206"/>
      <c r="L174" s="206"/>
      <c r="M174" s="206"/>
      <c r="N174" s="213"/>
      <c r="O174" s="206"/>
      <c r="P174" s="206"/>
      <c r="Q174" s="206"/>
      <c r="R174" s="214"/>
      <c r="S174" s="206"/>
      <c r="T174" s="206"/>
      <c r="U174" s="206"/>
      <c r="V174" s="206"/>
      <c r="W174" s="206"/>
      <c r="X174" s="206"/>
      <c r="Y174" s="149"/>
      <c r="Z174" s="210"/>
      <c r="AA174" s="210"/>
      <c r="AB174" s="210"/>
      <c r="AC174" s="210"/>
      <c r="AD174" s="215"/>
      <c r="AE174" s="210"/>
      <c r="AF174" s="156"/>
    </row>
    <row r="175" spans="1:32" ht="13" x14ac:dyDescent="0.3">
      <c r="A175" s="58">
        <v>18</v>
      </c>
      <c r="B175" s="147"/>
      <c r="C175" s="148"/>
      <c r="D175" s="149"/>
      <c r="E175" s="149"/>
      <c r="F175" s="150"/>
      <c r="G175" s="149"/>
      <c r="H175" s="151" t="s">
        <v>10</v>
      </c>
      <c r="I175" s="152"/>
      <c r="J175" s="152"/>
      <c r="K175" s="152"/>
      <c r="L175" s="153"/>
      <c r="M175" s="149"/>
      <c r="N175" s="151" t="s">
        <v>11</v>
      </c>
      <c r="O175" s="152"/>
      <c r="P175" s="152"/>
      <c r="Q175" s="152"/>
      <c r="R175" s="153"/>
      <c r="S175" s="154"/>
      <c r="T175" s="151" t="s">
        <v>12</v>
      </c>
      <c r="U175" s="152"/>
      <c r="V175" s="152"/>
      <c r="W175" s="152"/>
      <c r="X175" s="153"/>
      <c r="Y175" s="154"/>
      <c r="Z175" s="151" t="s">
        <v>13</v>
      </c>
      <c r="AA175" s="152"/>
      <c r="AB175" s="152"/>
      <c r="AC175" s="152"/>
      <c r="AD175" s="153"/>
      <c r="AE175" s="155"/>
      <c r="AF175" s="156"/>
    </row>
    <row r="176" spans="1:32" ht="13" x14ac:dyDescent="0.3">
      <c r="A176" s="59">
        <f t="shared" ref="A176:A183" si="22">A175</f>
        <v>18</v>
      </c>
      <c r="B176" s="157"/>
      <c r="C176" s="148"/>
      <c r="D176" s="149"/>
      <c r="E176" s="158"/>
      <c r="F176" s="159" t="s">
        <v>44</v>
      </c>
      <c r="G176" s="154"/>
      <c r="H176" s="160" t="s">
        <v>15</v>
      </c>
      <c r="I176" s="161" t="s">
        <v>16</v>
      </c>
      <c r="J176" s="161" t="s">
        <v>17</v>
      </c>
      <c r="K176" s="161" t="s">
        <v>18</v>
      </c>
      <c r="L176" s="162" t="s">
        <v>19</v>
      </c>
      <c r="M176" s="149"/>
      <c r="N176" s="160" t="s">
        <v>15</v>
      </c>
      <c r="O176" s="161" t="s">
        <v>16</v>
      </c>
      <c r="P176" s="161" t="s">
        <v>17</v>
      </c>
      <c r="Q176" s="161" t="s">
        <v>18</v>
      </c>
      <c r="R176" s="161" t="s">
        <v>19</v>
      </c>
      <c r="S176" s="163"/>
      <c r="T176" s="160" t="s">
        <v>15</v>
      </c>
      <c r="U176" s="161" t="s">
        <v>16</v>
      </c>
      <c r="V176" s="161" t="s">
        <v>17</v>
      </c>
      <c r="W176" s="161" t="s">
        <v>18</v>
      </c>
      <c r="X176" s="161" t="s">
        <v>19</v>
      </c>
      <c r="Y176" s="163"/>
      <c r="Z176" s="160" t="s">
        <v>15</v>
      </c>
      <c r="AA176" s="161" t="s">
        <v>16</v>
      </c>
      <c r="AB176" s="161" t="s">
        <v>17</v>
      </c>
      <c r="AC176" s="161" t="s">
        <v>18</v>
      </c>
      <c r="AD176" s="161" t="s">
        <v>19</v>
      </c>
      <c r="AE176" s="155"/>
      <c r="AF176" s="156"/>
    </row>
    <row r="177" spans="1:32" ht="13" x14ac:dyDescent="0.3">
      <c r="A177" s="164">
        <f t="shared" si="22"/>
        <v>18</v>
      </c>
      <c r="B177" s="52" t="s">
        <v>20</v>
      </c>
      <c r="C177" s="53"/>
      <c r="D177" s="165"/>
      <c r="E177" s="154"/>
      <c r="F177" s="166" t="s">
        <v>20</v>
      </c>
      <c r="G177" s="154"/>
      <c r="H177" s="167">
        <v>110496.2019157028</v>
      </c>
      <c r="I177" s="168">
        <v>118678.4478101608</v>
      </c>
      <c r="J177" s="168">
        <v>126920.6364482885</v>
      </c>
      <c r="K177" s="168">
        <v>137284.26187510241</v>
      </c>
      <c r="L177" s="169">
        <v>151989.4304742789</v>
      </c>
      <c r="M177" s="149"/>
      <c r="N177" s="170">
        <v>493.29062834043191</v>
      </c>
      <c r="O177" s="171">
        <v>534.15579388422066</v>
      </c>
      <c r="P177" s="171">
        <v>571.36367777311943</v>
      </c>
      <c r="Q177" s="171">
        <v>606.52809599791112</v>
      </c>
      <c r="R177" s="171">
        <v>636.64972923539858</v>
      </c>
      <c r="S177" s="163"/>
      <c r="T177" s="172">
        <v>493.29062834043191</v>
      </c>
      <c r="U177" s="173">
        <v>534.15579388422066</v>
      </c>
      <c r="V177" s="173">
        <v>571.36367777311943</v>
      </c>
      <c r="W177" s="173">
        <v>606.52809599791112</v>
      </c>
      <c r="X177" s="173">
        <v>636.64972923539858</v>
      </c>
      <c r="Y177" s="163"/>
      <c r="Z177" s="174">
        <v>0</v>
      </c>
      <c r="AA177" s="175">
        <v>0</v>
      </c>
      <c r="AB177" s="175">
        <v>0</v>
      </c>
      <c r="AC177" s="175">
        <v>0</v>
      </c>
      <c r="AD177" s="175">
        <v>0</v>
      </c>
      <c r="AE177" s="176"/>
      <c r="AF177" s="156"/>
    </row>
    <row r="178" spans="1:32" ht="13" x14ac:dyDescent="0.3">
      <c r="A178" s="164">
        <f t="shared" si="22"/>
        <v>18</v>
      </c>
      <c r="B178" s="52" t="s">
        <v>21</v>
      </c>
      <c r="C178" s="53"/>
      <c r="D178" s="177"/>
      <c r="E178" s="154"/>
      <c r="F178" s="178" t="s">
        <v>21</v>
      </c>
      <c r="G178" s="154"/>
      <c r="H178" s="167">
        <v>24216.608537245371</v>
      </c>
      <c r="I178" s="168">
        <v>25005.54406744201</v>
      </c>
      <c r="J178" s="168">
        <v>26179.22989098437</v>
      </c>
      <c r="K178" s="168">
        <v>28134.28005743595</v>
      </c>
      <c r="L178" s="169">
        <v>30967.308451831181</v>
      </c>
      <c r="M178" s="149"/>
      <c r="N178" s="179">
        <v>1115.992235811068</v>
      </c>
      <c r="O178" s="171">
        <v>1196.053099656636</v>
      </c>
      <c r="P178" s="171">
        <v>1270.9642697992961</v>
      </c>
      <c r="Q178" s="171">
        <v>1334.764170784792</v>
      </c>
      <c r="R178" s="171">
        <v>1387.285565269766</v>
      </c>
      <c r="S178" s="163"/>
      <c r="T178" s="172">
        <v>1115.992235811068</v>
      </c>
      <c r="U178" s="173">
        <v>1196.053099656636</v>
      </c>
      <c r="V178" s="173">
        <v>1270.9642697992961</v>
      </c>
      <c r="W178" s="173">
        <v>1334.764170784792</v>
      </c>
      <c r="X178" s="173">
        <v>1387.285565269766</v>
      </c>
      <c r="Y178" s="163"/>
      <c r="Z178" s="180">
        <v>0</v>
      </c>
      <c r="AA178" s="181">
        <v>0</v>
      </c>
      <c r="AB178" s="181">
        <v>0</v>
      </c>
      <c r="AC178" s="181">
        <v>0</v>
      </c>
      <c r="AD178" s="181">
        <v>0</v>
      </c>
      <c r="AE178" s="176"/>
      <c r="AF178" s="156"/>
    </row>
    <row r="179" spans="1:32" ht="13" x14ac:dyDescent="0.3">
      <c r="A179" s="164">
        <f t="shared" si="22"/>
        <v>18</v>
      </c>
      <c r="B179" s="52" t="s">
        <v>22</v>
      </c>
      <c r="C179" s="53"/>
      <c r="D179" s="177">
        <v>18</v>
      </c>
      <c r="E179" s="154"/>
      <c r="F179" s="182" t="s">
        <v>22</v>
      </c>
      <c r="G179" s="154"/>
      <c r="H179" s="167">
        <v>8350.7612453948968</v>
      </c>
      <c r="I179" s="168">
        <v>9007.7944868787527</v>
      </c>
      <c r="J179" s="168">
        <v>9796.2911169089966</v>
      </c>
      <c r="K179" s="168">
        <v>10849.081733332479</v>
      </c>
      <c r="L179" s="169">
        <v>12282.29433164191</v>
      </c>
      <c r="M179" s="149"/>
      <c r="N179" s="179">
        <v>1252.549857688108</v>
      </c>
      <c r="O179" s="171">
        <v>1333.881276018217</v>
      </c>
      <c r="P179" s="171">
        <v>1402.3016322216729</v>
      </c>
      <c r="Q179" s="171">
        <v>1457.6810679937221</v>
      </c>
      <c r="R179" s="171">
        <v>1493.30493997536</v>
      </c>
      <c r="S179" s="163"/>
      <c r="T179" s="172">
        <v>1252.549857688108</v>
      </c>
      <c r="U179" s="173">
        <v>1333.881276018217</v>
      </c>
      <c r="V179" s="173">
        <v>1402.3016322216729</v>
      </c>
      <c r="W179" s="173">
        <v>1457.6810679937221</v>
      </c>
      <c r="X179" s="173">
        <v>1493.30493997536</v>
      </c>
      <c r="Y179" s="163"/>
      <c r="Z179" s="180">
        <v>0</v>
      </c>
      <c r="AA179" s="181">
        <v>0</v>
      </c>
      <c r="AB179" s="181">
        <v>0</v>
      </c>
      <c r="AC179" s="181">
        <v>0</v>
      </c>
      <c r="AD179" s="181">
        <v>0</v>
      </c>
      <c r="AE179" s="176"/>
      <c r="AF179" s="156"/>
    </row>
    <row r="180" spans="1:32" ht="13" x14ac:dyDescent="0.3">
      <c r="A180" s="164">
        <f t="shared" si="22"/>
        <v>18</v>
      </c>
      <c r="B180" s="52" t="s">
        <v>24</v>
      </c>
      <c r="C180" s="53"/>
      <c r="D180" s="177"/>
      <c r="E180" s="154"/>
      <c r="F180" s="183" t="s">
        <v>24</v>
      </c>
      <c r="G180" s="154"/>
      <c r="H180" s="184">
        <v>9411.1954056864943</v>
      </c>
      <c r="I180" s="185">
        <v>10526.605055473219</v>
      </c>
      <c r="J180" s="185">
        <v>11689.108086148341</v>
      </c>
      <c r="K180" s="185">
        <v>13158.60274424099</v>
      </c>
      <c r="L180" s="186">
        <v>14971.20623549113</v>
      </c>
      <c r="M180" s="149"/>
      <c r="N180" s="187">
        <v>6868.464107038506</v>
      </c>
      <c r="O180" s="188">
        <v>7147.3361773357065</v>
      </c>
      <c r="P180" s="188">
        <v>7551.5110238075504</v>
      </c>
      <c r="Q180" s="188">
        <v>7827.2565877808402</v>
      </c>
      <c r="R180" s="188">
        <v>8153.1114871073469</v>
      </c>
      <c r="S180" s="163"/>
      <c r="T180" s="189">
        <v>6868.464107038506</v>
      </c>
      <c r="U180" s="190">
        <v>7147.3361773357065</v>
      </c>
      <c r="V180" s="190">
        <v>7551.5110238075504</v>
      </c>
      <c r="W180" s="190">
        <v>7827.2565877808402</v>
      </c>
      <c r="X180" s="190">
        <v>8153.1114871073469</v>
      </c>
      <c r="Y180" s="163"/>
      <c r="Z180" s="191">
        <v>0</v>
      </c>
      <c r="AA180" s="192">
        <v>0</v>
      </c>
      <c r="AB180" s="192">
        <v>0</v>
      </c>
      <c r="AC180" s="192">
        <v>0</v>
      </c>
      <c r="AD180" s="192">
        <v>0</v>
      </c>
      <c r="AE180" s="176"/>
      <c r="AF180" s="156"/>
    </row>
    <row r="181" spans="1:32" ht="13" x14ac:dyDescent="0.3">
      <c r="A181" s="164">
        <f t="shared" si="22"/>
        <v>18</v>
      </c>
      <c r="B181" s="56"/>
      <c r="C181" s="60"/>
      <c r="D181" s="193"/>
      <c r="E181" s="194"/>
      <c r="F181" s="195" t="s">
        <v>25</v>
      </c>
      <c r="G181" s="194"/>
      <c r="H181" s="196">
        <f>SUM(H177:H180)</f>
        <v>152474.7671040296</v>
      </c>
      <c r="I181" s="197">
        <f>SUM(I177:I180)</f>
        <v>163218.3914199548</v>
      </c>
      <c r="J181" s="197">
        <f>SUM(J177:J180)</f>
        <v>174585.26554233022</v>
      </c>
      <c r="K181" s="197">
        <f>SUM(K177:K180)</f>
        <v>189426.22641011182</v>
      </c>
      <c r="L181" s="198">
        <f>SUM(L177:L180)</f>
        <v>210210.23949324311</v>
      </c>
      <c r="M181" s="199"/>
      <c r="N181" s="200">
        <f>IF(H181=0,0,SUMPRODUCT(N177:N180,H177:H180)/H181)</f>
        <v>1027.2682727129136</v>
      </c>
      <c r="O181" s="201">
        <f>IF(I181=0,0,SUMPRODUCT(O177:O180,I177:I180)/I181)</f>
        <v>1106.2065430768016</v>
      </c>
      <c r="P181" s="201">
        <f>IF(J181=0,0,SUMPRODUCT(P177:P180,J177:J180)/J181)</f>
        <v>1190.2407134828122</v>
      </c>
      <c r="Q181" s="201">
        <f>IF(K181=0,0,SUMPRODUCT(Q177:Q180,K177:K180)/K181)</f>
        <v>1265.0289063031767</v>
      </c>
      <c r="R181" s="201">
        <f>IF(L181=0,0,SUMPRODUCT(R177:R180,L177:L180)/L181)</f>
        <v>1332.6070831658335</v>
      </c>
      <c r="S181" s="202"/>
      <c r="T181" s="200">
        <f>IF(H181=0,0,SUMPRODUCT(T177:T180,H177:H180)/H181)</f>
        <v>1027.2682727129136</v>
      </c>
      <c r="U181" s="201">
        <f>IF(I181=0,0,SUMPRODUCT(U177:U180,I177:I180)/I181)</f>
        <v>1106.2065430768016</v>
      </c>
      <c r="V181" s="201">
        <f>IF(J181=0,0,SUMPRODUCT(V177:V180,J177:J180)/J181)</f>
        <v>1190.2407134828122</v>
      </c>
      <c r="W181" s="201">
        <f>IF(K181=0,0,SUMPRODUCT(W177:W180,K177:K180)/K181)</f>
        <v>1265.0289063031767</v>
      </c>
      <c r="X181" s="201">
        <f>IF(L181=0,0,SUMPRODUCT(X177:X180,L177:L180)/L181)</f>
        <v>1332.6070831658335</v>
      </c>
      <c r="Y181" s="202"/>
      <c r="Z181" s="203">
        <f>SUM(Z177:Z180)</f>
        <v>0</v>
      </c>
      <c r="AA181" s="204">
        <f>SUM(AA177:AA180)</f>
        <v>0</v>
      </c>
      <c r="AB181" s="204">
        <f>SUM(AB177:AB180)</f>
        <v>0</v>
      </c>
      <c r="AC181" s="204">
        <f>SUM(AC177:AC180)</f>
        <v>0</v>
      </c>
      <c r="AD181" s="204">
        <f>SUM(AD177:AD180)</f>
        <v>0</v>
      </c>
      <c r="AE181" s="205"/>
      <c r="AF181" s="51"/>
    </row>
    <row r="182" spans="1:32" ht="15.65" customHeight="1" x14ac:dyDescent="0.3">
      <c r="A182" s="164">
        <f t="shared" si="22"/>
        <v>18</v>
      </c>
      <c r="B182" s="157"/>
      <c r="C182" s="148"/>
      <c r="D182" s="150"/>
      <c r="E182" s="206"/>
      <c r="F182" s="206"/>
      <c r="G182" s="206"/>
      <c r="H182" s="206"/>
      <c r="I182" s="206"/>
      <c r="J182" s="206"/>
      <c r="K182" s="206"/>
      <c r="L182" s="206"/>
      <c r="M182" s="206"/>
      <c r="N182" s="207">
        <f>SUM(N181*H181)</f>
        <v>156632490.63526025</v>
      </c>
      <c r="O182" s="207">
        <f>SUM(O181*I181)</f>
        <v>180553252.53922451</v>
      </c>
      <c r="P182" s="207">
        <f>SUM(P181*J181)</f>
        <v>207798491.02268934</v>
      </c>
      <c r="Q182" s="207">
        <f>SUM(Q181*K181)</f>
        <v>239629652.02072167</v>
      </c>
      <c r="R182" s="207">
        <f>SUM(R181*L181)</f>
        <v>280127654.10268199</v>
      </c>
      <c r="S182" s="208"/>
      <c r="T182" s="207">
        <f>SUM(T181*H181)</f>
        <v>156632490.63526025</v>
      </c>
      <c r="U182" s="207">
        <f>SUM(U181*I181)</f>
        <v>180553252.53922451</v>
      </c>
      <c r="V182" s="207">
        <f>SUM(V181*J181)</f>
        <v>207798491.02268934</v>
      </c>
      <c r="W182" s="207">
        <f>SUM(W181*K181)</f>
        <v>239629652.02072167</v>
      </c>
      <c r="X182" s="207">
        <f>SUM(X181*L181)</f>
        <v>280127654.10268199</v>
      </c>
      <c r="Y182" s="149"/>
      <c r="Z182" s="209">
        <f>IFERROR(Z181/SUMPRODUCT(N177:N180,H177:H180), 0)</f>
        <v>0</v>
      </c>
      <c r="AA182" s="209">
        <f>IFERROR(AA181/SUMPRODUCT(O177:O180,I177:I180), 0)</f>
        <v>0</v>
      </c>
      <c r="AB182" s="209">
        <f>IFERROR(AB181/SUMPRODUCT(P177:P180,J177:J180), 0)</f>
        <v>0</v>
      </c>
      <c r="AC182" s="209">
        <f>IFERROR(AC181/SUMPRODUCT(Q177:Q180,K177:K180), 0)</f>
        <v>0</v>
      </c>
      <c r="AD182" s="209">
        <f>IFERROR(AD181/SUMPRODUCT(R177:R180,L177:L180), 0)</f>
        <v>0</v>
      </c>
      <c r="AE182" s="210"/>
      <c r="AF182" s="156"/>
    </row>
    <row r="183" spans="1:32" ht="13" x14ac:dyDescent="0.3">
      <c r="A183" s="211">
        <f t="shared" si="22"/>
        <v>18</v>
      </c>
      <c r="B183" s="212"/>
      <c r="C183" s="148"/>
      <c r="D183" s="150"/>
      <c r="E183" s="206"/>
      <c r="F183" s="206"/>
      <c r="G183" s="206"/>
      <c r="H183" s="206"/>
      <c r="I183" s="206"/>
      <c r="J183" s="206"/>
      <c r="K183" s="206"/>
      <c r="L183" s="206"/>
      <c r="M183" s="206"/>
      <c r="N183" s="213"/>
      <c r="O183" s="206"/>
      <c r="P183" s="206"/>
      <c r="Q183" s="206"/>
      <c r="R183" s="214"/>
      <c r="S183" s="206"/>
      <c r="T183" s="206"/>
      <c r="U183" s="206"/>
      <c r="V183" s="206"/>
      <c r="W183" s="206"/>
      <c r="X183" s="206"/>
      <c r="Y183" s="149"/>
      <c r="Z183" s="210"/>
      <c r="AA183" s="210"/>
      <c r="AB183" s="210"/>
      <c r="AC183" s="210"/>
      <c r="AD183" s="215"/>
      <c r="AE183" s="210"/>
      <c r="AF183" s="156"/>
    </row>
    <row r="184" spans="1:32" ht="13" x14ac:dyDescent="0.3">
      <c r="A184" s="58">
        <v>19</v>
      </c>
      <c r="B184" s="147"/>
      <c r="C184" s="148"/>
      <c r="D184" s="149"/>
      <c r="E184" s="149"/>
      <c r="F184" s="150"/>
      <c r="G184" s="149"/>
      <c r="H184" s="151" t="s">
        <v>10</v>
      </c>
      <c r="I184" s="152"/>
      <c r="J184" s="152"/>
      <c r="K184" s="152"/>
      <c r="L184" s="153"/>
      <c r="M184" s="149"/>
      <c r="N184" s="151" t="s">
        <v>11</v>
      </c>
      <c r="O184" s="152"/>
      <c r="P184" s="152"/>
      <c r="Q184" s="152"/>
      <c r="R184" s="153"/>
      <c r="S184" s="154"/>
      <c r="T184" s="151" t="s">
        <v>12</v>
      </c>
      <c r="U184" s="152"/>
      <c r="V184" s="152"/>
      <c r="W184" s="152"/>
      <c r="X184" s="153"/>
      <c r="Y184" s="154"/>
      <c r="Z184" s="151" t="s">
        <v>13</v>
      </c>
      <c r="AA184" s="152"/>
      <c r="AB184" s="152"/>
      <c r="AC184" s="152"/>
      <c r="AD184" s="153"/>
      <c r="AE184" s="155"/>
      <c r="AF184" s="156"/>
    </row>
    <row r="185" spans="1:32" ht="13" x14ac:dyDescent="0.3">
      <c r="A185" s="59">
        <f t="shared" ref="A185:A192" si="23">A184</f>
        <v>19</v>
      </c>
      <c r="B185" s="157"/>
      <c r="C185" s="148"/>
      <c r="D185" s="149"/>
      <c r="E185" s="158"/>
      <c r="F185" s="159" t="s">
        <v>45</v>
      </c>
      <c r="G185" s="154"/>
      <c r="H185" s="160" t="s">
        <v>15</v>
      </c>
      <c r="I185" s="161" t="s">
        <v>16</v>
      </c>
      <c r="J185" s="161" t="s">
        <v>17</v>
      </c>
      <c r="K185" s="161" t="s">
        <v>18</v>
      </c>
      <c r="L185" s="162" t="s">
        <v>19</v>
      </c>
      <c r="M185" s="149"/>
      <c r="N185" s="160" t="s">
        <v>15</v>
      </c>
      <c r="O185" s="161" t="s">
        <v>16</v>
      </c>
      <c r="P185" s="161" t="s">
        <v>17</v>
      </c>
      <c r="Q185" s="161" t="s">
        <v>18</v>
      </c>
      <c r="R185" s="161" t="s">
        <v>19</v>
      </c>
      <c r="S185" s="163"/>
      <c r="T185" s="160" t="s">
        <v>15</v>
      </c>
      <c r="U185" s="161" t="s">
        <v>16</v>
      </c>
      <c r="V185" s="161" t="s">
        <v>17</v>
      </c>
      <c r="W185" s="161" t="s">
        <v>18</v>
      </c>
      <c r="X185" s="161" t="s">
        <v>19</v>
      </c>
      <c r="Y185" s="163"/>
      <c r="Z185" s="160" t="s">
        <v>15</v>
      </c>
      <c r="AA185" s="161" t="s">
        <v>16</v>
      </c>
      <c r="AB185" s="161" t="s">
        <v>17</v>
      </c>
      <c r="AC185" s="161" t="s">
        <v>18</v>
      </c>
      <c r="AD185" s="161" t="s">
        <v>19</v>
      </c>
      <c r="AE185" s="155"/>
      <c r="AF185" s="156"/>
    </row>
    <row r="186" spans="1:32" ht="13" x14ac:dyDescent="0.3">
      <c r="A186" s="164">
        <f t="shared" si="23"/>
        <v>19</v>
      </c>
      <c r="B186" s="52" t="s">
        <v>20</v>
      </c>
      <c r="C186" s="53"/>
      <c r="D186" s="165"/>
      <c r="E186" s="154"/>
      <c r="F186" s="166" t="s">
        <v>20</v>
      </c>
      <c r="G186" s="154"/>
      <c r="H186" s="167">
        <v>127307.11456951511</v>
      </c>
      <c r="I186" s="168">
        <v>134905.1020397229</v>
      </c>
      <c r="J186" s="168">
        <v>142798.08347323741</v>
      </c>
      <c r="K186" s="168">
        <v>152302.48278826309</v>
      </c>
      <c r="L186" s="169">
        <v>164016.39205186439</v>
      </c>
      <c r="M186" s="149"/>
      <c r="N186" s="170">
        <v>437.30434114363032</v>
      </c>
      <c r="O186" s="171">
        <v>484.1404162709959</v>
      </c>
      <c r="P186" s="171">
        <v>526.00078836211128</v>
      </c>
      <c r="Q186" s="171">
        <v>568.75503370661988</v>
      </c>
      <c r="R186" s="171">
        <v>615.71671989552453</v>
      </c>
      <c r="S186" s="163"/>
      <c r="T186" s="172">
        <v>437.30434114363032</v>
      </c>
      <c r="U186" s="173">
        <v>484.1404162709959</v>
      </c>
      <c r="V186" s="173">
        <v>526.00078836211128</v>
      </c>
      <c r="W186" s="173">
        <v>568.75503370661988</v>
      </c>
      <c r="X186" s="173">
        <v>615.71671989552453</v>
      </c>
      <c r="Y186" s="163"/>
      <c r="Z186" s="174">
        <v>0</v>
      </c>
      <c r="AA186" s="175">
        <v>0</v>
      </c>
      <c r="AB186" s="175">
        <v>0</v>
      </c>
      <c r="AC186" s="175">
        <v>0</v>
      </c>
      <c r="AD186" s="175">
        <v>0</v>
      </c>
      <c r="AE186" s="176"/>
      <c r="AF186" s="156"/>
    </row>
    <row r="187" spans="1:32" ht="13" x14ac:dyDescent="0.3">
      <c r="A187" s="164">
        <f t="shared" si="23"/>
        <v>19</v>
      </c>
      <c r="B187" s="52" t="s">
        <v>21</v>
      </c>
      <c r="C187" s="53"/>
      <c r="D187" s="177"/>
      <c r="E187" s="154"/>
      <c r="F187" s="178" t="s">
        <v>21</v>
      </c>
      <c r="G187" s="154"/>
      <c r="H187" s="167">
        <v>18483.65954150787</v>
      </c>
      <c r="I187" s="168">
        <v>18838.967812923551</v>
      </c>
      <c r="J187" s="168">
        <v>19601.725142932701</v>
      </c>
      <c r="K187" s="168">
        <v>20897.97339763655</v>
      </c>
      <c r="L187" s="169">
        <v>22545.238155101939</v>
      </c>
      <c r="M187" s="149"/>
      <c r="N187" s="179">
        <v>1511.8629653229141</v>
      </c>
      <c r="O187" s="171">
        <v>1667.7758824383779</v>
      </c>
      <c r="P187" s="171">
        <v>1801.958287287408</v>
      </c>
      <c r="Q187" s="171">
        <v>1922.8170613787679</v>
      </c>
      <c r="R187" s="171">
        <v>2050.860425756207</v>
      </c>
      <c r="S187" s="163"/>
      <c r="T187" s="172">
        <v>1511.8629653229141</v>
      </c>
      <c r="U187" s="173">
        <v>1667.7758824383779</v>
      </c>
      <c r="V187" s="173">
        <v>1801.958287287408</v>
      </c>
      <c r="W187" s="173">
        <v>1922.8170613787679</v>
      </c>
      <c r="X187" s="173">
        <v>2050.860425756207</v>
      </c>
      <c r="Y187" s="163"/>
      <c r="Z187" s="180">
        <v>0</v>
      </c>
      <c r="AA187" s="181">
        <v>0</v>
      </c>
      <c r="AB187" s="181">
        <v>0</v>
      </c>
      <c r="AC187" s="181">
        <v>0</v>
      </c>
      <c r="AD187" s="181">
        <v>0</v>
      </c>
      <c r="AE187" s="176"/>
      <c r="AF187" s="156"/>
    </row>
    <row r="188" spans="1:32" ht="13" x14ac:dyDescent="0.3">
      <c r="A188" s="164">
        <f t="shared" si="23"/>
        <v>19</v>
      </c>
      <c r="B188" s="52" t="s">
        <v>22</v>
      </c>
      <c r="C188" s="53"/>
      <c r="D188" s="177">
        <v>19</v>
      </c>
      <c r="E188" s="154"/>
      <c r="F188" s="182" t="s">
        <v>22</v>
      </c>
      <c r="G188" s="154"/>
      <c r="H188" s="167">
        <v>7054.6182577834516</v>
      </c>
      <c r="I188" s="168">
        <v>7398.6424436466386</v>
      </c>
      <c r="J188" s="168">
        <v>7799.4887961201457</v>
      </c>
      <c r="K188" s="168">
        <v>8324.4727844066601</v>
      </c>
      <c r="L188" s="169">
        <v>8936.2253570976991</v>
      </c>
      <c r="M188" s="149"/>
      <c r="N188" s="179">
        <v>1514.193364494889</v>
      </c>
      <c r="O188" s="171">
        <v>1675.6418753827249</v>
      </c>
      <c r="P188" s="171">
        <v>1826.6093293164031</v>
      </c>
      <c r="Q188" s="171">
        <v>1979.772535927236</v>
      </c>
      <c r="R188" s="171">
        <v>2149.2237778677031</v>
      </c>
      <c r="S188" s="163"/>
      <c r="T188" s="172">
        <v>1514.193364494889</v>
      </c>
      <c r="U188" s="173">
        <v>1675.6418753827249</v>
      </c>
      <c r="V188" s="173">
        <v>1826.6093293164031</v>
      </c>
      <c r="W188" s="173">
        <v>1979.772535927236</v>
      </c>
      <c r="X188" s="173">
        <v>2149.2237778677031</v>
      </c>
      <c r="Y188" s="163"/>
      <c r="Z188" s="180">
        <v>0</v>
      </c>
      <c r="AA188" s="181">
        <v>0</v>
      </c>
      <c r="AB188" s="181">
        <v>0</v>
      </c>
      <c r="AC188" s="181">
        <v>0</v>
      </c>
      <c r="AD188" s="181">
        <v>0</v>
      </c>
      <c r="AE188" s="176"/>
      <c r="AF188" s="156"/>
    </row>
    <row r="189" spans="1:32" ht="13" x14ac:dyDescent="0.3">
      <c r="A189" s="164">
        <f t="shared" si="23"/>
        <v>19</v>
      </c>
      <c r="B189" s="52" t="s">
        <v>24</v>
      </c>
      <c r="C189" s="53"/>
      <c r="D189" s="177"/>
      <c r="E189" s="154"/>
      <c r="F189" s="183" t="s">
        <v>24</v>
      </c>
      <c r="G189" s="154"/>
      <c r="H189" s="184">
        <v>5189.9768856654</v>
      </c>
      <c r="I189" s="185">
        <v>5815.8998546054154</v>
      </c>
      <c r="J189" s="185">
        <v>6581.8001332644653</v>
      </c>
      <c r="K189" s="185">
        <v>7532.3348051045996</v>
      </c>
      <c r="L189" s="186">
        <v>8653.6401442105107</v>
      </c>
      <c r="M189" s="149"/>
      <c r="N189" s="187">
        <v>1639.208107714722</v>
      </c>
      <c r="O189" s="188">
        <v>1634.5736394960611</v>
      </c>
      <c r="P189" s="188">
        <v>1712.319853178954</v>
      </c>
      <c r="Q189" s="188">
        <v>1780.0951399830881</v>
      </c>
      <c r="R189" s="188">
        <v>1858.3509302000641</v>
      </c>
      <c r="S189" s="163"/>
      <c r="T189" s="189">
        <v>1639.208107714722</v>
      </c>
      <c r="U189" s="190">
        <v>1634.5736394960611</v>
      </c>
      <c r="V189" s="190">
        <v>1712.319853178954</v>
      </c>
      <c r="W189" s="190">
        <v>1780.0951399830881</v>
      </c>
      <c r="X189" s="190">
        <v>1858.3509302000641</v>
      </c>
      <c r="Y189" s="163"/>
      <c r="Z189" s="191">
        <v>0</v>
      </c>
      <c r="AA189" s="192">
        <v>0</v>
      </c>
      <c r="AB189" s="192">
        <v>0</v>
      </c>
      <c r="AC189" s="192">
        <v>0</v>
      </c>
      <c r="AD189" s="192">
        <v>0</v>
      </c>
      <c r="AE189" s="176"/>
      <c r="AF189" s="156"/>
    </row>
    <row r="190" spans="1:32" ht="13" x14ac:dyDescent="0.3">
      <c r="A190" s="164">
        <f t="shared" si="23"/>
        <v>19</v>
      </c>
      <c r="B190" s="56"/>
      <c r="C190" s="60"/>
      <c r="D190" s="193"/>
      <c r="E190" s="194"/>
      <c r="F190" s="195" t="s">
        <v>25</v>
      </c>
      <c r="G190" s="194"/>
      <c r="H190" s="196">
        <f>SUM(H186:H189)</f>
        <v>158035.36925447182</v>
      </c>
      <c r="I190" s="197">
        <f>SUM(I186:I189)</f>
        <v>166958.61215089849</v>
      </c>
      <c r="J190" s="197">
        <f>SUM(J186:J189)</f>
        <v>176781.09754555472</v>
      </c>
      <c r="K190" s="197">
        <f>SUM(K186:K189)</f>
        <v>189057.26377541089</v>
      </c>
      <c r="L190" s="198">
        <f>SUM(L186:L189)</f>
        <v>204151.49570827454</v>
      </c>
      <c r="M190" s="199"/>
      <c r="N190" s="200">
        <f>IF(H190=0,0,SUMPRODUCT(N186:N189,H186:H189)/H190)</f>
        <v>650.52667016227201</v>
      </c>
      <c r="O190" s="201">
        <f>IF(I190=0,0,SUMPRODUCT(O186:O189,I186:I189)/I190)</f>
        <v>710.57239030976348</v>
      </c>
      <c r="P190" s="201">
        <f>IF(J190=0,0,SUMPRODUCT(P186:P189,J186:J189)/J190)</f>
        <v>769.03109820133591</v>
      </c>
      <c r="Q190" s="201">
        <f>IF(K190=0,0,SUMPRODUCT(Q186:Q189,K186:K189)/K190)</f>
        <v>828.82093802613167</v>
      </c>
      <c r="R190" s="201">
        <f>IF(L190=0,0,SUMPRODUCT(R186:R189,L186:L189)/L190)</f>
        <v>894.00383399146074</v>
      </c>
      <c r="S190" s="202"/>
      <c r="T190" s="200">
        <f>IF(H190=0,0,SUMPRODUCT(T186:T189,H186:H189)/H190)</f>
        <v>650.52667016227201</v>
      </c>
      <c r="U190" s="201">
        <f>IF(I190=0,0,SUMPRODUCT(U186:U189,I186:I189)/I190)</f>
        <v>710.57239030976348</v>
      </c>
      <c r="V190" s="201">
        <f>IF(J190=0,0,SUMPRODUCT(V186:V189,J186:J189)/J190)</f>
        <v>769.03109820133591</v>
      </c>
      <c r="W190" s="201">
        <f>IF(K190=0,0,SUMPRODUCT(W186:W189,K186:K189)/K190)</f>
        <v>828.82093802613167</v>
      </c>
      <c r="X190" s="201">
        <f>IF(L190=0,0,SUMPRODUCT(X186:X189,L186:L189)/L190)</f>
        <v>894.00383399146074</v>
      </c>
      <c r="Y190" s="202"/>
      <c r="Z190" s="203">
        <f>SUM(Z186:Z189)</f>
        <v>0</v>
      </c>
      <c r="AA190" s="204">
        <f>SUM(AA186:AA189)</f>
        <v>0</v>
      </c>
      <c r="AB190" s="204">
        <f>SUM(AB186:AB189)</f>
        <v>0</v>
      </c>
      <c r="AC190" s="204">
        <f>SUM(AC186:AC189)</f>
        <v>0</v>
      </c>
      <c r="AD190" s="204">
        <f>SUM(AD186:AD189)</f>
        <v>0</v>
      </c>
      <c r="AE190" s="205"/>
      <c r="AF190" s="51"/>
    </row>
    <row r="191" spans="1:32" ht="15.65" customHeight="1" x14ac:dyDescent="0.3">
      <c r="A191" s="164">
        <f t="shared" si="23"/>
        <v>19</v>
      </c>
      <c r="B191" s="157"/>
      <c r="C191" s="148"/>
      <c r="D191" s="150"/>
      <c r="E191" s="206"/>
      <c r="F191" s="206"/>
      <c r="G191" s="206"/>
      <c r="H191" s="206"/>
      <c r="I191" s="206"/>
      <c r="J191" s="206"/>
      <c r="K191" s="206"/>
      <c r="L191" s="206"/>
      <c r="M191" s="206"/>
      <c r="N191" s="207">
        <f>SUM(N190*H190)</f>
        <v>102806222.52897665</v>
      </c>
      <c r="O191" s="207">
        <f>SUM(O190*I190)</f>
        <v>118636180.11886467</v>
      </c>
      <c r="P191" s="207">
        <f>SUM(P190*J190)</f>
        <v>135950161.58669543</v>
      </c>
      <c r="Q191" s="207">
        <f>SUM(Q190*K190)</f>
        <v>156694618.70298985</v>
      </c>
      <c r="R191" s="207">
        <f>SUM(R190*L190)</f>
        <v>182512219.87828869</v>
      </c>
      <c r="S191" s="208"/>
      <c r="T191" s="207">
        <f>SUM(T190*H190)</f>
        <v>102806222.52897665</v>
      </c>
      <c r="U191" s="207">
        <f>SUM(U190*I190)</f>
        <v>118636180.11886467</v>
      </c>
      <c r="V191" s="207">
        <f>SUM(V190*J190)</f>
        <v>135950161.58669543</v>
      </c>
      <c r="W191" s="207">
        <f>SUM(W190*K190)</f>
        <v>156694618.70298985</v>
      </c>
      <c r="X191" s="207">
        <f>SUM(X190*L190)</f>
        <v>182512219.87828869</v>
      </c>
      <c r="Y191" s="149"/>
      <c r="Z191" s="209">
        <f>IFERROR(Z190/SUMPRODUCT(N186:N189,H186:H189), 0)</f>
        <v>0</v>
      </c>
      <c r="AA191" s="209">
        <f>IFERROR(AA190/SUMPRODUCT(O186:O189,I186:I189), 0)</f>
        <v>0</v>
      </c>
      <c r="AB191" s="209">
        <f>IFERROR(AB190/SUMPRODUCT(P186:P189,J186:J189), 0)</f>
        <v>0</v>
      </c>
      <c r="AC191" s="209">
        <f>IFERROR(AC190/SUMPRODUCT(Q186:Q189,K186:K189), 0)</f>
        <v>0</v>
      </c>
      <c r="AD191" s="209">
        <f>IFERROR(AD190/SUMPRODUCT(R186:R189,L186:L189), 0)</f>
        <v>0</v>
      </c>
      <c r="AE191" s="210"/>
      <c r="AF191" s="156"/>
    </row>
    <row r="192" spans="1:32" ht="13" x14ac:dyDescent="0.3">
      <c r="A192" s="211">
        <f t="shared" si="23"/>
        <v>19</v>
      </c>
      <c r="B192" s="212"/>
      <c r="C192" s="148"/>
      <c r="D192" s="150"/>
      <c r="E192" s="206"/>
      <c r="F192" s="206"/>
      <c r="G192" s="206"/>
      <c r="H192" s="206"/>
      <c r="I192" s="206"/>
      <c r="J192" s="206"/>
      <c r="K192" s="206"/>
      <c r="L192" s="206"/>
      <c r="M192" s="206"/>
      <c r="N192" s="213"/>
      <c r="O192" s="206"/>
      <c r="P192" s="206"/>
      <c r="Q192" s="206"/>
      <c r="R192" s="214"/>
      <c r="S192" s="206"/>
      <c r="T192" s="206"/>
      <c r="U192" s="206"/>
      <c r="V192" s="206"/>
      <c r="W192" s="206"/>
      <c r="X192" s="206"/>
      <c r="Y192" s="149"/>
      <c r="Z192" s="210"/>
      <c r="AA192" s="210"/>
      <c r="AB192" s="210"/>
      <c r="AC192" s="210"/>
      <c r="AD192" s="215"/>
      <c r="AE192" s="210"/>
      <c r="AF192" s="156"/>
    </row>
    <row r="193" spans="1:32" ht="13" x14ac:dyDescent="0.3">
      <c r="A193" s="58">
        <v>20</v>
      </c>
      <c r="B193" s="147"/>
      <c r="C193" s="148"/>
      <c r="D193" s="149"/>
      <c r="E193" s="149"/>
      <c r="F193" s="150"/>
      <c r="G193" s="149"/>
      <c r="H193" s="151" t="s">
        <v>10</v>
      </c>
      <c r="I193" s="152"/>
      <c r="J193" s="152"/>
      <c r="K193" s="152"/>
      <c r="L193" s="153"/>
      <c r="M193" s="149"/>
      <c r="N193" s="151" t="s">
        <v>11</v>
      </c>
      <c r="O193" s="152"/>
      <c r="P193" s="152"/>
      <c r="Q193" s="152"/>
      <c r="R193" s="153"/>
      <c r="S193" s="154"/>
      <c r="T193" s="151" t="s">
        <v>12</v>
      </c>
      <c r="U193" s="152"/>
      <c r="V193" s="152"/>
      <c r="W193" s="152"/>
      <c r="X193" s="153"/>
      <c r="Y193" s="154"/>
      <c r="Z193" s="151" t="s">
        <v>13</v>
      </c>
      <c r="AA193" s="152"/>
      <c r="AB193" s="152"/>
      <c r="AC193" s="152"/>
      <c r="AD193" s="153"/>
      <c r="AE193" s="155"/>
      <c r="AF193" s="156"/>
    </row>
    <row r="194" spans="1:32" ht="13" x14ac:dyDescent="0.3">
      <c r="A194" s="59">
        <f t="shared" ref="A194:A201" si="24">A193</f>
        <v>20</v>
      </c>
      <c r="B194" s="157"/>
      <c r="C194" s="148"/>
      <c r="D194" s="149"/>
      <c r="E194" s="158"/>
      <c r="F194" s="159" t="s">
        <v>46</v>
      </c>
      <c r="G194" s="154"/>
      <c r="H194" s="160" t="s">
        <v>15</v>
      </c>
      <c r="I194" s="161" t="s">
        <v>16</v>
      </c>
      <c r="J194" s="161" t="s">
        <v>17</v>
      </c>
      <c r="K194" s="161" t="s">
        <v>18</v>
      </c>
      <c r="L194" s="162" t="s">
        <v>19</v>
      </c>
      <c r="M194" s="149"/>
      <c r="N194" s="160" t="s">
        <v>15</v>
      </c>
      <c r="O194" s="161" t="s">
        <v>16</v>
      </c>
      <c r="P194" s="161" t="s">
        <v>17</v>
      </c>
      <c r="Q194" s="161" t="s">
        <v>18</v>
      </c>
      <c r="R194" s="161" t="s">
        <v>19</v>
      </c>
      <c r="S194" s="163"/>
      <c r="T194" s="160" t="s">
        <v>15</v>
      </c>
      <c r="U194" s="161" t="s">
        <v>16</v>
      </c>
      <c r="V194" s="161" t="s">
        <v>17</v>
      </c>
      <c r="W194" s="161" t="s">
        <v>18</v>
      </c>
      <c r="X194" s="161" t="s">
        <v>19</v>
      </c>
      <c r="Y194" s="163"/>
      <c r="Z194" s="160" t="s">
        <v>15</v>
      </c>
      <c r="AA194" s="161" t="s">
        <v>16</v>
      </c>
      <c r="AB194" s="161" t="s">
        <v>17</v>
      </c>
      <c r="AC194" s="161" t="s">
        <v>18</v>
      </c>
      <c r="AD194" s="161" t="s">
        <v>19</v>
      </c>
      <c r="AE194" s="155"/>
      <c r="AF194" s="156"/>
    </row>
    <row r="195" spans="1:32" ht="13" x14ac:dyDescent="0.3">
      <c r="A195" s="164">
        <f t="shared" si="24"/>
        <v>20</v>
      </c>
      <c r="B195" s="52" t="s">
        <v>20</v>
      </c>
      <c r="C195" s="53"/>
      <c r="D195" s="165"/>
      <c r="E195" s="154"/>
      <c r="F195" s="166" t="s">
        <v>20</v>
      </c>
      <c r="G195" s="154"/>
      <c r="H195" s="167">
        <v>128097.98537497511</v>
      </c>
      <c r="I195" s="168">
        <v>136975.15402519199</v>
      </c>
      <c r="J195" s="168">
        <v>145389.14633470529</v>
      </c>
      <c r="K195" s="168">
        <v>155545.62543822761</v>
      </c>
      <c r="L195" s="169">
        <v>168075.60954213649</v>
      </c>
      <c r="M195" s="149"/>
      <c r="N195" s="170">
        <v>434.71272463779241</v>
      </c>
      <c r="O195" s="171">
        <v>477.01570757174773</v>
      </c>
      <c r="P195" s="171">
        <v>516.7731512546294</v>
      </c>
      <c r="Q195" s="171">
        <v>556.97437979142262</v>
      </c>
      <c r="R195" s="171">
        <v>600.8281815976834</v>
      </c>
      <c r="S195" s="163"/>
      <c r="T195" s="172">
        <v>434.71272463779241</v>
      </c>
      <c r="U195" s="173">
        <v>477.01570757174773</v>
      </c>
      <c r="V195" s="173">
        <v>516.7731512546294</v>
      </c>
      <c r="W195" s="173">
        <v>556.97437979142262</v>
      </c>
      <c r="X195" s="173">
        <v>600.8281815976834</v>
      </c>
      <c r="Y195" s="163"/>
      <c r="Z195" s="174">
        <v>0</v>
      </c>
      <c r="AA195" s="175">
        <v>0</v>
      </c>
      <c r="AB195" s="175">
        <v>0</v>
      </c>
      <c r="AC195" s="175">
        <v>0</v>
      </c>
      <c r="AD195" s="175">
        <v>0</v>
      </c>
      <c r="AE195" s="176"/>
      <c r="AF195" s="156"/>
    </row>
    <row r="196" spans="1:32" ht="13" x14ac:dyDescent="0.3">
      <c r="A196" s="164">
        <f t="shared" si="24"/>
        <v>20</v>
      </c>
      <c r="B196" s="52" t="s">
        <v>21</v>
      </c>
      <c r="C196" s="53"/>
      <c r="D196" s="177"/>
      <c r="E196" s="154"/>
      <c r="F196" s="178" t="s">
        <v>21</v>
      </c>
      <c r="G196" s="154"/>
      <c r="H196" s="167">
        <v>18516.347728500161</v>
      </c>
      <c r="I196" s="168">
        <v>18924.067945751682</v>
      </c>
      <c r="J196" s="168">
        <v>19708.239347762468</v>
      </c>
      <c r="K196" s="168">
        <v>21031.283724091689</v>
      </c>
      <c r="L196" s="169">
        <v>22712.078010476249</v>
      </c>
      <c r="M196" s="149"/>
      <c r="N196" s="179">
        <v>1509.2483869309681</v>
      </c>
      <c r="O196" s="171">
        <v>1660.2904504164781</v>
      </c>
      <c r="P196" s="171">
        <v>1792.092014930909</v>
      </c>
      <c r="Q196" s="171">
        <v>1910.3257840108031</v>
      </c>
      <c r="R196" s="171">
        <v>2035.2754189761879</v>
      </c>
      <c r="S196" s="163"/>
      <c r="T196" s="172">
        <v>1509.2483869309681</v>
      </c>
      <c r="U196" s="173">
        <v>1660.2904504164781</v>
      </c>
      <c r="V196" s="173">
        <v>1792.092014930909</v>
      </c>
      <c r="W196" s="173">
        <v>1910.3257840108031</v>
      </c>
      <c r="X196" s="173">
        <v>2035.2754189761879</v>
      </c>
      <c r="Y196" s="163"/>
      <c r="Z196" s="180">
        <v>0</v>
      </c>
      <c r="AA196" s="181">
        <v>0</v>
      </c>
      <c r="AB196" s="181">
        <v>0</v>
      </c>
      <c r="AC196" s="181">
        <v>0</v>
      </c>
      <c r="AD196" s="181">
        <v>0</v>
      </c>
      <c r="AE196" s="176"/>
      <c r="AF196" s="156"/>
    </row>
    <row r="197" spans="1:32" ht="13" x14ac:dyDescent="0.3">
      <c r="A197" s="164">
        <f t="shared" si="24"/>
        <v>20</v>
      </c>
      <c r="B197" s="52" t="s">
        <v>22</v>
      </c>
      <c r="C197" s="53"/>
      <c r="D197" s="177">
        <v>20</v>
      </c>
      <c r="E197" s="154"/>
      <c r="F197" s="182" t="s">
        <v>22</v>
      </c>
      <c r="G197" s="154"/>
      <c r="H197" s="167">
        <v>7082.5403813551784</v>
      </c>
      <c r="I197" s="168">
        <v>7471.3272206952997</v>
      </c>
      <c r="J197" s="168">
        <v>7890.4539282505903</v>
      </c>
      <c r="K197" s="168">
        <v>8438.3131632497243</v>
      </c>
      <c r="L197" s="169">
        <v>9078.6911033362485</v>
      </c>
      <c r="M197" s="149"/>
      <c r="N197" s="179">
        <v>1508.340195886301</v>
      </c>
      <c r="O197" s="171">
        <v>1659.4787761005441</v>
      </c>
      <c r="P197" s="171">
        <v>1805.541300171541</v>
      </c>
      <c r="Q197" s="171">
        <v>1952.8513390290491</v>
      </c>
      <c r="R197" s="171">
        <v>2115.0101845153358</v>
      </c>
      <c r="S197" s="163"/>
      <c r="T197" s="172">
        <v>1508.340195886301</v>
      </c>
      <c r="U197" s="173">
        <v>1659.4787761005441</v>
      </c>
      <c r="V197" s="173">
        <v>1805.541300171541</v>
      </c>
      <c r="W197" s="173">
        <v>1952.8513390290491</v>
      </c>
      <c r="X197" s="173">
        <v>2115.0101845153358</v>
      </c>
      <c r="Y197" s="163"/>
      <c r="Z197" s="180">
        <v>0</v>
      </c>
      <c r="AA197" s="181">
        <v>0</v>
      </c>
      <c r="AB197" s="181">
        <v>0</v>
      </c>
      <c r="AC197" s="181">
        <v>0</v>
      </c>
      <c r="AD197" s="181">
        <v>0</v>
      </c>
      <c r="AE197" s="176"/>
      <c r="AF197" s="156"/>
    </row>
    <row r="198" spans="1:32" ht="13" x14ac:dyDescent="0.3">
      <c r="A198" s="164">
        <f t="shared" si="24"/>
        <v>20</v>
      </c>
      <c r="B198" s="52" t="s">
        <v>24</v>
      </c>
      <c r="C198" s="53"/>
      <c r="D198" s="177"/>
      <c r="E198" s="154"/>
      <c r="F198" s="183" t="s">
        <v>24</v>
      </c>
      <c r="G198" s="154"/>
      <c r="H198" s="184">
        <v>5189.9768856654</v>
      </c>
      <c r="I198" s="185">
        <v>5815.8998546054154</v>
      </c>
      <c r="J198" s="185">
        <v>6581.8001332644653</v>
      </c>
      <c r="K198" s="185">
        <v>7532.3348051045996</v>
      </c>
      <c r="L198" s="186">
        <v>8653.6401442105107</v>
      </c>
      <c r="M198" s="149"/>
      <c r="N198" s="187">
        <v>1639.208107714722</v>
      </c>
      <c r="O198" s="188">
        <v>1634.5736394960611</v>
      </c>
      <c r="P198" s="188">
        <v>1712.319853178954</v>
      </c>
      <c r="Q198" s="188">
        <v>1780.0951399830881</v>
      </c>
      <c r="R198" s="188">
        <v>1858.3509302000641</v>
      </c>
      <c r="S198" s="163"/>
      <c r="T198" s="189">
        <v>1639.208107714722</v>
      </c>
      <c r="U198" s="190">
        <v>1634.5736394960611</v>
      </c>
      <c r="V198" s="190">
        <v>1712.319853178954</v>
      </c>
      <c r="W198" s="190">
        <v>1780.0951399830881</v>
      </c>
      <c r="X198" s="190">
        <v>1858.3509302000641</v>
      </c>
      <c r="Y198" s="163"/>
      <c r="Z198" s="191">
        <v>0</v>
      </c>
      <c r="AA198" s="192">
        <v>0</v>
      </c>
      <c r="AB198" s="192">
        <v>0</v>
      </c>
      <c r="AC198" s="192">
        <v>0</v>
      </c>
      <c r="AD198" s="192">
        <v>0</v>
      </c>
      <c r="AE198" s="176"/>
      <c r="AF198" s="156"/>
    </row>
    <row r="199" spans="1:32" ht="13" x14ac:dyDescent="0.3">
      <c r="A199" s="164">
        <f t="shared" si="24"/>
        <v>20</v>
      </c>
      <c r="B199" s="56"/>
      <c r="C199" s="60"/>
      <c r="D199" s="193"/>
      <c r="E199" s="194"/>
      <c r="F199" s="195" t="s">
        <v>25</v>
      </c>
      <c r="G199" s="194"/>
      <c r="H199" s="196">
        <f>SUM(H195:H198)</f>
        <v>158886.85037049587</v>
      </c>
      <c r="I199" s="197">
        <f>SUM(I195:I198)</f>
        <v>169186.44904624438</v>
      </c>
      <c r="J199" s="197">
        <f>SUM(J195:J198)</f>
        <v>179569.63974398281</v>
      </c>
      <c r="K199" s="197">
        <f>SUM(K195:K198)</f>
        <v>192547.55713067361</v>
      </c>
      <c r="L199" s="198">
        <f>SUM(L195:L198)</f>
        <v>208520.01880015951</v>
      </c>
      <c r="M199" s="199"/>
      <c r="N199" s="200">
        <f>IF(H199=0,0,SUMPRODUCT(N195:N198,H195:H198)/H199)</f>
        <v>647.13929743284268</v>
      </c>
      <c r="O199" s="201">
        <f>IF(I199=0,0,SUMPRODUCT(O195:O198,I195:I198)/I199)</f>
        <v>701.37871870777587</v>
      </c>
      <c r="P199" s="201">
        <f>IF(J199=0,0,SUMPRODUCT(P195:P198,J195:J198)/J199)</f>
        <v>757.19299403470779</v>
      </c>
      <c r="Q199" s="201">
        <f>IF(K199=0,0,SUMPRODUCT(Q195:Q198,K195:K198)/K199)</f>
        <v>813.8175207263273</v>
      </c>
      <c r="R199" s="201">
        <f>IF(L199=0,0,SUMPRODUCT(R195:R198,L195:L198)/L199)</f>
        <v>875.18178037787322</v>
      </c>
      <c r="S199" s="202"/>
      <c r="T199" s="200">
        <f>IF(H199=0,0,SUMPRODUCT(T195:T198,H195:H198)/H199)</f>
        <v>647.13929743284268</v>
      </c>
      <c r="U199" s="201">
        <f>IF(I199=0,0,SUMPRODUCT(U195:U198,I195:I198)/I199)</f>
        <v>701.37871870777587</v>
      </c>
      <c r="V199" s="201">
        <f>IF(J199=0,0,SUMPRODUCT(V195:V198,J195:J198)/J199)</f>
        <v>757.19299403470779</v>
      </c>
      <c r="W199" s="201">
        <f>IF(K199=0,0,SUMPRODUCT(W195:W198,K195:K198)/K199)</f>
        <v>813.8175207263273</v>
      </c>
      <c r="X199" s="201">
        <f>IF(L199=0,0,SUMPRODUCT(X195:X198,L195:L198)/L199)</f>
        <v>875.18178037787322</v>
      </c>
      <c r="Y199" s="202"/>
      <c r="Z199" s="203">
        <f>SUM(Z195:Z198)</f>
        <v>0</v>
      </c>
      <c r="AA199" s="204">
        <f>SUM(AA195:AA198)</f>
        <v>0</v>
      </c>
      <c r="AB199" s="204">
        <f>SUM(AB195:AB198)</f>
        <v>0</v>
      </c>
      <c r="AC199" s="204">
        <f>SUM(AC195:AC198)</f>
        <v>0</v>
      </c>
      <c r="AD199" s="204">
        <f>SUM(AD195:AD198)</f>
        <v>0</v>
      </c>
      <c r="AE199" s="205"/>
      <c r="AF199" s="51"/>
    </row>
    <row r="200" spans="1:32" ht="15.65" customHeight="1" x14ac:dyDescent="0.3">
      <c r="A200" s="164">
        <f t="shared" si="24"/>
        <v>20</v>
      </c>
      <c r="B200" s="157"/>
      <c r="C200" s="148"/>
      <c r="D200" s="150"/>
      <c r="E200" s="206"/>
      <c r="F200" s="206"/>
      <c r="G200" s="206"/>
      <c r="H200" s="206"/>
      <c r="I200" s="206"/>
      <c r="J200" s="206"/>
      <c r="K200" s="206"/>
      <c r="L200" s="206"/>
      <c r="M200" s="206"/>
      <c r="N200" s="207">
        <f>SUM(N199*H199)</f>
        <v>102821924.7200799</v>
      </c>
      <c r="O200" s="207">
        <f>SUM(O199*I199)</f>
        <v>118663774.8547733</v>
      </c>
      <c r="P200" s="207">
        <f>SUM(P199*J199)</f>
        <v>135968873.15548021</v>
      </c>
      <c r="Q200" s="207">
        <f>SUM(Q199*K199)</f>
        <v>156698575.56599566</v>
      </c>
      <c r="R200" s="207">
        <f>SUM(R199*L199)</f>
        <v>182492921.29795119</v>
      </c>
      <c r="S200" s="208"/>
      <c r="T200" s="207">
        <f>SUM(T199*H199)</f>
        <v>102821924.7200799</v>
      </c>
      <c r="U200" s="207">
        <f>SUM(U199*I199)</f>
        <v>118663774.8547733</v>
      </c>
      <c r="V200" s="207">
        <f>SUM(V199*J199)</f>
        <v>135968873.15548021</v>
      </c>
      <c r="W200" s="207">
        <f>SUM(W199*K199)</f>
        <v>156698575.56599566</v>
      </c>
      <c r="X200" s="207">
        <f>SUM(X199*L199)</f>
        <v>182492921.29795119</v>
      </c>
      <c r="Y200" s="149"/>
      <c r="Z200" s="209">
        <f>IFERROR(Z199/SUMPRODUCT(N195:N198,H195:H198), 0)</f>
        <v>0</v>
      </c>
      <c r="AA200" s="209">
        <f>IFERROR(AA199/SUMPRODUCT(O195:O198,I195:I198), 0)</f>
        <v>0</v>
      </c>
      <c r="AB200" s="209">
        <f>IFERROR(AB199/SUMPRODUCT(P195:P198,J195:J198), 0)</f>
        <v>0</v>
      </c>
      <c r="AC200" s="209">
        <f>IFERROR(AC199/SUMPRODUCT(Q195:Q198,K195:K198), 0)</f>
        <v>0</v>
      </c>
      <c r="AD200" s="209">
        <f>IFERROR(AD199/SUMPRODUCT(R195:R198,L195:L198), 0)</f>
        <v>0</v>
      </c>
      <c r="AE200" s="210"/>
      <c r="AF200" s="156"/>
    </row>
    <row r="201" spans="1:32" ht="13" x14ac:dyDescent="0.3">
      <c r="A201" s="211">
        <f t="shared" si="24"/>
        <v>20</v>
      </c>
      <c r="B201" s="212"/>
      <c r="C201" s="148"/>
      <c r="D201" s="150"/>
      <c r="E201" s="206"/>
      <c r="F201" s="206"/>
      <c r="G201" s="206"/>
      <c r="H201" s="206"/>
      <c r="I201" s="206"/>
      <c r="J201" s="206"/>
      <c r="K201" s="206"/>
      <c r="L201" s="206"/>
      <c r="M201" s="206"/>
      <c r="N201" s="213"/>
      <c r="O201" s="206"/>
      <c r="P201" s="206"/>
      <c r="Q201" s="206"/>
      <c r="R201" s="214"/>
      <c r="S201" s="206"/>
      <c r="T201" s="206"/>
      <c r="U201" s="206"/>
      <c r="V201" s="206"/>
      <c r="W201" s="206"/>
      <c r="X201" s="206"/>
      <c r="Y201" s="149"/>
      <c r="Z201" s="210"/>
      <c r="AA201" s="210"/>
      <c r="AB201" s="210"/>
      <c r="AC201" s="210"/>
      <c r="AD201" s="215"/>
      <c r="AE201" s="210"/>
      <c r="AF201" s="156"/>
    </row>
    <row r="202" spans="1:32" ht="13" x14ac:dyDescent="0.3">
      <c r="A202" s="137" t="e">
        <f>#REF!+1</f>
        <v>#REF!</v>
      </c>
      <c r="B202" s="135"/>
      <c r="C202" s="124"/>
      <c r="D202" s="7"/>
      <c r="E202" s="120"/>
      <c r="F202" s="120"/>
      <c r="G202" s="120"/>
      <c r="H202" s="120"/>
      <c r="I202" s="120"/>
      <c r="J202" s="120"/>
      <c r="K202" s="120"/>
      <c r="L202" s="120"/>
      <c r="M202" s="120"/>
      <c r="N202" s="129"/>
      <c r="O202" s="120"/>
      <c r="P202" s="120"/>
      <c r="Q202" s="120"/>
      <c r="R202" s="25"/>
      <c r="S202" s="120"/>
      <c r="T202" s="120"/>
      <c r="U202" s="120"/>
      <c r="V202" s="120"/>
      <c r="W202" s="120"/>
      <c r="X202" s="120"/>
      <c r="Y202" s="126"/>
      <c r="Z202" s="5"/>
      <c r="AA202" s="5"/>
      <c r="AB202" s="5"/>
      <c r="AC202" s="5"/>
      <c r="AD202" s="3"/>
      <c r="AE202" s="5"/>
      <c r="AF202" s="132"/>
    </row>
    <row r="203" spans="1:32" x14ac:dyDescent="0.25">
      <c r="A203" s="130"/>
      <c r="B203" s="124"/>
      <c r="C203" s="124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90"/>
    </row>
    <row r="204" spans="1:32" ht="15.5" x14ac:dyDescent="0.35">
      <c r="A204" s="130"/>
      <c r="B204" s="124"/>
      <c r="C204" s="124"/>
      <c r="D204" s="91" t="s">
        <v>47</v>
      </c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32"/>
    </row>
    <row r="205" spans="1:32" ht="13" x14ac:dyDescent="0.3">
      <c r="A205" s="130"/>
      <c r="B205" s="124"/>
      <c r="C205" s="124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07" t="s">
        <v>48</v>
      </c>
      <c r="U205" s="138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32"/>
    </row>
    <row r="206" spans="1:32" ht="13" x14ac:dyDescent="0.3">
      <c r="A206" s="130"/>
      <c r="B206" s="124"/>
      <c r="C206" s="124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2" t="s">
        <v>49</v>
      </c>
      <c r="U206" s="120"/>
      <c r="V206" s="108">
        <f>T15</f>
        <v>1085.8461704262081</v>
      </c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32"/>
    </row>
    <row r="207" spans="1:32" ht="13" x14ac:dyDescent="0.3">
      <c r="A207" s="130"/>
      <c r="B207" s="124"/>
      <c r="C207" s="124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2" t="s">
        <v>50</v>
      </c>
      <c r="U207" s="120"/>
      <c r="V207" s="109">
        <f>U15</f>
        <v>1178.533782936767</v>
      </c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32"/>
    </row>
    <row r="208" spans="1:32" ht="13" x14ac:dyDescent="0.3">
      <c r="A208" s="130"/>
      <c r="B208" s="124"/>
      <c r="C208" s="124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2" t="s">
        <v>51</v>
      </c>
      <c r="U208" s="120"/>
      <c r="V208" s="109">
        <f>V15</f>
        <v>1259.4605838395792</v>
      </c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32"/>
    </row>
    <row r="209" spans="1:32" ht="13" x14ac:dyDescent="0.3">
      <c r="A209" s="130"/>
      <c r="B209" s="124"/>
      <c r="C209" s="124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2" t="s">
        <v>52</v>
      </c>
      <c r="U209" s="120"/>
      <c r="V209" s="109">
        <f>W15</f>
        <v>1333.8403092709304</v>
      </c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32"/>
    </row>
    <row r="210" spans="1:32" ht="13" x14ac:dyDescent="0.3">
      <c r="A210" s="130"/>
      <c r="B210" s="124"/>
      <c r="C210" s="124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2" t="s">
        <v>53</v>
      </c>
      <c r="U210" s="120"/>
      <c r="V210" s="109">
        <f>X15</f>
        <v>1400.3938169363903</v>
      </c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32"/>
    </row>
    <row r="211" spans="1:32" ht="13" x14ac:dyDescent="0.3">
      <c r="A211" s="130"/>
      <c r="B211" s="124"/>
      <c r="C211" s="124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2"/>
      <c r="U211" s="120"/>
      <c r="V211" s="109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32"/>
    </row>
    <row r="212" spans="1:32" ht="13" x14ac:dyDescent="0.3">
      <c r="A212" s="130"/>
      <c r="B212" s="124"/>
      <c r="C212" s="124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2" t="s">
        <v>54</v>
      </c>
      <c r="U212" s="120"/>
      <c r="V212" s="109">
        <f>T13</f>
        <v>433.65905734489627</v>
      </c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32"/>
    </row>
    <row r="213" spans="1:32" ht="13" x14ac:dyDescent="0.3">
      <c r="A213" s="130"/>
      <c r="B213" s="124"/>
      <c r="C213" s="124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2" t="s">
        <v>55</v>
      </c>
      <c r="U213" s="120"/>
      <c r="V213" s="109">
        <f>U13</f>
        <v>476.40600497873271</v>
      </c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32"/>
    </row>
    <row r="214" spans="1:32" ht="13" x14ac:dyDescent="0.3">
      <c r="A214" s="130"/>
      <c r="B214" s="124"/>
      <c r="C214" s="124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2" t="s">
        <v>56</v>
      </c>
      <c r="U214" s="120"/>
      <c r="V214" s="109">
        <f>V13</f>
        <v>515.29404773513068</v>
      </c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32"/>
    </row>
    <row r="215" spans="1:32" ht="13" x14ac:dyDescent="0.3">
      <c r="A215" s="130"/>
      <c r="B215" s="124"/>
      <c r="C215" s="124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2" t="s">
        <v>57</v>
      </c>
      <c r="U215" s="120"/>
      <c r="V215" s="109">
        <f>W13</f>
        <v>553.07312437943096</v>
      </c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32"/>
    </row>
    <row r="216" spans="1:32" ht="13" x14ac:dyDescent="0.3">
      <c r="A216" s="130"/>
      <c r="B216" s="124"/>
      <c r="C216" s="124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2" t="s">
        <v>58</v>
      </c>
      <c r="U216" s="120"/>
      <c r="V216" s="109">
        <f>X13</f>
        <v>590.00312373853512</v>
      </c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32"/>
    </row>
    <row r="217" spans="1:32" ht="13" x14ac:dyDescent="0.3">
      <c r="A217" s="130"/>
      <c r="B217" s="124"/>
      <c r="C217" s="124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2"/>
      <c r="U217" s="120"/>
      <c r="V217" s="109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32"/>
    </row>
    <row r="218" spans="1:32" ht="13" x14ac:dyDescent="0.3">
      <c r="A218" s="130"/>
      <c r="B218" s="124"/>
      <c r="C218" s="124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2" t="s">
        <v>59</v>
      </c>
      <c r="U218" s="120"/>
      <c r="V218" s="109">
        <f>T14</f>
        <v>990.20421836889261</v>
      </c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32"/>
    </row>
    <row r="219" spans="1:32" ht="13" x14ac:dyDescent="0.3">
      <c r="A219" s="130"/>
      <c r="B219" s="124"/>
      <c r="C219" s="124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2" t="s">
        <v>60</v>
      </c>
      <c r="U219" s="120"/>
      <c r="V219" s="109">
        <f>U14</f>
        <v>1079.0512372371816</v>
      </c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32"/>
    </row>
    <row r="220" spans="1:32" ht="13" x14ac:dyDescent="0.3">
      <c r="A220" s="130"/>
      <c r="B220" s="124"/>
      <c r="C220" s="124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2" t="s">
        <v>61</v>
      </c>
      <c r="U220" s="120"/>
      <c r="V220" s="109">
        <f>V14</f>
        <v>1159.7647552654989</v>
      </c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32"/>
    </row>
    <row r="221" spans="1:32" ht="13" x14ac:dyDescent="0.3">
      <c r="A221" s="130"/>
      <c r="B221" s="124"/>
      <c r="C221" s="124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2" t="s">
        <v>62</v>
      </c>
      <c r="U221" s="120"/>
      <c r="V221" s="109">
        <f>W14</f>
        <v>1231.3177682486671</v>
      </c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32"/>
    </row>
    <row r="222" spans="1:32" ht="13" x14ac:dyDescent="0.3">
      <c r="A222" s="130"/>
      <c r="B222" s="124"/>
      <c r="C222" s="124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2" t="s">
        <v>63</v>
      </c>
      <c r="U222" s="120"/>
      <c r="V222" s="109">
        <f>X14</f>
        <v>1298.8903145447064</v>
      </c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32"/>
    </row>
    <row r="223" spans="1:32" ht="13" x14ac:dyDescent="0.3">
      <c r="A223" s="130"/>
      <c r="B223" s="124"/>
      <c r="C223" s="124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2"/>
      <c r="U223" s="120"/>
      <c r="V223" s="109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32"/>
    </row>
    <row r="224" spans="1:32" ht="13" x14ac:dyDescent="0.3">
      <c r="A224" s="130"/>
      <c r="B224" s="124"/>
      <c r="C224" s="124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2" t="s">
        <v>64</v>
      </c>
      <c r="U224" s="120"/>
      <c r="V224" s="11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32"/>
    </row>
    <row r="225" spans="1:32" ht="13" x14ac:dyDescent="0.3">
      <c r="A225" s="130"/>
      <c r="B225" s="124"/>
      <c r="C225" s="124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2" t="s">
        <v>65</v>
      </c>
      <c r="U225" s="120"/>
      <c r="V225" s="11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32"/>
    </row>
    <row r="226" spans="1:32" ht="13" x14ac:dyDescent="0.3">
      <c r="A226" s="130"/>
      <c r="B226" s="124"/>
      <c r="C226" s="124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2" t="s">
        <v>66</v>
      </c>
      <c r="U226" s="120"/>
      <c r="V226" s="11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32"/>
    </row>
    <row r="227" spans="1:32" ht="13" x14ac:dyDescent="0.3">
      <c r="A227" s="130"/>
      <c r="B227" s="124"/>
      <c r="C227" s="124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2" t="s">
        <v>67</v>
      </c>
      <c r="U227" s="120"/>
      <c r="V227" s="11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32"/>
    </row>
    <row r="228" spans="1:32" ht="13" x14ac:dyDescent="0.3">
      <c r="A228" s="130"/>
      <c r="B228" s="124"/>
      <c r="C228" s="124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2" t="s">
        <v>68</v>
      </c>
      <c r="U228" s="120"/>
      <c r="V228" s="11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32"/>
    </row>
    <row r="229" spans="1:32" ht="13" x14ac:dyDescent="0.3">
      <c r="A229" s="130"/>
      <c r="B229" s="124"/>
      <c r="C229" s="124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2"/>
      <c r="U229" s="120"/>
      <c r="V229" s="109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32"/>
    </row>
    <row r="230" spans="1:32" ht="13" x14ac:dyDescent="0.3">
      <c r="A230" s="130"/>
      <c r="B230" s="124"/>
      <c r="C230" s="124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2" t="s">
        <v>69</v>
      </c>
      <c r="U230" s="120"/>
      <c r="V230" s="11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32"/>
    </row>
    <row r="231" spans="1:32" ht="13" x14ac:dyDescent="0.3">
      <c r="A231" s="130"/>
      <c r="B231" s="124"/>
      <c r="C231" s="124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2" t="s">
        <v>70</v>
      </c>
      <c r="U231" s="120"/>
      <c r="V231" s="11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32"/>
    </row>
    <row r="232" spans="1:32" ht="13" x14ac:dyDescent="0.3">
      <c r="A232" s="130"/>
      <c r="B232" s="124"/>
      <c r="C232" s="124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2" t="s">
        <v>71</v>
      </c>
      <c r="U232" s="120"/>
      <c r="V232" s="11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32"/>
    </row>
    <row r="233" spans="1:32" ht="13" x14ac:dyDescent="0.3">
      <c r="A233" s="130"/>
      <c r="B233" s="124"/>
      <c r="C233" s="124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2" t="s">
        <v>72</v>
      </c>
      <c r="U233" s="120"/>
      <c r="V233" s="11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32"/>
    </row>
    <row r="234" spans="1:32" ht="13" x14ac:dyDescent="0.3">
      <c r="A234" s="130"/>
      <c r="B234" s="124"/>
      <c r="C234" s="124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2" t="s">
        <v>73</v>
      </c>
      <c r="U234" s="120"/>
      <c r="V234" s="11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32"/>
    </row>
    <row r="235" spans="1:32" ht="13" x14ac:dyDescent="0.3">
      <c r="A235" s="130"/>
      <c r="B235" s="124"/>
      <c r="C235" s="124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2"/>
      <c r="U235" s="120"/>
      <c r="V235" s="109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32"/>
    </row>
    <row r="236" spans="1:32" ht="13" x14ac:dyDescent="0.3">
      <c r="A236" s="130"/>
      <c r="B236" s="124"/>
      <c r="C236" s="124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2" t="s">
        <v>74</v>
      </c>
      <c r="U236" s="120"/>
      <c r="V236" s="109">
        <f>T16</f>
        <v>4636.7280471469221</v>
      </c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32"/>
    </row>
    <row r="237" spans="1:32" ht="13" x14ac:dyDescent="0.3">
      <c r="A237" s="130"/>
      <c r="B237" s="124"/>
      <c r="C237" s="124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2" t="s">
        <v>75</v>
      </c>
      <c r="U237" s="120"/>
      <c r="V237" s="109">
        <f>U16</f>
        <v>4859.1759378071647</v>
      </c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32"/>
    </row>
    <row r="238" spans="1:32" ht="13" x14ac:dyDescent="0.3">
      <c r="A238" s="130"/>
      <c r="B238" s="124"/>
      <c r="C238" s="124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2" t="s">
        <v>76</v>
      </c>
      <c r="U238" s="120"/>
      <c r="V238" s="109">
        <f>V16</f>
        <v>5159.0130276558839</v>
      </c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32"/>
    </row>
    <row r="239" spans="1:32" ht="13" x14ac:dyDescent="0.3">
      <c r="A239" s="130"/>
      <c r="B239" s="124"/>
      <c r="C239" s="124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2" t="s">
        <v>77</v>
      </c>
      <c r="U239" s="120"/>
      <c r="V239" s="109">
        <f>W16</f>
        <v>5415.8274132179113</v>
      </c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32"/>
    </row>
    <row r="240" spans="1:32" ht="13" x14ac:dyDescent="0.3">
      <c r="A240" s="130"/>
      <c r="B240" s="124"/>
      <c r="C240" s="124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2" t="s">
        <v>78</v>
      </c>
      <c r="U240" s="120"/>
      <c r="V240" s="111">
        <f>X16</f>
        <v>5710.7832507484718</v>
      </c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32"/>
    </row>
    <row r="241" spans="1:32" x14ac:dyDescent="0.25">
      <c r="A241" s="130"/>
      <c r="B241" s="124"/>
      <c r="C241" s="124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32"/>
    </row>
    <row r="242" spans="1:32" x14ac:dyDescent="0.25">
      <c r="A242" s="130"/>
      <c r="B242" s="124"/>
      <c r="C242" s="124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90"/>
    </row>
    <row r="243" spans="1:32" x14ac:dyDescent="0.25">
      <c r="A243" s="130"/>
      <c r="B243" s="124"/>
      <c r="C243" s="124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32"/>
    </row>
    <row r="244" spans="1:32" ht="13" x14ac:dyDescent="0.3">
      <c r="A244" s="139"/>
      <c r="B244" s="121"/>
      <c r="C244" s="121"/>
      <c r="D244" s="61" t="s">
        <v>5</v>
      </c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</row>
    <row r="245" spans="1:32" ht="13" x14ac:dyDescent="0.3">
      <c r="A245" s="140"/>
      <c r="B245" s="122"/>
      <c r="C245" s="122"/>
      <c r="D245" s="1" t="s">
        <v>6</v>
      </c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</row>
    <row r="246" spans="1:32" x14ac:dyDescent="0.25">
      <c r="A246" s="140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</row>
    <row r="247" spans="1:32" x14ac:dyDescent="0.25">
      <c r="A247" s="140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</row>
    <row r="248" spans="1:32" x14ac:dyDescent="0.25">
      <c r="A248" s="140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</row>
    <row r="249" spans="1:32" x14ac:dyDescent="0.25">
      <c r="A249" s="140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</row>
    <row r="250" spans="1:32" x14ac:dyDescent="0.25">
      <c r="A250" s="140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</row>
    <row r="251" spans="1:32" x14ac:dyDescent="0.25">
      <c r="A251" s="140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</row>
    <row r="252" spans="1:32" x14ac:dyDescent="0.25">
      <c r="A252" s="140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</row>
    <row r="253" spans="1:32" x14ac:dyDescent="0.25">
      <c r="A253" s="140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</row>
    <row r="254" spans="1:32" x14ac:dyDescent="0.25">
      <c r="A254" s="140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</row>
    <row r="255" spans="1:32" x14ac:dyDescent="0.25">
      <c r="A255" s="140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</row>
    <row r="256" spans="1:32" x14ac:dyDescent="0.25">
      <c r="A256" s="140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</row>
    <row r="257" spans="1:32" x14ac:dyDescent="0.25">
      <c r="A257" s="140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</row>
    <row r="258" spans="1:32" x14ac:dyDescent="0.25">
      <c r="J258" s="122"/>
      <c r="K258" s="122"/>
      <c r="L258" s="122"/>
      <c r="M258" s="122"/>
    </row>
    <row r="259" spans="1:32" x14ac:dyDescent="0.25">
      <c r="J259" s="122"/>
      <c r="K259" s="122"/>
      <c r="L259" s="122"/>
      <c r="M259" s="122"/>
    </row>
    <row r="260" spans="1:32" x14ac:dyDescent="0.25">
      <c r="J260" s="122"/>
      <c r="K260" s="122"/>
      <c r="L260" s="122"/>
      <c r="M260" s="122"/>
    </row>
    <row r="261" spans="1:32" x14ac:dyDescent="0.25">
      <c r="J261" s="122"/>
      <c r="K261" s="122"/>
      <c r="L261" s="122"/>
      <c r="M261" s="122"/>
    </row>
    <row r="262" spans="1:32" x14ac:dyDescent="0.25">
      <c r="J262" s="122"/>
      <c r="K262" s="122"/>
      <c r="L262" s="122"/>
      <c r="M262" s="122"/>
    </row>
    <row r="263" spans="1:32" x14ac:dyDescent="0.25">
      <c r="J263" s="122"/>
      <c r="K263" s="122"/>
      <c r="L263" s="122"/>
      <c r="M263" s="122"/>
    </row>
    <row r="264" spans="1:32" x14ac:dyDescent="0.25">
      <c r="J264" s="122"/>
      <c r="K264" s="122"/>
      <c r="L264" s="122"/>
      <c r="M264" s="122"/>
    </row>
    <row r="265" spans="1:32" x14ac:dyDescent="0.25">
      <c r="J265" s="122"/>
      <c r="K265" s="122"/>
      <c r="L265" s="122"/>
      <c r="M265" s="122"/>
    </row>
    <row r="266" spans="1:32" x14ac:dyDescent="0.25">
      <c r="J266" s="122"/>
      <c r="K266" s="122"/>
      <c r="L266" s="122"/>
      <c r="M266" s="122"/>
    </row>
    <row r="267" spans="1:32" x14ac:dyDescent="0.25">
      <c r="J267" s="122"/>
      <c r="K267" s="122"/>
      <c r="L267" s="122"/>
      <c r="M267" s="122"/>
    </row>
    <row r="268" spans="1:32" x14ac:dyDescent="0.25">
      <c r="J268" s="122"/>
      <c r="K268" s="122"/>
      <c r="L268" s="122"/>
      <c r="M268" s="122"/>
    </row>
    <row r="269" spans="1:32" x14ac:dyDescent="0.25">
      <c r="J269" s="122"/>
      <c r="K269" s="122"/>
      <c r="L269" s="122"/>
      <c r="M269" s="122"/>
    </row>
    <row r="270" spans="1:32" x14ac:dyDescent="0.25">
      <c r="J270" s="122"/>
      <c r="K270" s="122"/>
      <c r="L270" s="122"/>
      <c r="M270" s="122"/>
    </row>
    <row r="271" spans="1:32" x14ac:dyDescent="0.25">
      <c r="J271" s="122"/>
      <c r="K271" s="122"/>
      <c r="L271" s="122"/>
      <c r="M271" s="122"/>
    </row>
    <row r="272" spans="1:32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  <row r="801" spans="10:13" x14ac:dyDescent="0.25">
      <c r="J801" s="122"/>
      <c r="K801" s="122"/>
      <c r="L801" s="122"/>
      <c r="M801" s="122"/>
    </row>
    <row r="802" spans="10:13" x14ac:dyDescent="0.25">
      <c r="J802" s="122"/>
      <c r="K802" s="122"/>
      <c r="L802" s="122"/>
      <c r="M802" s="122"/>
    </row>
    <row r="803" spans="10:13" x14ac:dyDescent="0.25">
      <c r="J803" s="122"/>
      <c r="K803" s="122"/>
      <c r="L803" s="122"/>
      <c r="M803" s="122"/>
    </row>
    <row r="804" spans="10:13" x14ac:dyDescent="0.25">
      <c r="J804" s="122"/>
      <c r="K804" s="122"/>
      <c r="L804" s="122"/>
      <c r="M804" s="122"/>
    </row>
    <row r="805" spans="10:13" x14ac:dyDescent="0.25">
      <c r="J805" s="122"/>
      <c r="K805" s="122"/>
      <c r="L805" s="122"/>
      <c r="M805" s="122"/>
    </row>
    <row r="806" spans="10:13" x14ac:dyDescent="0.25">
      <c r="J806" s="122"/>
      <c r="K806" s="122"/>
      <c r="L806" s="122"/>
      <c r="M806" s="122"/>
    </row>
    <row r="807" spans="10:13" x14ac:dyDescent="0.25">
      <c r="J807" s="122"/>
      <c r="K807" s="122"/>
      <c r="L807" s="122"/>
      <c r="M807" s="122"/>
    </row>
    <row r="808" spans="10:13" x14ac:dyDescent="0.25">
      <c r="J808" s="122"/>
      <c r="K808" s="122"/>
      <c r="L808" s="122"/>
      <c r="M808" s="122"/>
    </row>
    <row r="809" spans="10:13" x14ac:dyDescent="0.25">
      <c r="J809" s="122"/>
      <c r="K809" s="122"/>
      <c r="L809" s="122"/>
      <c r="M809" s="122"/>
    </row>
    <row r="810" spans="10:13" x14ac:dyDescent="0.25">
      <c r="J810" s="122"/>
      <c r="K810" s="122"/>
      <c r="L810" s="122"/>
      <c r="M810" s="122"/>
    </row>
    <row r="811" spans="10:13" x14ac:dyDescent="0.25">
      <c r="J811" s="122"/>
      <c r="K811" s="122"/>
      <c r="L811" s="122"/>
      <c r="M811" s="122"/>
    </row>
    <row r="812" spans="10:13" x14ac:dyDescent="0.25">
      <c r="J812" s="122"/>
      <c r="K812" s="122"/>
      <c r="L812" s="122"/>
      <c r="M812" s="122"/>
    </row>
    <row r="813" spans="10:13" x14ac:dyDescent="0.25">
      <c r="J813" s="122"/>
      <c r="K813" s="122"/>
      <c r="L813" s="122"/>
      <c r="M813" s="122"/>
    </row>
    <row r="814" spans="10:13" x14ac:dyDescent="0.25">
      <c r="J814" s="122"/>
      <c r="K814" s="122"/>
      <c r="L814" s="122"/>
      <c r="M814" s="122"/>
    </row>
    <row r="815" spans="10:13" x14ac:dyDescent="0.25">
      <c r="J815" s="122"/>
      <c r="K815" s="122"/>
      <c r="L815" s="122"/>
      <c r="M815" s="122"/>
    </row>
    <row r="816" spans="10:13" x14ac:dyDescent="0.25">
      <c r="J816" s="122"/>
      <c r="K816" s="122"/>
      <c r="L816" s="122"/>
      <c r="M816" s="122"/>
    </row>
    <row r="817" spans="10:13" x14ac:dyDescent="0.25">
      <c r="J817" s="122"/>
      <c r="K817" s="122"/>
      <c r="L817" s="122"/>
      <c r="M817" s="122"/>
    </row>
    <row r="818" spans="10:13" x14ac:dyDescent="0.25">
      <c r="J818" s="122"/>
      <c r="K818" s="122"/>
      <c r="L818" s="122"/>
      <c r="M818" s="122"/>
    </row>
    <row r="819" spans="10:13" x14ac:dyDescent="0.25">
      <c r="J819" s="122"/>
      <c r="K819" s="122"/>
      <c r="L819" s="122"/>
      <c r="M819" s="122"/>
    </row>
    <row r="820" spans="10:13" x14ac:dyDescent="0.25">
      <c r="J820" s="122"/>
      <c r="K820" s="122"/>
      <c r="L820" s="122"/>
      <c r="M820" s="122"/>
    </row>
    <row r="821" spans="10:13" x14ac:dyDescent="0.25">
      <c r="J821" s="122"/>
      <c r="K821" s="122"/>
      <c r="L821" s="122"/>
      <c r="M821" s="122"/>
    </row>
    <row r="822" spans="10:13" x14ac:dyDescent="0.25">
      <c r="J822" s="122"/>
      <c r="K822" s="122"/>
      <c r="L822" s="122"/>
      <c r="M822" s="122"/>
    </row>
    <row r="823" spans="10:13" x14ac:dyDescent="0.25">
      <c r="J823" s="122"/>
      <c r="K823" s="122"/>
      <c r="L823" s="122"/>
      <c r="M823" s="122"/>
    </row>
    <row r="824" spans="10:13" x14ac:dyDescent="0.25">
      <c r="J824" s="122"/>
      <c r="K824" s="122"/>
      <c r="L824" s="122"/>
      <c r="M824" s="122"/>
    </row>
    <row r="825" spans="10:13" x14ac:dyDescent="0.25">
      <c r="J825" s="122"/>
      <c r="K825" s="122"/>
      <c r="L825" s="122"/>
      <c r="M825" s="122"/>
    </row>
    <row r="826" spans="10:13" x14ac:dyDescent="0.25">
      <c r="J826" s="122"/>
      <c r="K826" s="122"/>
      <c r="L826" s="122"/>
      <c r="M826" s="122"/>
    </row>
    <row r="827" spans="10:13" x14ac:dyDescent="0.25">
      <c r="J827" s="122"/>
      <c r="K827" s="122"/>
      <c r="L827" s="122"/>
      <c r="M827" s="122"/>
    </row>
    <row r="828" spans="10:13" x14ac:dyDescent="0.25">
      <c r="J828" s="122"/>
      <c r="K828" s="122"/>
      <c r="L828" s="122"/>
      <c r="M828" s="122"/>
    </row>
    <row r="829" spans="10:13" x14ac:dyDescent="0.25">
      <c r="J829" s="122"/>
      <c r="K829" s="122"/>
      <c r="L829" s="122"/>
      <c r="M829" s="122"/>
    </row>
    <row r="830" spans="10:13" x14ac:dyDescent="0.25">
      <c r="J830" s="122"/>
      <c r="K830" s="122"/>
      <c r="L830" s="122"/>
      <c r="M830" s="122"/>
    </row>
    <row r="831" spans="10:13" x14ac:dyDescent="0.25">
      <c r="J831" s="122"/>
      <c r="K831" s="122"/>
      <c r="L831" s="122"/>
      <c r="M831" s="122"/>
    </row>
    <row r="832" spans="10:13" x14ac:dyDescent="0.25">
      <c r="J832" s="122"/>
      <c r="K832" s="122"/>
      <c r="L832" s="122"/>
      <c r="M832" s="122"/>
    </row>
    <row r="833" spans="10:13" x14ac:dyDescent="0.25">
      <c r="J833" s="122"/>
      <c r="K833" s="122"/>
      <c r="L833" s="122"/>
      <c r="M833" s="122"/>
    </row>
    <row r="834" spans="10:13" x14ac:dyDescent="0.25">
      <c r="J834" s="122"/>
      <c r="K834" s="122"/>
      <c r="L834" s="122"/>
      <c r="M834" s="122"/>
    </row>
    <row r="835" spans="10:13" x14ac:dyDescent="0.25">
      <c r="J835" s="122"/>
      <c r="K835" s="122"/>
      <c r="L835" s="122"/>
      <c r="M835" s="122"/>
    </row>
    <row r="836" spans="10:13" x14ac:dyDescent="0.25">
      <c r="J836" s="122"/>
      <c r="K836" s="122"/>
      <c r="L836" s="122"/>
      <c r="M836" s="122"/>
    </row>
    <row r="837" spans="10:13" x14ac:dyDescent="0.25">
      <c r="J837" s="122"/>
      <c r="K837" s="122"/>
      <c r="L837" s="122"/>
      <c r="M837" s="122"/>
    </row>
    <row r="838" spans="10:13" x14ac:dyDescent="0.25">
      <c r="J838" s="122"/>
      <c r="K838" s="122"/>
      <c r="L838" s="122"/>
      <c r="M838" s="122"/>
    </row>
    <row r="839" spans="10:13" x14ac:dyDescent="0.25">
      <c r="J839" s="122"/>
      <c r="K839" s="122"/>
      <c r="L839" s="122"/>
      <c r="M839" s="122"/>
    </row>
    <row r="840" spans="10:13" x14ac:dyDescent="0.25">
      <c r="J840" s="122"/>
      <c r="K840" s="122"/>
      <c r="L840" s="122"/>
      <c r="M840" s="122"/>
    </row>
    <row r="841" spans="10:13" x14ac:dyDescent="0.25">
      <c r="J841" s="122"/>
      <c r="K841" s="122"/>
      <c r="L841" s="122"/>
      <c r="M841" s="122"/>
    </row>
    <row r="842" spans="10:13" x14ac:dyDescent="0.25">
      <c r="J842" s="122"/>
      <c r="K842" s="122"/>
      <c r="L842" s="122"/>
      <c r="M842" s="122"/>
    </row>
    <row r="843" spans="10:13" x14ac:dyDescent="0.25">
      <c r="J843" s="122"/>
      <c r="K843" s="122"/>
      <c r="L843" s="122"/>
      <c r="M843" s="122"/>
    </row>
    <row r="844" spans="10:13" x14ac:dyDescent="0.25">
      <c r="J844" s="122"/>
      <c r="K844" s="122"/>
      <c r="L844" s="122"/>
      <c r="M844" s="122"/>
    </row>
    <row r="845" spans="10:13" x14ac:dyDescent="0.25">
      <c r="J845" s="122"/>
      <c r="K845" s="122"/>
      <c r="L845" s="122"/>
      <c r="M845" s="122"/>
    </row>
    <row r="846" spans="10:13" x14ac:dyDescent="0.25">
      <c r="J846" s="122"/>
      <c r="K846" s="122"/>
      <c r="L846" s="122"/>
      <c r="M846" s="122"/>
    </row>
    <row r="847" spans="10:13" x14ac:dyDescent="0.25">
      <c r="J847" s="122"/>
      <c r="K847" s="122"/>
      <c r="L847" s="122"/>
      <c r="M847" s="122"/>
    </row>
    <row r="848" spans="10:13" x14ac:dyDescent="0.25">
      <c r="J848" s="122"/>
      <c r="K848" s="122"/>
      <c r="L848" s="122"/>
      <c r="M848" s="122"/>
    </row>
    <row r="849" spans="10:13" x14ac:dyDescent="0.25">
      <c r="J849" s="122"/>
      <c r="K849" s="122"/>
      <c r="L849" s="122"/>
      <c r="M849" s="122"/>
    </row>
    <row r="850" spans="10:13" x14ac:dyDescent="0.25">
      <c r="J850" s="122"/>
      <c r="K850" s="122"/>
      <c r="L850" s="122"/>
      <c r="M850" s="122"/>
    </row>
    <row r="851" spans="10:13" x14ac:dyDescent="0.25">
      <c r="J851" s="122"/>
      <c r="K851" s="122"/>
      <c r="L851" s="122"/>
      <c r="M851" s="122"/>
    </row>
    <row r="852" spans="10:13" x14ac:dyDescent="0.25">
      <c r="J852" s="122"/>
      <c r="K852" s="122"/>
      <c r="L852" s="122"/>
      <c r="M852" s="122"/>
    </row>
    <row r="853" spans="10:13" x14ac:dyDescent="0.25">
      <c r="J853" s="122"/>
      <c r="K853" s="122"/>
      <c r="L853" s="122"/>
      <c r="M853" s="122"/>
    </row>
    <row r="854" spans="10:13" x14ac:dyDescent="0.25">
      <c r="J854" s="122"/>
      <c r="K854" s="122"/>
      <c r="L854" s="122"/>
      <c r="M854" s="122"/>
    </row>
    <row r="855" spans="10:13" x14ac:dyDescent="0.25">
      <c r="J855" s="122"/>
      <c r="K855" s="122"/>
      <c r="L855" s="122"/>
      <c r="M855" s="122"/>
    </row>
    <row r="856" spans="10:13" x14ac:dyDescent="0.25">
      <c r="J856" s="122"/>
      <c r="K856" s="122"/>
      <c r="L856" s="122"/>
      <c r="M856" s="122"/>
    </row>
    <row r="857" spans="10:13" x14ac:dyDescent="0.25">
      <c r="J857" s="122"/>
      <c r="K857" s="122"/>
      <c r="L857" s="122"/>
      <c r="M857" s="122"/>
    </row>
    <row r="858" spans="10:13" x14ac:dyDescent="0.25">
      <c r="J858" s="122"/>
      <c r="K858" s="122"/>
      <c r="L858" s="122"/>
      <c r="M858" s="122"/>
    </row>
    <row r="859" spans="10:13" x14ac:dyDescent="0.25">
      <c r="J859" s="122"/>
      <c r="K859" s="122"/>
      <c r="L859" s="122"/>
      <c r="M859" s="122"/>
    </row>
    <row r="860" spans="10:13" x14ac:dyDescent="0.25">
      <c r="J860" s="122"/>
      <c r="K860" s="122"/>
      <c r="L860" s="122"/>
      <c r="M860" s="122"/>
    </row>
    <row r="861" spans="10:13" x14ac:dyDescent="0.25">
      <c r="J861" s="122"/>
      <c r="K861" s="122"/>
      <c r="L861" s="122"/>
      <c r="M861" s="122"/>
    </row>
    <row r="862" spans="10:13" x14ac:dyDescent="0.25">
      <c r="J862" s="122"/>
      <c r="K862" s="122"/>
      <c r="L862" s="122"/>
      <c r="M862" s="122"/>
    </row>
    <row r="863" spans="10:13" x14ac:dyDescent="0.25">
      <c r="J863" s="122"/>
      <c r="K863" s="122"/>
      <c r="L863" s="122"/>
      <c r="M863" s="122"/>
    </row>
    <row r="864" spans="10:13" x14ac:dyDescent="0.25">
      <c r="J864" s="122"/>
      <c r="K864" s="122"/>
      <c r="L864" s="122"/>
      <c r="M864" s="122"/>
    </row>
    <row r="865" spans="10:13" x14ac:dyDescent="0.25">
      <c r="J865" s="122"/>
      <c r="K865" s="122"/>
      <c r="L865" s="122"/>
      <c r="M865" s="122"/>
    </row>
    <row r="866" spans="10:13" x14ac:dyDescent="0.25">
      <c r="J866" s="122"/>
      <c r="K866" s="122"/>
      <c r="L866" s="122"/>
      <c r="M866" s="122"/>
    </row>
    <row r="867" spans="10:13" x14ac:dyDescent="0.25">
      <c r="J867" s="122"/>
      <c r="K867" s="122"/>
      <c r="L867" s="122"/>
      <c r="M867" s="122"/>
    </row>
    <row r="868" spans="10:13" x14ac:dyDescent="0.25">
      <c r="J868" s="122"/>
      <c r="K868" s="122"/>
      <c r="L868" s="122"/>
      <c r="M868" s="122"/>
    </row>
    <row r="869" spans="10:13" x14ac:dyDescent="0.25">
      <c r="J869" s="122"/>
      <c r="K869" s="122"/>
      <c r="L869" s="122"/>
      <c r="M869" s="122"/>
    </row>
    <row r="870" spans="10:13" x14ac:dyDescent="0.25">
      <c r="J870" s="122"/>
      <c r="K870" s="122"/>
      <c r="L870" s="122"/>
      <c r="M870" s="122"/>
    </row>
    <row r="871" spans="10:13" x14ac:dyDescent="0.25">
      <c r="J871" s="122"/>
      <c r="K871" s="122"/>
      <c r="L871" s="122"/>
      <c r="M871" s="122"/>
    </row>
    <row r="872" spans="10:13" x14ac:dyDescent="0.25">
      <c r="J872" s="122"/>
      <c r="K872" s="122"/>
      <c r="L872" s="122"/>
      <c r="M872" s="122"/>
    </row>
    <row r="873" spans="10:13" x14ac:dyDescent="0.25">
      <c r="J873" s="122"/>
      <c r="K873" s="122"/>
      <c r="L873" s="122"/>
      <c r="M873" s="122"/>
    </row>
    <row r="874" spans="10:13" x14ac:dyDescent="0.25">
      <c r="J874" s="122"/>
      <c r="K874" s="122"/>
      <c r="L874" s="122"/>
      <c r="M874" s="122"/>
    </row>
    <row r="875" spans="10:13" x14ac:dyDescent="0.25">
      <c r="J875" s="122"/>
      <c r="K875" s="122"/>
      <c r="L875" s="122"/>
      <c r="M875" s="122"/>
    </row>
    <row r="876" spans="10:13" x14ac:dyDescent="0.25">
      <c r="J876" s="122"/>
      <c r="K876" s="122"/>
      <c r="L876" s="122"/>
      <c r="M876" s="122"/>
    </row>
    <row r="877" spans="10:13" x14ac:dyDescent="0.25">
      <c r="J877" s="122"/>
      <c r="K877" s="122"/>
      <c r="L877" s="122"/>
      <c r="M877" s="122"/>
    </row>
    <row r="878" spans="10:13" x14ac:dyDescent="0.25">
      <c r="J878" s="122"/>
      <c r="K878" s="122"/>
      <c r="L878" s="122"/>
      <c r="M878" s="122"/>
    </row>
    <row r="879" spans="10:13" x14ac:dyDescent="0.25">
      <c r="J879" s="122"/>
      <c r="K879" s="122"/>
      <c r="L879" s="122"/>
      <c r="M879" s="122"/>
    </row>
    <row r="880" spans="10:13" x14ac:dyDescent="0.25">
      <c r="J880" s="122"/>
      <c r="K880" s="122"/>
      <c r="L880" s="122"/>
      <c r="M880" s="122"/>
    </row>
    <row r="881" spans="10:13" x14ac:dyDescent="0.25">
      <c r="J881" s="122"/>
      <c r="K881" s="122"/>
      <c r="L881" s="122"/>
      <c r="M881" s="122"/>
    </row>
    <row r="882" spans="10:13" x14ac:dyDescent="0.25">
      <c r="J882" s="122"/>
      <c r="K882" s="122"/>
      <c r="L882" s="122"/>
      <c r="M882" s="122"/>
    </row>
    <row r="883" spans="10:13" x14ac:dyDescent="0.25">
      <c r="J883" s="122"/>
      <c r="K883" s="122"/>
      <c r="L883" s="122"/>
      <c r="M883" s="122"/>
    </row>
    <row r="884" spans="10:13" x14ac:dyDescent="0.25">
      <c r="J884" s="122"/>
      <c r="K884" s="122"/>
      <c r="L884" s="122"/>
      <c r="M884" s="122"/>
    </row>
    <row r="885" spans="10:13" x14ac:dyDescent="0.25">
      <c r="J885" s="122"/>
      <c r="K885" s="122"/>
      <c r="L885" s="122"/>
      <c r="M885" s="122"/>
    </row>
    <row r="886" spans="10:13" x14ac:dyDescent="0.25">
      <c r="J886" s="122"/>
      <c r="K886" s="122"/>
      <c r="L886" s="122"/>
      <c r="M886" s="122"/>
    </row>
    <row r="887" spans="10:13" x14ac:dyDescent="0.25">
      <c r="J887" s="122"/>
      <c r="K887" s="122"/>
      <c r="L887" s="122"/>
      <c r="M887" s="122"/>
    </row>
    <row r="888" spans="10:13" x14ac:dyDescent="0.25">
      <c r="J888" s="122"/>
      <c r="K888" s="122"/>
      <c r="L888" s="122"/>
      <c r="M888" s="122"/>
    </row>
    <row r="889" spans="10:13" x14ac:dyDescent="0.25">
      <c r="J889" s="122"/>
      <c r="K889" s="122"/>
      <c r="L889" s="122"/>
      <c r="M889" s="122"/>
    </row>
    <row r="890" spans="10:13" x14ac:dyDescent="0.25">
      <c r="J890" s="122"/>
      <c r="K890" s="122"/>
      <c r="L890" s="122"/>
      <c r="M890" s="122"/>
    </row>
    <row r="891" spans="10:13" x14ac:dyDescent="0.25">
      <c r="J891" s="122"/>
      <c r="K891" s="122"/>
      <c r="L891" s="122"/>
      <c r="M891" s="122"/>
    </row>
    <row r="892" spans="10:13" x14ac:dyDescent="0.25">
      <c r="J892" s="122"/>
      <c r="K892" s="122"/>
      <c r="L892" s="122"/>
      <c r="M892" s="122"/>
    </row>
    <row r="893" spans="10:13" x14ac:dyDescent="0.25">
      <c r="J893" s="122"/>
      <c r="K893" s="122"/>
      <c r="L893" s="122"/>
      <c r="M893" s="122"/>
    </row>
    <row r="894" spans="10:13" x14ac:dyDescent="0.25">
      <c r="J894" s="122"/>
      <c r="K894" s="122"/>
      <c r="L894" s="122"/>
      <c r="M894" s="122"/>
    </row>
    <row r="895" spans="10:13" x14ac:dyDescent="0.25">
      <c r="J895" s="122"/>
      <c r="K895" s="122"/>
      <c r="L895" s="122"/>
      <c r="M895" s="122"/>
    </row>
    <row r="896" spans="10:13" x14ac:dyDescent="0.25">
      <c r="J896" s="122"/>
      <c r="K896" s="122"/>
      <c r="L896" s="122"/>
      <c r="M896" s="122"/>
    </row>
    <row r="897" spans="10:13" x14ac:dyDescent="0.25">
      <c r="J897" s="122"/>
      <c r="K897" s="122"/>
      <c r="L897" s="122"/>
      <c r="M897" s="122"/>
    </row>
    <row r="898" spans="10:13" x14ac:dyDescent="0.25">
      <c r="J898" s="122"/>
      <c r="K898" s="122"/>
      <c r="L898" s="122"/>
      <c r="M898" s="122"/>
    </row>
    <row r="899" spans="10:13" x14ac:dyDescent="0.25">
      <c r="J899" s="122"/>
      <c r="K899" s="122"/>
      <c r="L899" s="122"/>
      <c r="M899" s="122"/>
    </row>
    <row r="900" spans="10:13" x14ac:dyDescent="0.25">
      <c r="J900" s="122"/>
      <c r="K900" s="122"/>
      <c r="L900" s="122"/>
      <c r="M900" s="122"/>
    </row>
    <row r="901" spans="10:13" x14ac:dyDescent="0.25">
      <c r="J901" s="122"/>
      <c r="K901" s="122"/>
      <c r="L901" s="122"/>
      <c r="M901" s="122"/>
    </row>
    <row r="902" spans="10:13" x14ac:dyDescent="0.25">
      <c r="J902" s="122"/>
      <c r="K902" s="122"/>
      <c r="L902" s="122"/>
      <c r="M902" s="122"/>
    </row>
    <row r="903" spans="10:13" x14ac:dyDescent="0.25">
      <c r="J903" s="122"/>
      <c r="K903" s="122"/>
      <c r="L903" s="122"/>
      <c r="M903" s="122"/>
    </row>
    <row r="904" spans="10:13" x14ac:dyDescent="0.25">
      <c r="J904" s="122"/>
      <c r="K904" s="122"/>
      <c r="L904" s="122"/>
      <c r="M904" s="122"/>
    </row>
    <row r="905" spans="10:13" x14ac:dyDescent="0.25">
      <c r="J905" s="122"/>
      <c r="K905" s="122"/>
      <c r="L905" s="122"/>
      <c r="M905" s="122"/>
    </row>
    <row r="906" spans="10:13" x14ac:dyDescent="0.25">
      <c r="J906" s="122"/>
      <c r="K906" s="122"/>
      <c r="L906" s="122"/>
      <c r="M906" s="122"/>
    </row>
    <row r="907" spans="10:13" x14ac:dyDescent="0.25">
      <c r="J907" s="122"/>
      <c r="K907" s="122"/>
      <c r="L907" s="122"/>
      <c r="M907" s="122"/>
    </row>
    <row r="908" spans="10:13" x14ac:dyDescent="0.25">
      <c r="J908" s="122"/>
      <c r="K908" s="122"/>
      <c r="L908" s="122"/>
      <c r="M908" s="122"/>
    </row>
    <row r="909" spans="10:13" x14ac:dyDescent="0.25">
      <c r="J909" s="122"/>
      <c r="K909" s="122"/>
      <c r="L909" s="122"/>
      <c r="M909" s="122"/>
    </row>
    <row r="910" spans="10:13" x14ac:dyDescent="0.25">
      <c r="J910" s="122"/>
      <c r="K910" s="122"/>
      <c r="L910" s="122"/>
      <c r="M910" s="122"/>
    </row>
    <row r="911" spans="10:13" x14ac:dyDescent="0.25">
      <c r="J911" s="122"/>
      <c r="K911" s="122"/>
      <c r="L911" s="122"/>
      <c r="M911" s="122"/>
    </row>
    <row r="912" spans="10:13" x14ac:dyDescent="0.25">
      <c r="J912" s="122"/>
      <c r="K912" s="122"/>
      <c r="L912" s="122"/>
      <c r="M912" s="122"/>
    </row>
    <row r="913" spans="10:13" x14ac:dyDescent="0.25">
      <c r="J913" s="122"/>
      <c r="K913" s="122"/>
      <c r="L913" s="122"/>
      <c r="M913" s="122"/>
    </row>
    <row r="914" spans="10:13" x14ac:dyDescent="0.25">
      <c r="J914" s="122"/>
      <c r="K914" s="122"/>
      <c r="L914" s="122"/>
      <c r="M914" s="122"/>
    </row>
    <row r="915" spans="10:13" x14ac:dyDescent="0.25">
      <c r="J915" s="122"/>
      <c r="K915" s="122"/>
      <c r="L915" s="122"/>
      <c r="M915" s="122"/>
    </row>
    <row r="916" spans="10:13" x14ac:dyDescent="0.25">
      <c r="J916" s="122"/>
      <c r="K916" s="122"/>
      <c r="L916" s="122"/>
      <c r="M916" s="122"/>
    </row>
    <row r="917" spans="10:13" x14ac:dyDescent="0.25">
      <c r="J917" s="122"/>
      <c r="K917" s="122"/>
      <c r="L917" s="122"/>
      <c r="M917" s="122"/>
    </row>
    <row r="918" spans="10:13" x14ac:dyDescent="0.25">
      <c r="J918" s="122"/>
      <c r="K918" s="122"/>
      <c r="L918" s="122"/>
      <c r="M918" s="122"/>
    </row>
    <row r="919" spans="10:13" x14ac:dyDescent="0.25">
      <c r="J919" s="122"/>
      <c r="K919" s="122"/>
      <c r="L919" s="122"/>
      <c r="M919" s="122"/>
    </row>
    <row r="920" spans="10:13" x14ac:dyDescent="0.25">
      <c r="J920" s="122"/>
      <c r="K920" s="122"/>
      <c r="L920" s="122"/>
      <c r="M920" s="122"/>
    </row>
    <row r="921" spans="10:13" x14ac:dyDescent="0.25">
      <c r="J921" s="122"/>
      <c r="K921" s="122"/>
      <c r="L921" s="122"/>
      <c r="M921" s="122"/>
    </row>
    <row r="922" spans="10:13" x14ac:dyDescent="0.25">
      <c r="J922" s="122"/>
      <c r="K922" s="122"/>
      <c r="L922" s="122"/>
      <c r="M922" s="122"/>
    </row>
    <row r="923" spans="10:13" x14ac:dyDescent="0.25">
      <c r="J923" s="122"/>
      <c r="K923" s="122"/>
      <c r="L923" s="122"/>
      <c r="M923" s="122"/>
    </row>
    <row r="924" spans="10:13" x14ac:dyDescent="0.25">
      <c r="J924" s="122"/>
      <c r="K924" s="122"/>
      <c r="L924" s="122"/>
      <c r="M924" s="122"/>
    </row>
    <row r="925" spans="10:13" x14ac:dyDescent="0.25">
      <c r="J925" s="122"/>
      <c r="K925" s="122"/>
      <c r="L925" s="122"/>
      <c r="M925" s="122"/>
    </row>
    <row r="926" spans="10:13" x14ac:dyDescent="0.25">
      <c r="J926" s="122"/>
      <c r="K926" s="122"/>
      <c r="L926" s="122"/>
      <c r="M926" s="122"/>
    </row>
    <row r="927" spans="10:13" x14ac:dyDescent="0.25">
      <c r="J927" s="122"/>
      <c r="K927" s="122"/>
      <c r="L927" s="122"/>
      <c r="M927" s="122"/>
    </row>
    <row r="928" spans="10:13" x14ac:dyDescent="0.25">
      <c r="J928" s="122"/>
      <c r="K928" s="122"/>
      <c r="L928" s="122"/>
      <c r="M928" s="122"/>
    </row>
    <row r="929" spans="10:13" x14ac:dyDescent="0.25">
      <c r="J929" s="122"/>
      <c r="K929" s="122"/>
      <c r="L929" s="122"/>
      <c r="M929" s="122"/>
    </row>
    <row r="930" spans="10:13" x14ac:dyDescent="0.25">
      <c r="J930" s="122"/>
      <c r="K930" s="122"/>
      <c r="L930" s="122"/>
      <c r="M930" s="122"/>
    </row>
    <row r="931" spans="10:13" x14ac:dyDescent="0.25">
      <c r="J931" s="122"/>
      <c r="K931" s="122"/>
      <c r="L931" s="122"/>
      <c r="M931" s="122"/>
    </row>
    <row r="932" spans="10:13" x14ac:dyDescent="0.25">
      <c r="J932" s="122"/>
      <c r="K932" s="122"/>
      <c r="L932" s="122"/>
      <c r="M932" s="122"/>
    </row>
    <row r="933" spans="10:13" x14ac:dyDescent="0.25">
      <c r="J933" s="122"/>
      <c r="K933" s="122"/>
      <c r="L933" s="122"/>
      <c r="M933" s="122"/>
    </row>
    <row r="934" spans="10:13" x14ac:dyDescent="0.25">
      <c r="J934" s="122"/>
      <c r="K934" s="122"/>
      <c r="L934" s="122"/>
      <c r="M934" s="122"/>
    </row>
    <row r="935" spans="10:13" x14ac:dyDescent="0.25">
      <c r="J935" s="122"/>
      <c r="K935" s="122"/>
      <c r="L935" s="122"/>
      <c r="M935" s="122"/>
    </row>
    <row r="936" spans="10:13" x14ac:dyDescent="0.25">
      <c r="J936" s="122"/>
      <c r="K936" s="122"/>
      <c r="L936" s="122"/>
      <c r="M936" s="122"/>
    </row>
    <row r="937" spans="10:13" x14ac:dyDescent="0.25">
      <c r="J937" s="122"/>
      <c r="K937" s="122"/>
      <c r="L937" s="122"/>
      <c r="M937" s="122"/>
    </row>
    <row r="938" spans="10:13" x14ac:dyDescent="0.25">
      <c r="J938" s="122"/>
      <c r="K938" s="122"/>
      <c r="L938" s="122"/>
      <c r="M938" s="122"/>
    </row>
    <row r="939" spans="10:13" x14ac:dyDescent="0.25">
      <c r="J939" s="122"/>
      <c r="K939" s="122"/>
      <c r="L939" s="122"/>
      <c r="M939" s="122"/>
    </row>
    <row r="940" spans="10:13" x14ac:dyDescent="0.25">
      <c r="J940" s="122"/>
      <c r="K940" s="122"/>
      <c r="L940" s="122"/>
      <c r="M940" s="122"/>
    </row>
    <row r="941" spans="10:13" x14ac:dyDescent="0.25">
      <c r="J941" s="122"/>
      <c r="K941" s="122"/>
      <c r="L941" s="122"/>
      <c r="M941" s="122"/>
    </row>
    <row r="942" spans="10:13" x14ac:dyDescent="0.25">
      <c r="J942" s="122"/>
      <c r="K942" s="122"/>
      <c r="L942" s="122"/>
      <c r="M942" s="122"/>
    </row>
    <row r="943" spans="10:13" x14ac:dyDescent="0.25">
      <c r="J943" s="122"/>
      <c r="K943" s="122"/>
      <c r="L943" s="122"/>
      <c r="M943" s="122"/>
    </row>
    <row r="944" spans="10:13" x14ac:dyDescent="0.25">
      <c r="J944" s="122"/>
      <c r="K944" s="122"/>
      <c r="L944" s="122"/>
      <c r="M944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2026-09-21T02:58:51Z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