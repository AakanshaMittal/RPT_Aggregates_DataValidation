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ForModel\File1\"/>
    </mc:Choice>
  </mc:AlternateContent>
  <xr:revisionPtr revIDLastSave="0" documentId="13_ncr:1_{C379B684-0DBA-4E1A-AD8F-5B98D35D8708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67" i="4"/>
  <c r="AD64" i="4"/>
  <c r="AD65" i="4" s="1"/>
  <c r="AC64" i="4"/>
  <c r="AC65" i="4" s="1"/>
  <c r="AB64" i="4"/>
  <c r="AB65" i="4" s="1"/>
  <c r="AA64" i="4"/>
  <c r="AA65" i="4" s="1"/>
  <c r="Z64" i="4"/>
  <c r="Z65" i="4" s="1"/>
  <c r="L64" i="4"/>
  <c r="X64" i="4" s="1"/>
  <c r="X65" i="4" s="1"/>
  <c r="K64" i="4"/>
  <c r="W64" i="4" s="1"/>
  <c r="W65" i="4" s="1"/>
  <c r="J64" i="4"/>
  <c r="P64" i="4" s="1"/>
  <c r="P65" i="4" s="1"/>
  <c r="I64" i="4"/>
  <c r="U64" i="4" s="1"/>
  <c r="U65" i="4" s="1"/>
  <c r="H64" i="4"/>
  <c r="N64" i="4" s="1"/>
  <c r="N65" i="4" s="1"/>
  <c r="A59" i="4"/>
  <c r="A60" i="4" s="1"/>
  <c r="A61" i="4" s="1"/>
  <c r="A62" i="4" s="1"/>
  <c r="A63" i="4" s="1"/>
  <c r="A64" i="4" s="1"/>
  <c r="A65" i="4" s="1"/>
  <c r="A66" i="4" s="1"/>
  <c r="AB56" i="4"/>
  <c r="AA56" i="4"/>
  <c r="AD55" i="4"/>
  <c r="AD56" i="4" s="1"/>
  <c r="AC55" i="4"/>
  <c r="AC56" i="4" s="1"/>
  <c r="AB55" i="4"/>
  <c r="AA55" i="4"/>
  <c r="Z55" i="4"/>
  <c r="Z56" i="4" s="1"/>
  <c r="X55" i="4"/>
  <c r="X56" i="4" s="1"/>
  <c r="W55" i="4"/>
  <c r="W56" i="4" s="1"/>
  <c r="T55" i="4"/>
  <c r="T56" i="4" s="1"/>
  <c r="R55" i="4"/>
  <c r="R56" i="4" s="1"/>
  <c r="Q55" i="4"/>
  <c r="Q56" i="4" s="1"/>
  <c r="L55" i="4"/>
  <c r="K55" i="4"/>
  <c r="J55" i="4"/>
  <c r="V55" i="4" s="1"/>
  <c r="V56" i="4" s="1"/>
  <c r="I55" i="4"/>
  <c r="U55" i="4" s="1"/>
  <c r="U56" i="4" s="1"/>
  <c r="H55" i="4"/>
  <c r="N55" i="4" s="1"/>
  <c r="N56" i="4" s="1"/>
  <c r="A50" i="4"/>
  <c r="A51" i="4" s="1"/>
  <c r="A52" i="4" s="1"/>
  <c r="A53" i="4" s="1"/>
  <c r="A54" i="4" s="1"/>
  <c r="A55" i="4" s="1"/>
  <c r="A56" i="4" s="1"/>
  <c r="A57" i="4" s="1"/>
  <c r="AD46" i="4"/>
  <c r="AD47" i="4" s="1"/>
  <c r="AC46" i="4"/>
  <c r="AC47" i="4" s="1"/>
  <c r="AB46" i="4"/>
  <c r="AB47" i="4" s="1"/>
  <c r="AA46" i="4"/>
  <c r="AA47" i="4" s="1"/>
  <c r="Z46" i="4"/>
  <c r="Z47" i="4" s="1"/>
  <c r="L46" i="4"/>
  <c r="R46" i="4" s="1"/>
  <c r="R47" i="4" s="1"/>
  <c r="K46" i="4"/>
  <c r="W46" i="4" s="1"/>
  <c r="W47" i="4" s="1"/>
  <c r="J46" i="4"/>
  <c r="P46" i="4" s="1"/>
  <c r="P47" i="4" s="1"/>
  <c r="I46" i="4"/>
  <c r="O46" i="4" s="1"/>
  <c r="O47" i="4" s="1"/>
  <c r="H46" i="4"/>
  <c r="T46" i="4" s="1"/>
  <c r="T47" i="4" s="1"/>
  <c r="A41" i="4"/>
  <c r="A42" i="4" s="1"/>
  <c r="A43" i="4" s="1"/>
  <c r="A44" i="4" s="1"/>
  <c r="A45" i="4" s="1"/>
  <c r="A46" i="4" s="1"/>
  <c r="A47" i="4" s="1"/>
  <c r="A48" i="4" s="1"/>
  <c r="AD38" i="4"/>
  <c r="AD37" i="4"/>
  <c r="AC37" i="4"/>
  <c r="AC38" i="4" s="1"/>
  <c r="AB37" i="4"/>
  <c r="AB38" i="4" s="1"/>
  <c r="AA37" i="4"/>
  <c r="AA38" i="4" s="1"/>
  <c r="Z37" i="4"/>
  <c r="Z38" i="4" s="1"/>
  <c r="V37" i="4"/>
  <c r="V38" i="4" s="1"/>
  <c r="U37" i="4"/>
  <c r="P37" i="4"/>
  <c r="P38" i="4" s="1"/>
  <c r="L37" i="4"/>
  <c r="X37" i="4" s="1"/>
  <c r="K37" i="4"/>
  <c r="W37" i="4" s="1"/>
  <c r="W38" i="4" s="1"/>
  <c r="J37" i="4"/>
  <c r="I37" i="4"/>
  <c r="O37" i="4" s="1"/>
  <c r="O38" i="4" s="1"/>
  <c r="H37" i="4"/>
  <c r="T37" i="4" s="1"/>
  <c r="T38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T28" i="4"/>
  <c r="N28" i="4"/>
  <c r="L28" i="4"/>
  <c r="R28" i="4" s="1"/>
  <c r="K28" i="4"/>
  <c r="Q28" i="4" s="1"/>
  <c r="J28" i="4"/>
  <c r="V28" i="4" s="1"/>
  <c r="I28" i="4"/>
  <c r="U28" i="4" s="1"/>
  <c r="U29" i="4" s="1"/>
  <c r="H28" i="4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AD1" i="4"/>
  <c r="X1" i="4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P28" i="4" l="1"/>
  <c r="P29" i="4" s="1"/>
  <c r="O28" i="4"/>
  <c r="N46" i="4"/>
  <c r="N47" i="4" s="1"/>
  <c r="Q46" i="4"/>
  <c r="Q47" i="4" s="1"/>
  <c r="O64" i="4"/>
  <c r="O65" i="4" s="1"/>
  <c r="X28" i="4"/>
  <c r="X29" i="4" s="1"/>
  <c r="R29" i="4"/>
  <c r="R16" i="4"/>
  <c r="P13" i="4"/>
  <c r="X38" i="4"/>
  <c r="X14" i="4" s="1"/>
  <c r="V87" i="4" s="1"/>
  <c r="Q29" i="4"/>
  <c r="V29" i="4"/>
  <c r="O29" i="4"/>
  <c r="U38" i="4"/>
  <c r="N37" i="4"/>
  <c r="N38" i="4" s="1"/>
  <c r="Q64" i="4"/>
  <c r="Q65" i="4" s="1"/>
  <c r="W28" i="4"/>
  <c r="U46" i="4"/>
  <c r="U47" i="4" s="1"/>
  <c r="R64" i="4"/>
  <c r="R65" i="4" s="1"/>
  <c r="T29" i="4"/>
  <c r="V46" i="4"/>
  <c r="V47" i="4" s="1"/>
  <c r="T64" i="4"/>
  <c r="T65" i="4" s="1"/>
  <c r="Q37" i="4"/>
  <c r="Q38" i="4" s="1"/>
  <c r="O55" i="4"/>
  <c r="O56" i="4" s="1"/>
  <c r="R37" i="4"/>
  <c r="R38" i="4" s="1"/>
  <c r="X46" i="4"/>
  <c r="X47" i="4" s="1"/>
  <c r="P55" i="4"/>
  <c r="P56" i="4" s="1"/>
  <c r="V64" i="4"/>
  <c r="V65" i="4" s="1"/>
  <c r="N29" i="4"/>
  <c r="P16" i="4"/>
  <c r="Q15" i="4" l="1"/>
  <c r="R15" i="4"/>
  <c r="Q16" i="4"/>
  <c r="U16" i="4"/>
  <c r="V102" i="4" s="1"/>
  <c r="T13" i="4"/>
  <c r="V77" i="4" s="1"/>
  <c r="O13" i="4"/>
  <c r="V14" i="4"/>
  <c r="V85" i="4" s="1"/>
  <c r="N13" i="4"/>
  <c r="N14" i="4"/>
  <c r="N15" i="4"/>
  <c r="Q14" i="4"/>
  <c r="O16" i="4"/>
  <c r="Q13" i="4"/>
  <c r="R13" i="4"/>
  <c r="N16" i="4"/>
  <c r="T16" i="4"/>
  <c r="V101" i="4" s="1"/>
  <c r="V16" i="4"/>
  <c r="V103" i="4" s="1"/>
  <c r="V13" i="4"/>
  <c r="U15" i="4"/>
  <c r="V72" i="4" s="1"/>
  <c r="T15" i="4"/>
  <c r="V71" i="4" s="1"/>
  <c r="T14" i="4"/>
  <c r="V83" i="4" s="1"/>
  <c r="W29" i="4"/>
  <c r="W13" i="4" s="1"/>
  <c r="W16" i="4"/>
  <c r="V104" i="4" s="1"/>
  <c r="U13" i="4"/>
  <c r="X16" i="4"/>
  <c r="V105" i="4" s="1"/>
  <c r="R14" i="4"/>
  <c r="V15" i="4"/>
  <c r="V73" i="4" s="1"/>
  <c r="X15" i="4"/>
  <c r="V75" i="4" s="1"/>
  <c r="O15" i="4"/>
  <c r="P15" i="4"/>
  <c r="U14" i="4"/>
  <c r="V84" i="4" s="1"/>
  <c r="X13" i="4"/>
  <c r="O14" i="4"/>
  <c r="AA18" i="4" s="1"/>
  <c r="P14" i="4"/>
  <c r="AB18" i="4" s="1"/>
  <c r="V80" i="4" l="1"/>
  <c r="V81" i="4"/>
  <c r="X17" i="4"/>
  <c r="X18" i="4" s="1"/>
  <c r="W14" i="4"/>
  <c r="V86" i="4" s="1"/>
  <c r="AD18" i="4"/>
  <c r="R17" i="4"/>
  <c r="R18" i="4" s="1"/>
  <c r="U17" i="4"/>
  <c r="U18" i="4" s="1"/>
  <c r="V78" i="4"/>
  <c r="N17" i="4"/>
  <c r="N18" i="4" s="1"/>
  <c r="Z18" i="4"/>
  <c r="AC18" i="4"/>
  <c r="Q17" i="4"/>
  <c r="Q18" i="4" s="1"/>
  <c r="V17" i="4"/>
  <c r="V18" i="4" s="1"/>
  <c r="V79" i="4"/>
  <c r="T17" i="4"/>
  <c r="T18" i="4" s="1"/>
  <c r="W15" i="4"/>
  <c r="V74" i="4" s="1"/>
  <c r="P17" i="4"/>
  <c r="P18" i="4" s="1"/>
  <c r="O17" i="4"/>
  <c r="O18" i="4" s="1"/>
  <c r="W17" i="4" l="1"/>
  <c r="W18" i="4" s="1"/>
</calcChain>
</file>

<file path=xl/sharedStrings.xml><?xml version="1.0" encoding="utf-8"?>
<sst xmlns="http://schemas.openxmlformats.org/spreadsheetml/2006/main" count="323" uniqueCount="113">
  <si>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</si>
  <si>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</si>
  <si>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</si>
  <si>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</si>
  <si>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</si>
  <si>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</si>
  <si>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</si>
  <si>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</si>
  <si>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</si>
  <si>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</si>
  <si>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</si>
  <si>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</si>
  <si>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</si>
  <si>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</si>
  <si>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</si>
  <si>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</si>
  <si>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</si>
  <si>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</si>
  <si>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</si>
  <si>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</si>
  <si>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</si>
  <si>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</si>
  <si>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</si>
  <si>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</si>
  <si>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</si>
  <si>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</si>
  <si>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</si>
  <si>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RPT2688836914279AQ</t>
  </si>
  <si>
    <t>RPT7369931836950VA</t>
  </si>
  <si>
    <t>RPT5647804142559BV</t>
  </si>
  <si>
    <t>RPT7911847311243DZ</t>
  </si>
  <si>
    <t>RPT1599353136973QO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</si>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</sst>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64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65</v>
      </c>
      <c r="B4" s="40" t="s">
        <v>66</v>
      </c>
      <c r="C4" s="40" t="s">
        <v>67</v>
      </c>
      <c r="D4" s="40" t="s">
        <v>68</v>
      </c>
      <c r="E4" s="40" t="s">
        <v>69</v>
      </c>
      <c r="F4" s="120"/>
      <c r="G4" s="121"/>
      <c r="H4" s="122"/>
    </row>
    <row r="5" spans="1:8" x14ac:dyDescent="0.25">
      <c r="A5" s="123">
        <v>1</v>
      </c>
      <c r="B5" s="41" t="s">
        <v>70</v>
      </c>
      <c r="C5" s="42">
        <v>44984</v>
      </c>
      <c r="D5" s="43" t="s">
        <v>71</v>
      </c>
      <c r="E5" s="43" t="s">
        <v>72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70</v>
      </c>
      <c r="C6" s="42">
        <v>44998</v>
      </c>
      <c r="D6" s="43" t="s">
        <v>73</v>
      </c>
      <c r="E6" s="43" t="s">
        <v>74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70</v>
      </c>
      <c r="C7" s="42">
        <v>44998</v>
      </c>
      <c r="D7" s="43" t="s">
        <v>75</v>
      </c>
      <c r="E7" s="43" t="s">
        <v>76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70</v>
      </c>
      <c r="C8" s="42">
        <v>45001</v>
      </c>
      <c r="D8" s="43" t="s">
        <v>77</v>
      </c>
      <c r="E8" s="43" t="s">
        <v>78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79</v>
      </c>
      <c r="C9" s="42">
        <v>45167</v>
      </c>
      <c r="D9" s="43" t="s">
        <v>80</v>
      </c>
      <c r="E9" s="43" t="s">
        <v>81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82</v>
      </c>
      <c r="C10" s="42">
        <v>45357</v>
      </c>
      <c r="D10" s="43" t="s">
        <v>83</v>
      </c>
      <c r="E10" s="43" t="s">
        <v>84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85</v>
      </c>
      <c r="C11" s="42">
        <v>45400</v>
      </c>
      <c r="D11" s="43" t="s">
        <v>86</v>
      </c>
      <c r="E11" s="43" t="s">
        <v>87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88</v>
      </c>
      <c r="C12" s="42">
        <v>45576</v>
      </c>
      <c r="D12" s="43" t="s">
        <v>89</v>
      </c>
      <c r="E12" s="43" t="s">
        <v>90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88</v>
      </c>
      <c r="C13" s="42">
        <v>45587</v>
      </c>
      <c r="D13" s="43" t="s">
        <v>91</v>
      </c>
      <c r="E13" s="43" t="s">
        <v>92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88</v>
      </c>
      <c r="C14" s="42">
        <v>45590</v>
      </c>
      <c r="D14" s="43" t="s">
        <v>93</v>
      </c>
      <c r="E14" s="43" t="s">
        <v>84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88</v>
      </c>
      <c r="C15" s="42">
        <v>45593</v>
      </c>
      <c r="D15" s="43" t="s">
        <v>94</v>
      </c>
      <c r="E15" s="43" t="s">
        <v>84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95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95</v>
      </c>
      <c r="B4" s="120"/>
      <c r="C4" s="120"/>
      <c r="D4" s="120"/>
      <c r="E4" s="121"/>
      <c r="F4" s="1"/>
    </row>
    <row r="5" spans="1:6" ht="13" x14ac:dyDescent="0.3">
      <c r="A5" s="45" t="s">
        <v>96</v>
      </c>
      <c r="B5" s="7"/>
      <c r="C5" s="46" t="s">
        <v>97</v>
      </c>
      <c r="D5" s="120"/>
      <c r="E5" s="121"/>
      <c r="F5" s="1"/>
    </row>
    <row r="6" spans="1:6" ht="13" x14ac:dyDescent="0.3">
      <c r="A6" s="45" t="s">
        <v>98</v>
      </c>
      <c r="B6" s="7"/>
      <c r="C6" s="47" t="s">
        <v>99</v>
      </c>
      <c r="D6" s="120"/>
      <c r="E6" s="121"/>
      <c r="F6" s="1"/>
    </row>
    <row r="7" spans="1:6" ht="13" x14ac:dyDescent="0.3">
      <c r="A7" s="45" t="s">
        <v>100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101</v>
      </c>
      <c r="B8" s="7"/>
      <c r="C8" s="48" t="s">
        <v>102</v>
      </c>
      <c r="D8" s="120"/>
      <c r="E8" s="121"/>
      <c r="F8" s="1"/>
    </row>
    <row r="9" spans="1:6" ht="14.4" customHeight="1" x14ac:dyDescent="0.35">
      <c r="A9" s="45" t="s">
        <v>103</v>
      </c>
      <c r="B9" s="7"/>
      <c r="C9" s="119" t="s">
        <v>104</v>
      </c>
      <c r="D9" s="120"/>
      <c r="E9" s="121"/>
      <c r="F9" s="1"/>
    </row>
    <row r="10" spans="1:6" ht="13" x14ac:dyDescent="0.3">
      <c r="A10" s="45" t="s">
        <v>105</v>
      </c>
      <c r="B10" s="7"/>
      <c r="C10" s="48" t="s">
        <v>106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107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64</v>
      </c>
      <c r="D14" s="120"/>
      <c r="E14" s="121"/>
      <c r="F14" s="1"/>
    </row>
    <row r="15" spans="1:6" ht="13" x14ac:dyDescent="0.3">
      <c r="A15" s="120"/>
      <c r="B15" s="120"/>
      <c r="C15" s="113" t="s">
        <v>95</v>
      </c>
      <c r="D15" s="120"/>
      <c r="E15" s="121"/>
      <c r="F15" s="1"/>
    </row>
    <row r="16" spans="1:6" ht="13" x14ac:dyDescent="0.3">
      <c r="A16" s="120"/>
      <c r="B16" s="120"/>
      <c r="C16" s="113" t="s">
        <v>108</v>
      </c>
      <c r="D16" s="120"/>
      <c r="E16" s="121"/>
      <c r="F16" s="1"/>
    </row>
    <row r="17" spans="1:6" ht="13" x14ac:dyDescent="0.3">
      <c r="A17" s="120"/>
      <c r="B17" s="120"/>
      <c r="C17" s="113" t="s">
        <v>109</v>
      </c>
      <c r="D17" s="120"/>
      <c r="E17" s="121"/>
      <c r="F17" s="1"/>
    </row>
    <row r="18" spans="1:6" ht="13" x14ac:dyDescent="0.3">
      <c r="A18" s="120"/>
      <c r="B18" s="120"/>
      <c r="C18" s="113" t="s">
        <v>110</v>
      </c>
      <c r="D18" s="120"/>
      <c r="E18" s="121"/>
      <c r="F18" s="1"/>
    </row>
    <row r="19" spans="1:6" ht="13" x14ac:dyDescent="0.3">
      <c r="A19" s="120"/>
      <c r="B19" s="120"/>
      <c r="C19" s="113" t="s">
        <v>111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112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809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598091.04925124894</v>
      </c>
      <c r="I13" s="141">
        <v>641322.88566259143</v>
      </c>
      <c r="J13" s="141">
        <v>684958.69224456814</v>
      </c>
      <c r="K13" s="141">
        <v>737111.50711360911</v>
      </c>
      <c r="L13" s="143">
        <v>807078.34199772065</v>
      </c>
      <c r="M13" s="126"/>
      <c r="N13" s="69">
        <f t="shared" ref="N13:R16" si="3">IF(H13=0,0,SUMPRODUCT(N$22:N$66,H$22:H$66,--($B$22:$B$66=$B13))/H13)</f>
        <v>427.41709919436164</v>
      </c>
      <c r="O13" s="70">
        <f t="shared" si="3"/>
        <v>470.33237801834593</v>
      </c>
      <c r="P13" s="70">
        <f t="shared" si="3"/>
        <v>508.83511325653171</v>
      </c>
      <c r="Q13" s="70">
        <f t="shared" si="3"/>
        <v>545.20150526183386</v>
      </c>
      <c r="R13" s="70">
        <f t="shared" si="3"/>
        <v>579.97929278605136</v>
      </c>
      <c r="S13" s="125"/>
      <c r="T13" s="69">
        <f t="shared" ref="T13:X16" si="4">IF(H13=0,0,SUMPRODUCT(T$22:T$66,H$22:H$66,--($B$22:$B$66=$B13))/H13)</f>
        <v>427.41709919436164</v>
      </c>
      <c r="U13" s="70">
        <f t="shared" si="4"/>
        <v>470.33237801834593</v>
      </c>
      <c r="V13" s="70">
        <f t="shared" si="4"/>
        <v>508.83511325653171</v>
      </c>
      <c r="W13" s="70">
        <f t="shared" si="4"/>
        <v>545.20150526183386</v>
      </c>
      <c r="X13" s="70">
        <f t="shared" si="4"/>
        <v>579.97929278605136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123803.4885420264</v>
      </c>
      <c r="I14" s="141">
        <v>128085.8937192108</v>
      </c>
      <c r="J14" s="141">
        <v>134197.1940790916</v>
      </c>
      <c r="K14" s="141">
        <v>143422.4232977487</v>
      </c>
      <c r="L14" s="143">
        <v>156217.25067571411</v>
      </c>
      <c r="M14" s="126"/>
      <c r="N14" s="74">
        <f t="shared" si="3"/>
        <v>883.32416042035504</v>
      </c>
      <c r="O14" s="75">
        <f t="shared" si="3"/>
        <v>964.04272555772991</v>
      </c>
      <c r="P14" s="75">
        <f t="shared" si="3"/>
        <v>1036.9444301002832</v>
      </c>
      <c r="Q14" s="75">
        <f t="shared" si="3"/>
        <v>1098.8868019078379</v>
      </c>
      <c r="R14" s="75">
        <f t="shared" si="3"/>
        <v>1156.3363151463886</v>
      </c>
      <c r="S14" s="125"/>
      <c r="T14" s="74">
        <f t="shared" si="4"/>
        <v>883.32416042035504</v>
      </c>
      <c r="U14" s="75">
        <f t="shared" si="4"/>
        <v>964.04272555772991</v>
      </c>
      <c r="V14" s="75">
        <f t="shared" si="4"/>
        <v>1036.9444301002832</v>
      </c>
      <c r="W14" s="75">
        <f t="shared" si="4"/>
        <v>1098.8868019078379</v>
      </c>
      <c r="X14" s="75">
        <f t="shared" si="4"/>
        <v>1156.3363151463886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43311.789648339269</v>
      </c>
      <c r="I15" s="141">
        <v>46408.194193134717</v>
      </c>
      <c r="J15" s="141">
        <v>50082.141507411907</v>
      </c>
      <c r="K15" s="141">
        <v>54878.469963696603</v>
      </c>
      <c r="L15" s="143">
        <v>61187.307468205712</v>
      </c>
      <c r="M15" s="126"/>
      <c r="N15" s="74">
        <f t="shared" si="3"/>
        <v>979.27388060818078</v>
      </c>
      <c r="O15" s="75">
        <f t="shared" si="3"/>
        <v>1059.6065300707053</v>
      </c>
      <c r="P15" s="75">
        <f t="shared" si="3"/>
        <v>1126.9325212003423</v>
      </c>
      <c r="Q15" s="75">
        <f t="shared" si="3"/>
        <v>1185.8971038917546</v>
      </c>
      <c r="R15" s="75">
        <f t="shared" si="3"/>
        <v>1235.0358893399639</v>
      </c>
      <c r="S15" s="125"/>
      <c r="T15" s="74">
        <f t="shared" si="4"/>
        <v>979.27388060818078</v>
      </c>
      <c r="U15" s="75">
        <f t="shared" si="4"/>
        <v>1059.6065300707053</v>
      </c>
      <c r="V15" s="75">
        <f t="shared" si="4"/>
        <v>1126.9325212003423</v>
      </c>
      <c r="W15" s="75">
        <f t="shared" si="4"/>
        <v>1185.8971038917546</v>
      </c>
      <c r="X15" s="75">
        <f t="shared" si="4"/>
        <v>1235.0358893399639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71367.84894051429</v>
      </c>
      <c r="I16" s="97">
        <v>79248.638134279725</v>
      </c>
      <c r="J16" s="97">
        <v>87931.987947403337</v>
      </c>
      <c r="K16" s="97">
        <v>98387.880183622823</v>
      </c>
      <c r="L16" s="146">
        <v>110985.20670142031</v>
      </c>
      <c r="M16" s="126"/>
      <c r="N16" s="80">
        <f t="shared" si="3"/>
        <v>4587.2833608509609</v>
      </c>
      <c r="O16" s="81">
        <f t="shared" si="3"/>
        <v>4822.1648616158363</v>
      </c>
      <c r="P16" s="81">
        <f t="shared" si="3"/>
        <v>5133.1955333240976</v>
      </c>
      <c r="Q16" s="81">
        <f t="shared" si="3"/>
        <v>5400.3497385214532</v>
      </c>
      <c r="R16" s="81">
        <f t="shared" si="3"/>
        <v>5710.8358852682049</v>
      </c>
      <c r="S16" s="125"/>
      <c r="T16" s="80">
        <f t="shared" si="4"/>
        <v>4587.2833608509609</v>
      </c>
      <c r="U16" s="81">
        <f t="shared" si="4"/>
        <v>4822.1648616158363</v>
      </c>
      <c r="V16" s="81">
        <f t="shared" si="4"/>
        <v>5133.1955333240976</v>
      </c>
      <c r="W16" s="81">
        <f t="shared" si="4"/>
        <v>5400.3497385214532</v>
      </c>
      <c r="X16" s="81">
        <f t="shared" si="4"/>
        <v>5710.8358852682049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836574.17638212885</v>
      </c>
      <c r="I17" s="100">
        <f>SUM(I13:I16)</f>
        <v>895065.61170921661</v>
      </c>
      <c r="J17" s="100">
        <f>SUM(J13:J16)</f>
        <v>957170.01577847498</v>
      </c>
      <c r="K17" s="100">
        <f>SUM(K13:K16)</f>
        <v>1033800.2805586772</v>
      </c>
      <c r="L17" s="144">
        <f>SUM(L13:L16)</f>
        <v>1135468.1068430608</v>
      </c>
      <c r="M17" s="142"/>
      <c r="N17" s="85">
        <f>IF(H17=0,0,SUMPRODUCT(N13:N16,H13:H16)/H17)</f>
        <v>878.33407354962537</v>
      </c>
      <c r="O17" s="86">
        <f>IF(I17=0,0,SUMPRODUCT(O13:O16,I13:I16)/I17)</f>
        <v>956.84562621085513</v>
      </c>
      <c r="P17" s="86">
        <f>IF(J17=0,0,SUMPRODUCT(P13:P16,J13:J16)/J17)</f>
        <v>1040.0423456997278</v>
      </c>
      <c r="Q17" s="86">
        <f>IF(K17=0,0,SUMPRODUCT(Q13:Q16,K13:K16)/K17)</f>
        <v>1118.0965169387503</v>
      </c>
      <c r="R17" s="86">
        <f>IF(L17=0,0,SUMPRODUCT(R13:R16,L13:L16)/L17)</f>
        <v>1196.0839936394952</v>
      </c>
      <c r="S17" s="20"/>
      <c r="T17" s="85">
        <f>IF(H17=0,0,SUMPRODUCT(T13:T16,H13:H16)/H17)</f>
        <v>878.33407354962537</v>
      </c>
      <c r="U17" s="86">
        <f>IF(I17=0,0,SUMPRODUCT(U13:U16,I13:I16)/I17)</f>
        <v>956.84562621085513</v>
      </c>
      <c r="V17" s="86">
        <f>IF(J17=0,0,SUMPRODUCT(V13:V16,J13:J16)/J17)</f>
        <v>1040.0423456997278</v>
      </c>
      <c r="W17" s="86">
        <f>IF(K17=0,0,SUMPRODUCT(W13:W16,K13:K16)/K17)</f>
        <v>1118.0965169387503</v>
      </c>
      <c r="X17" s="86">
        <f>IF(L17=0,0,SUMPRODUCT(X13:X16,L13:L16)/L17)</f>
        <v>1196.0839936394952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734791604.16813803</v>
      </c>
      <c r="O18" s="23">
        <f>SUM(O17*I17)</f>
        <v>856439615.73570752</v>
      </c>
      <c r="P18" s="23">
        <f>SUM(P17*J17)</f>
        <v>995497348.44369054</v>
      </c>
      <c r="Q18" s="23">
        <f>SUM(Q17*K17)</f>
        <v>1155888492.9029598</v>
      </c>
      <c r="R18" s="23">
        <f>SUM(R17*L17)</f>
        <v>1358115227.8831253</v>
      </c>
      <c r="S18" s="24"/>
      <c r="T18" s="23">
        <f>SUM(T17*H17)</f>
        <v>734791604.16813803</v>
      </c>
      <c r="U18" s="23">
        <f>SUM(U17*I17)</f>
        <v>856439615.73570752</v>
      </c>
      <c r="V18" s="23">
        <f>SUM(V17*J17)</f>
        <v>995497348.44369054</v>
      </c>
      <c r="W18" s="23">
        <f>SUM(W17*K17)</f>
        <v>1155888492.9029598</v>
      </c>
      <c r="X18" s="23">
        <f>SUM(X17*L17)</f>
        <v>1358115227.8831253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157692.51408509031</v>
      </c>
      <c r="I24" s="141">
        <v>166487.4670033709</v>
      </c>
      <c r="J24" s="141">
        <v>176028.38671510649</v>
      </c>
      <c r="K24" s="141">
        <v>187750.64860807301</v>
      </c>
      <c r="L24" s="143">
        <v>202596.03437798319</v>
      </c>
      <c r="M24" s="126"/>
      <c r="N24" s="69">
        <v>309.77119973466932</v>
      </c>
      <c r="O24" s="75">
        <v>350.69368397624311</v>
      </c>
      <c r="P24" s="75">
        <v>387.48656279842783</v>
      </c>
      <c r="Q24" s="75">
        <v>421.9756948363198</v>
      </c>
      <c r="R24" s="75">
        <v>457.95715458769769</v>
      </c>
      <c r="S24" s="125"/>
      <c r="T24" s="30">
        <v>309.77119973466932</v>
      </c>
      <c r="U24" s="31">
        <v>350.69368397624311</v>
      </c>
      <c r="V24" s="31">
        <v>387.48656279842783</v>
      </c>
      <c r="W24" s="31">
        <v>421.9756948363198</v>
      </c>
      <c r="X24" s="31">
        <v>457.95715458769769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32146.429680124122</v>
      </c>
      <c r="I25" s="141">
        <v>32965.714566486269</v>
      </c>
      <c r="J25" s="141">
        <v>34361.047806516021</v>
      </c>
      <c r="K25" s="141">
        <v>36546.786595602971</v>
      </c>
      <c r="L25" s="143">
        <v>39399.495980668449</v>
      </c>
      <c r="M25" s="126"/>
      <c r="N25" s="74">
        <v>567.32081259763106</v>
      </c>
      <c r="O25" s="75">
        <v>639.88757376777392</v>
      </c>
      <c r="P25" s="75">
        <v>705.13330627633388</v>
      </c>
      <c r="Q25" s="75">
        <v>759.35418054163608</v>
      </c>
      <c r="R25" s="75">
        <v>815.21286888764541</v>
      </c>
      <c r="S25" s="125"/>
      <c r="T25" s="30">
        <v>567.32081259763106</v>
      </c>
      <c r="U25" s="31">
        <v>639.88757376777392</v>
      </c>
      <c r="V25" s="31">
        <v>705.13330627633388</v>
      </c>
      <c r="W25" s="31">
        <v>759.35418054163608</v>
      </c>
      <c r="X25" s="31">
        <v>815.21286888764541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11715.217719618389</v>
      </c>
      <c r="I26" s="141">
        <v>12404.13892512474</v>
      </c>
      <c r="J26" s="141">
        <v>13282.19313651666</v>
      </c>
      <c r="K26" s="141">
        <v>14452.7654678493</v>
      </c>
      <c r="L26" s="143">
        <v>15925.6448948094</v>
      </c>
      <c r="M26" s="126"/>
      <c r="N26" s="74">
        <v>724.92833956108109</v>
      </c>
      <c r="O26" s="75">
        <v>804.61809209563137</v>
      </c>
      <c r="P26" s="75">
        <v>874.37876864870998</v>
      </c>
      <c r="Q26" s="75">
        <v>937.07419752822921</v>
      </c>
      <c r="R26" s="75">
        <v>996.92391103537773</v>
      </c>
      <c r="S26" s="125"/>
      <c r="T26" s="30">
        <v>724.92833956108109</v>
      </c>
      <c r="U26" s="31">
        <v>804.61809209563137</v>
      </c>
      <c r="V26" s="31">
        <v>874.37876864870998</v>
      </c>
      <c r="W26" s="31">
        <v>937.07419752822921</v>
      </c>
      <c r="X26" s="31">
        <v>996.92391103537773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21553.13526743168</v>
      </c>
      <c r="I27" s="97">
        <v>23768.579813615801</v>
      </c>
      <c r="J27" s="97">
        <v>26311.55657400404</v>
      </c>
      <c r="K27" s="97">
        <v>29150.45252801626</v>
      </c>
      <c r="L27" s="146">
        <v>32577.479946620319</v>
      </c>
      <c r="M27" s="126"/>
      <c r="N27" s="80">
        <v>3289.167379109836</v>
      </c>
      <c r="O27" s="81">
        <v>3465.106106355337</v>
      </c>
      <c r="P27" s="81">
        <v>3687.1491509610842</v>
      </c>
      <c r="Q27" s="81">
        <v>3906.3555641789799</v>
      </c>
      <c r="R27" s="81">
        <v>4160.7658559162173</v>
      </c>
      <c r="S27" s="125"/>
      <c r="T27" s="33">
        <v>3289.167379109836</v>
      </c>
      <c r="U27" s="34">
        <v>3465.106106355337</v>
      </c>
      <c r="V27" s="34">
        <v>3687.1491509610842</v>
      </c>
      <c r="W27" s="34">
        <v>3906.3555641789799</v>
      </c>
      <c r="X27" s="34">
        <v>4160.7658559162173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223107.29675226449</v>
      </c>
      <c r="I28" s="100">
        <f>SUM(I24:I27)</f>
        <v>235625.90030859772</v>
      </c>
      <c r="J28" s="100">
        <f>SUM(J24:J27)</f>
        <v>249983.18423214322</v>
      </c>
      <c r="K28" s="100">
        <f>SUM(K24:K27)</f>
        <v>267900.65319954156</v>
      </c>
      <c r="L28" s="144">
        <f>SUM(L24:L27)</f>
        <v>290498.65520008135</v>
      </c>
      <c r="M28" s="142"/>
      <c r="N28" s="85">
        <f>IF(H28=0,0,SUMPRODUCT(N24:N27,H24:H27)/H28)</f>
        <v>656.50251150885401</v>
      </c>
      <c r="O28" s="86">
        <f>IF(I28=0,0,SUMPRODUCT(O24:O27,I24:I27)/I28)</f>
        <v>729.21397721260166</v>
      </c>
      <c r="P28" s="86">
        <f>IF(J28=0,0,SUMPRODUCT(P24:P27,J24:J27)/J28)</f>
        <v>804.31832064898072</v>
      </c>
      <c r="Q28" s="86">
        <f>IF(K28=0,0,SUMPRODUCT(Q24:Q27,K24:K27)/K28)</f>
        <v>874.92698813433378</v>
      </c>
      <c r="R28" s="86">
        <f>IF(L28=0,0,SUMPRODUCT(R24:R27,L24:L27)/L28)</f>
        <v>951.20303336099653</v>
      </c>
      <c r="S28" s="20"/>
      <c r="T28" s="85">
        <f>IF(H28=0,0,SUMPRODUCT(T24:T27,H24:H27)/H28)</f>
        <v>656.50251150885401</v>
      </c>
      <c r="U28" s="86">
        <f>IF(I28=0,0,SUMPRODUCT(U24:U27,I24:I27)/I28)</f>
        <v>729.21397721260166</v>
      </c>
      <c r="V28" s="86">
        <f>IF(J28=0,0,SUMPRODUCT(V24:V27,J24:J27)/J28)</f>
        <v>804.31832064898072</v>
      </c>
      <c r="W28" s="86">
        <f>IF(K28=0,0,SUMPRODUCT(W24:W27,K24:K27)/K28)</f>
        <v>874.92698813433378</v>
      </c>
      <c r="X28" s="86">
        <f>IF(L28=0,0,SUMPRODUCT(X24:X27,L24:L27)/L28)</f>
        <v>951.20303336099653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146470500.65381283</v>
      </c>
      <c r="O29" s="23">
        <f>SUM(O28*I28)</f>
        <v>171821699.89833254</v>
      </c>
      <c r="P29" s="23">
        <f>SUM(P28*J28)</f>
        <v>201066054.93208218</v>
      </c>
      <c r="Q29" s="23">
        <f>SUM(Q28*K28)</f>
        <v>234393511.62309557</v>
      </c>
      <c r="R29" s="23">
        <f>SUM(R28*L28)</f>
        <v>276323202.01360762</v>
      </c>
      <c r="S29" s="24"/>
      <c r="T29" s="23">
        <f>SUM(T28*H28)</f>
        <v>146470500.65381283</v>
      </c>
      <c r="U29" s="23">
        <f>SUM(U28*I28)</f>
        <v>171821699.89833254</v>
      </c>
      <c r="V29" s="23">
        <f>SUM(V28*J28)</f>
        <v>201066054.93208218</v>
      </c>
      <c r="W29" s="23">
        <f>SUM(W28*K28)</f>
        <v>234393511.62309557</v>
      </c>
      <c r="X29" s="23">
        <f>SUM(X28*L28)</f>
        <v>276323202.01360762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103201.9129036544</v>
      </c>
      <c r="I33" s="168">
        <v>110774.80133627741</v>
      </c>
      <c r="J33" s="168">
        <v>118491.76585373</v>
      </c>
      <c r="K33" s="168">
        <v>127969.7271904833</v>
      </c>
      <c r="L33" s="169">
        <v>140052.4303256018</v>
      </c>
      <c r="M33" s="149"/>
      <c r="N33" s="170">
        <v>456.26594795663152</v>
      </c>
      <c r="O33" s="171">
        <v>510.02171993625223</v>
      </c>
      <c r="P33" s="171">
        <v>556.84853975368719</v>
      </c>
      <c r="Q33" s="171">
        <v>597.23407975897408</v>
      </c>
      <c r="R33" s="171">
        <v>637.54246354405984</v>
      </c>
      <c r="S33" s="163"/>
      <c r="T33" s="172">
        <v>456.26594795663152</v>
      </c>
      <c r="U33" s="173">
        <v>510.02171993625223</v>
      </c>
      <c r="V33" s="173">
        <v>556.84853975368719</v>
      </c>
      <c r="W33" s="173">
        <v>597.23407975897408</v>
      </c>
      <c r="X33" s="173">
        <v>637.54246354405984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17340.933643121971</v>
      </c>
      <c r="I34" s="168">
        <v>17728.771988537141</v>
      </c>
      <c r="J34" s="168">
        <v>18436.926361882699</v>
      </c>
      <c r="K34" s="168">
        <v>19689.729284718531</v>
      </c>
      <c r="L34" s="169">
        <v>21365.588995489921</v>
      </c>
      <c r="M34" s="149"/>
      <c r="N34" s="179">
        <v>906.83275658967</v>
      </c>
      <c r="O34" s="171">
        <v>1031.4947046222919</v>
      </c>
      <c r="P34" s="171">
        <v>1138.431795990932</v>
      </c>
      <c r="Q34" s="171">
        <v>1212.9395415375311</v>
      </c>
      <c r="R34" s="171">
        <v>1284.035117092536</v>
      </c>
      <c r="S34" s="163"/>
      <c r="T34" s="172">
        <v>906.83275658967</v>
      </c>
      <c r="U34" s="173">
        <v>1031.4947046222919</v>
      </c>
      <c r="V34" s="173">
        <v>1138.431795990932</v>
      </c>
      <c r="W34" s="173">
        <v>1212.9395415375311</v>
      </c>
      <c r="X34" s="173">
        <v>1284.035117092536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6288.9452782971384</v>
      </c>
      <c r="I35" s="168">
        <v>6597.5403234689702</v>
      </c>
      <c r="J35" s="168">
        <v>6933.4030045579257</v>
      </c>
      <c r="K35" s="168">
        <v>7388.2173838954723</v>
      </c>
      <c r="L35" s="169">
        <v>7933.971151500341</v>
      </c>
      <c r="M35" s="149"/>
      <c r="N35" s="179">
        <v>917.26479314045059</v>
      </c>
      <c r="O35" s="171">
        <v>1027.072514548895</v>
      </c>
      <c r="P35" s="171">
        <v>1122.270807806359</v>
      </c>
      <c r="Q35" s="171">
        <v>1210.0696770161569</v>
      </c>
      <c r="R35" s="171">
        <v>1302.351392805951</v>
      </c>
      <c r="S35" s="163"/>
      <c r="T35" s="172">
        <v>917.26479314045059</v>
      </c>
      <c r="U35" s="173">
        <v>1027.072514548895</v>
      </c>
      <c r="V35" s="173">
        <v>1122.270807806359</v>
      </c>
      <c r="W35" s="173">
        <v>1210.0696770161569</v>
      </c>
      <c r="X35" s="173">
        <v>1302.351392805951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21793.834047568242</v>
      </c>
      <c r="I36" s="185">
        <v>24033.758203894111</v>
      </c>
      <c r="J36" s="185">
        <v>26612.0526726237</v>
      </c>
      <c r="K36" s="185">
        <v>29520.163612174019</v>
      </c>
      <c r="L36" s="186">
        <v>33073.917609996322</v>
      </c>
      <c r="M36" s="149"/>
      <c r="N36" s="187">
        <v>3061.130129608619</v>
      </c>
      <c r="O36" s="188">
        <v>3255.980697866029</v>
      </c>
      <c r="P36" s="188">
        <v>3499.044542719666</v>
      </c>
      <c r="Q36" s="188">
        <v>3732.1747590144541</v>
      </c>
      <c r="R36" s="188">
        <v>3997.700972154073</v>
      </c>
      <c r="S36" s="163"/>
      <c r="T36" s="189">
        <v>3061.130129608619</v>
      </c>
      <c r="U36" s="190">
        <v>3255.980697866029</v>
      </c>
      <c r="V36" s="190">
        <v>3499.044542719666</v>
      </c>
      <c r="W36" s="190">
        <v>3732.1747590144541</v>
      </c>
      <c r="X36" s="190">
        <v>3997.700972154073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148625.62587264174</v>
      </c>
      <c r="I37" s="197">
        <f>SUM(I33:I36)</f>
        <v>159134.87185217763</v>
      </c>
      <c r="J37" s="197">
        <f>SUM(J33:J36)</f>
        <v>170474.14789279434</v>
      </c>
      <c r="K37" s="197">
        <f>SUM(K33:K36)</f>
        <v>184567.83747127131</v>
      </c>
      <c r="L37" s="198">
        <f>SUM(L33:L36)</f>
        <v>202425.9080825884</v>
      </c>
      <c r="M37" s="199"/>
      <c r="N37" s="200">
        <f>IF(H37=0,0,SUMPRODUCT(N33:N36,H33:H36)/H37)</f>
        <v>910.30893641288981</v>
      </c>
      <c r="O37" s="201">
        <f>IF(I37=0,0,SUMPRODUCT(O33:O36,I33:I36)/I37)</f>
        <v>1004.2694753676113</v>
      </c>
      <c r="P37" s="201">
        <f>IF(J37=0,0,SUMPRODUCT(P33:P36,J33:J36)/J37)</f>
        <v>1102.0384367184245</v>
      </c>
      <c r="Q37" s="201">
        <f>IF(K37=0,0,SUMPRODUCT(Q33:Q36,K33:K36)/K37)</f>
        <v>1188.8582746176596</v>
      </c>
      <c r="R37" s="201">
        <f>IF(L37=0,0,SUMPRODUCT(R33:R36,L33:L36)/L37)</f>
        <v>1280.8438971111036</v>
      </c>
      <c r="S37" s="202"/>
      <c r="T37" s="200">
        <f>IF(H37=0,0,SUMPRODUCT(T33:T36,H33:H36)/H37)</f>
        <v>910.30893641288981</v>
      </c>
      <c r="U37" s="201">
        <f>IF(I37=0,0,SUMPRODUCT(U33:U36,I33:I36)/I37)</f>
        <v>1004.2694753676113</v>
      </c>
      <c r="V37" s="201">
        <f>IF(J37=0,0,SUMPRODUCT(V33:V36,J33:J36)/J37)</f>
        <v>1102.0384367184245</v>
      </c>
      <c r="W37" s="201">
        <f>IF(K37=0,0,SUMPRODUCT(W33:W36,K33:K36)/K37)</f>
        <v>1188.8582746176596</v>
      </c>
      <c r="X37" s="201">
        <f>IF(L37=0,0,SUMPRODUCT(X33:X36,L33:L36)/L37)</f>
        <v>1280.8438971111036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135295235.41182458</v>
      </c>
      <c r="O38" s="207">
        <f>SUM(O37*I37)</f>
        <v>159814294.2676785</v>
      </c>
      <c r="P38" s="207">
        <f>SUM(P37*J37)</f>
        <v>187869063.44468057</v>
      </c>
      <c r="Q38" s="207">
        <f>SUM(Q37*K37)</f>
        <v>219425000.80600825</v>
      </c>
      <c r="R38" s="207">
        <f>SUM(R37*L37)</f>
        <v>259275988.98475659</v>
      </c>
      <c r="S38" s="208"/>
      <c r="T38" s="207">
        <f>SUM(T37*H37)</f>
        <v>135295235.41182458</v>
      </c>
      <c r="U38" s="207">
        <f>SUM(U37*I37)</f>
        <v>159814294.2676785</v>
      </c>
      <c r="V38" s="207">
        <f>SUM(V37*J37)</f>
        <v>187869063.44468057</v>
      </c>
      <c r="W38" s="207">
        <f>SUM(W37*K37)</f>
        <v>219425000.80600825</v>
      </c>
      <c r="X38" s="207">
        <f>SUM(X37*L37)</f>
        <v>259275988.98475659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111324.4401573982</v>
      </c>
      <c r="I42" s="168">
        <v>121847.4623552705</v>
      </c>
      <c r="J42" s="168">
        <v>131736.08546493409</v>
      </c>
      <c r="K42" s="168">
        <v>142033.88227056159</v>
      </c>
      <c r="L42" s="169">
        <v>156204.35567420151</v>
      </c>
      <c r="M42" s="149"/>
      <c r="N42" s="170">
        <v>455.28908366106771</v>
      </c>
      <c r="O42" s="171">
        <v>492.13813025494159</v>
      </c>
      <c r="P42" s="171">
        <v>526.08860078123644</v>
      </c>
      <c r="Q42" s="171">
        <v>561.04081224593187</v>
      </c>
      <c r="R42" s="171">
        <v>592.1160423149372</v>
      </c>
      <c r="S42" s="163"/>
      <c r="T42" s="172">
        <v>455.28908366106771</v>
      </c>
      <c r="U42" s="173">
        <v>492.13813025494159</v>
      </c>
      <c r="V42" s="173">
        <v>526.08860078123644</v>
      </c>
      <c r="W42" s="173">
        <v>561.04081224593187</v>
      </c>
      <c r="X42" s="173">
        <v>592.1160423149372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24363.465668491401</v>
      </c>
      <c r="I43" s="168">
        <v>25902.718858317559</v>
      </c>
      <c r="J43" s="168">
        <v>27594.28627857782</v>
      </c>
      <c r="K43" s="168">
        <v>29509.54822980945</v>
      </c>
      <c r="L43" s="169">
        <v>32225.475046334032</v>
      </c>
      <c r="M43" s="149"/>
      <c r="N43" s="179">
        <v>876.10267461969897</v>
      </c>
      <c r="O43" s="171">
        <v>937.46656053549862</v>
      </c>
      <c r="P43" s="171">
        <v>992.63573082413416</v>
      </c>
      <c r="Q43" s="171">
        <v>1045.9471695114769</v>
      </c>
      <c r="R43" s="171">
        <v>1091.236700654531</v>
      </c>
      <c r="S43" s="163"/>
      <c r="T43" s="172">
        <v>876.10267461969897</v>
      </c>
      <c r="U43" s="173">
        <v>937.46656053549862</v>
      </c>
      <c r="V43" s="173">
        <v>992.63573082413416</v>
      </c>
      <c r="W43" s="173">
        <v>1045.9471695114769</v>
      </c>
      <c r="X43" s="173">
        <v>1091.236700654531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8372.0465979325127</v>
      </c>
      <c r="I44" s="168">
        <v>9151.9539820784139</v>
      </c>
      <c r="J44" s="168">
        <v>10028.71138517801</v>
      </c>
      <c r="K44" s="168">
        <v>11088.113026889359</v>
      </c>
      <c r="L44" s="169">
        <v>12516.893204039299</v>
      </c>
      <c r="M44" s="149"/>
      <c r="N44" s="179">
        <v>863.98202795165435</v>
      </c>
      <c r="O44" s="171">
        <v>916.41939050232861</v>
      </c>
      <c r="P44" s="171">
        <v>954.22709541542304</v>
      </c>
      <c r="Q44" s="171">
        <v>989.2823143586304</v>
      </c>
      <c r="R44" s="171">
        <v>1012.871741440769</v>
      </c>
      <c r="S44" s="163"/>
      <c r="T44" s="172">
        <v>863.98202795165435</v>
      </c>
      <c r="U44" s="173">
        <v>916.41939050232861</v>
      </c>
      <c r="V44" s="173">
        <v>954.22709541542304</v>
      </c>
      <c r="W44" s="173">
        <v>989.2823143586304</v>
      </c>
      <c r="X44" s="173">
        <v>1012.871741440769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9325.3987313432426</v>
      </c>
      <c r="I45" s="185">
        <v>10449.335495545591</v>
      </c>
      <c r="J45" s="185">
        <v>11630.462044742681</v>
      </c>
      <c r="K45" s="185">
        <v>13162.775516103529</v>
      </c>
      <c r="L45" s="186">
        <v>14974.822150948599</v>
      </c>
      <c r="M45" s="149"/>
      <c r="N45" s="187">
        <v>6443.9331661361157</v>
      </c>
      <c r="O45" s="188">
        <v>6709.6640300941172</v>
      </c>
      <c r="P45" s="188">
        <v>7088.9900361228138</v>
      </c>
      <c r="Q45" s="188">
        <v>7394.2094455524057</v>
      </c>
      <c r="R45" s="188">
        <v>7729.2354105628838</v>
      </c>
      <c r="S45" s="163"/>
      <c r="T45" s="189">
        <v>6443.9331661361157</v>
      </c>
      <c r="U45" s="190">
        <v>6709.6640300941172</v>
      </c>
      <c r="V45" s="190">
        <v>7088.9900361228138</v>
      </c>
      <c r="W45" s="190">
        <v>7394.2094455524057</v>
      </c>
      <c r="X45" s="190">
        <v>7729.2354105628838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153385.35115516538</v>
      </c>
      <c r="I46" s="197">
        <f>SUM(I42:I45)</f>
        <v>167351.47069121205</v>
      </c>
      <c r="J46" s="197">
        <f>SUM(J42:J45)</f>
        <v>180989.54517343259</v>
      </c>
      <c r="K46" s="197">
        <f>SUM(K42:K45)</f>
        <v>195794.31904336391</v>
      </c>
      <c r="L46" s="198">
        <f>SUM(L42:L45)</f>
        <v>215921.54607552345</v>
      </c>
      <c r="M46" s="199"/>
      <c r="N46" s="200">
        <f>IF(H46=0,0,SUMPRODUCT(N42:N45,H42:H45)/H46)</f>
        <v>908.53033033562076</v>
      </c>
      <c r="O46" s="201">
        <f>IF(I46=0,0,SUMPRODUCT(O42:O45,I42:I45)/I46)</f>
        <v>972.4878603532519</v>
      </c>
      <c r="P46" s="201">
        <f>IF(J46=0,0,SUMPRODUCT(P42:P45,J42:J45)/J46)</f>
        <v>1042.6780447845213</v>
      </c>
      <c r="Q46" s="201">
        <f>IF(K46=0,0,SUMPRODUCT(Q42:Q45,K42:K45)/K46)</f>
        <v>1117.7537088782958</v>
      </c>
      <c r="R46" s="201">
        <f>IF(L46=0,0,SUMPRODUCT(R42:R45,L42:L45)/L46)</f>
        <v>1185.9801101284118</v>
      </c>
      <c r="S46" s="202"/>
      <c r="T46" s="200">
        <f>IF(H46=0,0,SUMPRODUCT(T42:T45,H42:H45)/H46)</f>
        <v>908.53033033562076</v>
      </c>
      <c r="U46" s="201">
        <f>IF(I46=0,0,SUMPRODUCT(U42:U45,I42:I45)/I46)</f>
        <v>972.4878603532519</v>
      </c>
      <c r="V46" s="201">
        <f>IF(J46=0,0,SUMPRODUCT(V42:V45,J42:J45)/J46)</f>
        <v>1042.6780447845213</v>
      </c>
      <c r="W46" s="201">
        <f>IF(K46=0,0,SUMPRODUCT(W42:W45,K42:K45)/K46)</f>
        <v>1117.7537088782958</v>
      </c>
      <c r="X46" s="201">
        <f>IF(L46=0,0,SUMPRODUCT(X42:X45,L42:L45)/L46)</f>
        <v>1185.9801101284118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139355243.7536476</v>
      </c>
      <c r="O47" s="207">
        <f>SUM(O46*I46)</f>
        <v>162747273.65946674</v>
      </c>
      <c r="P47" s="207">
        <f>SUM(P46*J46)</f>
        <v>188713825.08787447</v>
      </c>
      <c r="Q47" s="207">
        <f>SUM(Q46*K46)</f>
        <v>218849826.28802034</v>
      </c>
      <c r="R47" s="207">
        <f>SUM(R46*L46)</f>
        <v>256078658.99374625</v>
      </c>
      <c r="S47" s="208"/>
      <c r="T47" s="207">
        <f>SUM(T46*H46)</f>
        <v>139355243.7536476</v>
      </c>
      <c r="U47" s="207">
        <f>SUM(U46*I46)</f>
        <v>162747273.65946674</v>
      </c>
      <c r="V47" s="207">
        <f>SUM(V46*J46)</f>
        <v>188713825.08787447</v>
      </c>
      <c r="W47" s="207">
        <f>SUM(W46*K46)</f>
        <v>218849826.28802034</v>
      </c>
      <c r="X47" s="207">
        <f>SUM(X46*L46)</f>
        <v>256078658.99374625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58">
        <v>4</v>
      </c>
      <c r="B49" s="147"/>
      <c r="C49" s="148"/>
      <c r="D49" s="149"/>
      <c r="E49" s="149"/>
      <c r="F49" s="150"/>
      <c r="G49" s="149"/>
      <c r="H49" s="151" t="s">
        <v>10</v>
      </c>
      <c r="I49" s="152"/>
      <c r="J49" s="152"/>
      <c r="K49" s="152"/>
      <c r="L49" s="153"/>
      <c r="M49" s="149"/>
      <c r="N49" s="151" t="s">
        <v>11</v>
      </c>
      <c r="O49" s="152"/>
      <c r="P49" s="152"/>
      <c r="Q49" s="152"/>
      <c r="R49" s="153"/>
      <c r="S49" s="154"/>
      <c r="T49" s="151" t="s">
        <v>12</v>
      </c>
      <c r="U49" s="152"/>
      <c r="V49" s="152"/>
      <c r="W49" s="152"/>
      <c r="X49" s="153"/>
      <c r="Y49" s="154"/>
      <c r="Z49" s="151" t="s">
        <v>13</v>
      </c>
      <c r="AA49" s="152"/>
      <c r="AB49" s="152"/>
      <c r="AC49" s="152"/>
      <c r="AD49" s="153"/>
      <c r="AE49" s="155"/>
      <c r="AF49" s="156"/>
    </row>
    <row r="50" spans="1:32" ht="13" x14ac:dyDescent="0.3">
      <c r="A50" s="59">
        <f t="shared" ref="A50:A57" si="8">A49</f>
        <v>4</v>
      </c>
      <c r="B50" s="157"/>
      <c r="C50" s="148"/>
      <c r="D50" s="149"/>
      <c r="E50" s="158"/>
      <c r="F50" s="159" t="s">
        <v>30</v>
      </c>
      <c r="G50" s="154"/>
      <c r="H50" s="160" t="s">
        <v>15</v>
      </c>
      <c r="I50" s="161" t="s">
        <v>16</v>
      </c>
      <c r="J50" s="161" t="s">
        <v>17</v>
      </c>
      <c r="K50" s="161" t="s">
        <v>18</v>
      </c>
      <c r="L50" s="162" t="s">
        <v>19</v>
      </c>
      <c r="M50" s="149"/>
      <c r="N50" s="160" t="s">
        <v>15</v>
      </c>
      <c r="O50" s="161" t="s">
        <v>16</v>
      </c>
      <c r="P50" s="161" t="s">
        <v>17</v>
      </c>
      <c r="Q50" s="161" t="s">
        <v>18</v>
      </c>
      <c r="R50" s="161" t="s">
        <v>19</v>
      </c>
      <c r="S50" s="163"/>
      <c r="T50" s="160" t="s">
        <v>15</v>
      </c>
      <c r="U50" s="161" t="s">
        <v>16</v>
      </c>
      <c r="V50" s="161" t="s">
        <v>17</v>
      </c>
      <c r="W50" s="161" t="s">
        <v>18</v>
      </c>
      <c r="X50" s="161" t="s">
        <v>19</v>
      </c>
      <c r="Y50" s="163"/>
      <c r="Z50" s="160" t="s">
        <v>15</v>
      </c>
      <c r="AA50" s="161" t="s">
        <v>16</v>
      </c>
      <c r="AB50" s="161" t="s">
        <v>17</v>
      </c>
      <c r="AC50" s="161" t="s">
        <v>18</v>
      </c>
      <c r="AD50" s="161" t="s">
        <v>19</v>
      </c>
      <c r="AE50" s="155"/>
      <c r="AF50" s="156"/>
    </row>
    <row r="51" spans="1:32" ht="13" x14ac:dyDescent="0.3">
      <c r="A51" s="164">
        <f t="shared" si="8"/>
        <v>4</v>
      </c>
      <c r="B51" s="52" t="s">
        <v>20</v>
      </c>
      <c r="C51" s="53"/>
      <c r="D51" s="165"/>
      <c r="E51" s="154"/>
      <c r="F51" s="166" t="s">
        <v>20</v>
      </c>
      <c r="G51" s="154"/>
      <c r="H51" s="167">
        <v>115375.9801894033</v>
      </c>
      <c r="I51" s="168">
        <v>123534.7071575118</v>
      </c>
      <c r="J51" s="168">
        <v>131781.81776250899</v>
      </c>
      <c r="K51" s="168">
        <v>142072.98716938891</v>
      </c>
      <c r="L51" s="169">
        <v>156236.09114565529</v>
      </c>
      <c r="M51" s="149"/>
      <c r="N51" s="170">
        <v>472.42658407574982</v>
      </c>
      <c r="O51" s="171">
        <v>513.15697993455569</v>
      </c>
      <c r="P51" s="171">
        <v>550.28636850555984</v>
      </c>
      <c r="Q51" s="171">
        <v>586.08357284557235</v>
      </c>
      <c r="R51" s="171">
        <v>619.344197511326</v>
      </c>
      <c r="S51" s="163"/>
      <c r="T51" s="172">
        <v>472.42658407574982</v>
      </c>
      <c r="U51" s="173">
        <v>513.15697993455569</v>
      </c>
      <c r="V51" s="173">
        <v>550.28636850555984</v>
      </c>
      <c r="W51" s="173">
        <v>586.08357284557235</v>
      </c>
      <c r="X51" s="173">
        <v>619.344197511326</v>
      </c>
      <c r="Y51" s="163"/>
      <c r="Z51" s="174">
        <v>0</v>
      </c>
      <c r="AA51" s="175">
        <v>0</v>
      </c>
      <c r="AB51" s="175">
        <v>0</v>
      </c>
      <c r="AC51" s="175">
        <v>0</v>
      </c>
      <c r="AD51" s="175">
        <v>0</v>
      </c>
      <c r="AE51" s="176"/>
      <c r="AF51" s="156"/>
    </row>
    <row r="52" spans="1:32" ht="13" x14ac:dyDescent="0.3">
      <c r="A52" s="164">
        <f t="shared" si="8"/>
        <v>4</v>
      </c>
      <c r="B52" s="52" t="s">
        <v>21</v>
      </c>
      <c r="C52" s="53"/>
      <c r="D52" s="177"/>
      <c r="E52" s="154"/>
      <c r="F52" s="178" t="s">
        <v>21</v>
      </c>
      <c r="G52" s="154"/>
      <c r="H52" s="167">
        <v>25736.05101304355</v>
      </c>
      <c r="I52" s="168">
        <v>26483.144238427849</v>
      </c>
      <c r="J52" s="168">
        <v>27625.70374113067</v>
      </c>
      <c r="K52" s="168">
        <v>29542.07913018181</v>
      </c>
      <c r="L52" s="169">
        <v>32259.38220139053</v>
      </c>
      <c r="M52" s="149"/>
      <c r="N52" s="179">
        <v>1050.1029374598149</v>
      </c>
      <c r="O52" s="171">
        <v>1129.3182196612779</v>
      </c>
      <c r="P52" s="171">
        <v>1204.4142107849559</v>
      </c>
      <c r="Q52" s="171">
        <v>1271.154411972602</v>
      </c>
      <c r="R52" s="171">
        <v>1331.7185042381859</v>
      </c>
      <c r="S52" s="163"/>
      <c r="T52" s="172">
        <v>1050.1029374598149</v>
      </c>
      <c r="U52" s="173">
        <v>1129.3182196612779</v>
      </c>
      <c r="V52" s="173">
        <v>1204.4142107849559</v>
      </c>
      <c r="W52" s="173">
        <v>1271.154411972602</v>
      </c>
      <c r="X52" s="173">
        <v>1331.7185042381859</v>
      </c>
      <c r="Y52" s="163"/>
      <c r="Z52" s="180">
        <v>0</v>
      </c>
      <c r="AA52" s="181">
        <v>0</v>
      </c>
      <c r="AB52" s="181">
        <v>0</v>
      </c>
      <c r="AC52" s="181">
        <v>0</v>
      </c>
      <c r="AD52" s="181">
        <v>0</v>
      </c>
      <c r="AE52" s="176"/>
      <c r="AF52" s="156"/>
    </row>
    <row r="53" spans="1:32" ht="13" x14ac:dyDescent="0.3">
      <c r="A53" s="164">
        <f t="shared" si="8"/>
        <v>4</v>
      </c>
      <c r="B53" s="52" t="s">
        <v>22</v>
      </c>
      <c r="C53" s="53"/>
      <c r="D53" s="177">
        <v>4</v>
      </c>
      <c r="E53" s="154"/>
      <c r="F53" s="182" t="s">
        <v>22</v>
      </c>
      <c r="G53" s="154"/>
      <c r="H53" s="167">
        <v>8584.8188070963333</v>
      </c>
      <c r="I53" s="168">
        <v>9246.7664755838468</v>
      </c>
      <c r="J53" s="168">
        <v>10041.54286425033</v>
      </c>
      <c r="K53" s="168">
        <v>11100.292351729981</v>
      </c>
      <c r="L53" s="169">
        <v>12528.50388621475</v>
      </c>
      <c r="M53" s="149"/>
      <c r="N53" s="179">
        <v>1218.399658036542</v>
      </c>
      <c r="O53" s="171">
        <v>1299.407985185534</v>
      </c>
      <c r="P53" s="171">
        <v>1368.0514590775881</v>
      </c>
      <c r="Q53" s="171">
        <v>1424.54554381925</v>
      </c>
      <c r="R53" s="171">
        <v>1463.84820336644</v>
      </c>
      <c r="S53" s="163"/>
      <c r="T53" s="172">
        <v>1218.399658036542</v>
      </c>
      <c r="U53" s="173">
        <v>1299.407985185534</v>
      </c>
      <c r="V53" s="173">
        <v>1368.0514590775881</v>
      </c>
      <c r="W53" s="173">
        <v>1424.54554381925</v>
      </c>
      <c r="X53" s="173">
        <v>1463.84820336644</v>
      </c>
      <c r="Y53" s="163"/>
      <c r="Z53" s="180">
        <v>0</v>
      </c>
      <c r="AA53" s="181">
        <v>0</v>
      </c>
      <c r="AB53" s="181">
        <v>0</v>
      </c>
      <c r="AC53" s="181">
        <v>0</v>
      </c>
      <c r="AD53" s="181">
        <v>0</v>
      </c>
      <c r="AE53" s="176"/>
      <c r="AF53" s="156"/>
    </row>
    <row r="54" spans="1:32" ht="13" x14ac:dyDescent="0.3">
      <c r="A54" s="164">
        <f t="shared" si="8"/>
        <v>4</v>
      </c>
      <c r="B54" s="52" t="s">
        <v>24</v>
      </c>
      <c r="C54" s="53"/>
      <c r="D54" s="177"/>
      <c r="E54" s="154"/>
      <c r="F54" s="183" t="s">
        <v>24</v>
      </c>
      <c r="G54" s="154"/>
      <c r="H54" s="184">
        <v>9284.2854884846256</v>
      </c>
      <c r="I54" s="185">
        <v>10470.359565751</v>
      </c>
      <c r="J54" s="185">
        <v>11688.80856988457</v>
      </c>
      <c r="K54" s="185">
        <v>13395.885783088041</v>
      </c>
      <c r="L54" s="186">
        <v>15387.780758363981</v>
      </c>
      <c r="M54" s="149"/>
      <c r="N54" s="187">
        <v>7006.0545340526551</v>
      </c>
      <c r="O54" s="188">
        <v>7276.4624894329891</v>
      </c>
      <c r="P54" s="188">
        <v>7744.3340737408216</v>
      </c>
      <c r="Q54" s="188">
        <v>7984.4247511534904</v>
      </c>
      <c r="R54" s="188">
        <v>8334.2468411583359</v>
      </c>
      <c r="S54" s="163"/>
      <c r="T54" s="189">
        <v>7006.0545340526551</v>
      </c>
      <c r="U54" s="190">
        <v>7276.4624894329891</v>
      </c>
      <c r="V54" s="190">
        <v>7744.3340737408216</v>
      </c>
      <c r="W54" s="190">
        <v>7984.4247511534904</v>
      </c>
      <c r="X54" s="190">
        <v>8334.2468411583359</v>
      </c>
      <c r="Y54" s="163"/>
      <c r="Z54" s="191">
        <v>0</v>
      </c>
      <c r="AA54" s="192">
        <v>0</v>
      </c>
      <c r="AB54" s="192">
        <v>0</v>
      </c>
      <c r="AC54" s="192">
        <v>0</v>
      </c>
      <c r="AD54" s="192">
        <v>0</v>
      </c>
      <c r="AE54" s="176"/>
      <c r="AF54" s="156"/>
    </row>
    <row r="55" spans="1:32" ht="13" x14ac:dyDescent="0.3">
      <c r="A55" s="164">
        <f t="shared" si="8"/>
        <v>4</v>
      </c>
      <c r="B55" s="56"/>
      <c r="C55" s="60"/>
      <c r="D55" s="193"/>
      <c r="E55" s="194"/>
      <c r="F55" s="195" t="s">
        <v>25</v>
      </c>
      <c r="G55" s="194"/>
      <c r="H55" s="196">
        <f>SUM(H51:H54)</f>
        <v>158981.13549802781</v>
      </c>
      <c r="I55" s="197">
        <f>SUM(I51:I54)</f>
        <v>169734.97743727447</v>
      </c>
      <c r="J55" s="197">
        <f>SUM(J51:J54)</f>
        <v>181137.87293777458</v>
      </c>
      <c r="K55" s="197">
        <f>SUM(K51:K54)</f>
        <v>196111.24443438876</v>
      </c>
      <c r="L55" s="198">
        <f>SUM(L51:L54)</f>
        <v>216411.75799162456</v>
      </c>
      <c r="M55" s="199"/>
      <c r="N55" s="200">
        <f>IF(H55=0,0,SUMPRODUCT(N51:N54,H51:H54)/H55)</f>
        <v>987.77841296485622</v>
      </c>
      <c r="O55" s="201">
        <f>IF(I55=0,0,SUMPRODUCT(O51:O54,I51:I54)/I55)</f>
        <v>1069.3323091764023</v>
      </c>
      <c r="P55" s="201">
        <f>IF(J55=0,0,SUMPRODUCT(P51:P54,J51:J54)/J55)</f>
        <v>1159.6134510673069</v>
      </c>
      <c r="Q55" s="201">
        <f>IF(K55=0,0,SUMPRODUCT(Q51:Q54,K51:K54)/K55)</f>
        <v>1242.1036991920678</v>
      </c>
      <c r="R55" s="201">
        <f>IF(L55=0,0,SUMPRODUCT(R51:R54,L51:L54)/L55)</f>
        <v>1322.9859895108543</v>
      </c>
      <c r="S55" s="202"/>
      <c r="T55" s="200">
        <f>IF(H55=0,0,SUMPRODUCT(T51:T54,H51:H54)/H55)</f>
        <v>987.77841296485622</v>
      </c>
      <c r="U55" s="201">
        <f>IF(I55=0,0,SUMPRODUCT(U51:U54,I51:I54)/I55)</f>
        <v>1069.3323091764023</v>
      </c>
      <c r="V55" s="201">
        <f>IF(J55=0,0,SUMPRODUCT(V51:V54,J51:J54)/J55)</f>
        <v>1159.6134510673069</v>
      </c>
      <c r="W55" s="201">
        <f>IF(K55=0,0,SUMPRODUCT(W51:W54,K51:K54)/K55)</f>
        <v>1242.1036991920678</v>
      </c>
      <c r="X55" s="201">
        <f>IF(L55=0,0,SUMPRODUCT(X51:X54,L51:L54)/L55)</f>
        <v>1322.9859895108543</v>
      </c>
      <c r="Y55" s="202"/>
      <c r="Z55" s="203">
        <f>SUM(Z51:Z54)</f>
        <v>0</v>
      </c>
      <c r="AA55" s="204">
        <f>SUM(AA51:AA54)</f>
        <v>0</v>
      </c>
      <c r="AB55" s="204">
        <f>SUM(AB51:AB54)</f>
        <v>0</v>
      </c>
      <c r="AC55" s="204">
        <f>SUM(AC51:AC54)</f>
        <v>0</v>
      </c>
      <c r="AD55" s="204">
        <f>SUM(AD51:AD54)</f>
        <v>0</v>
      </c>
      <c r="AE55" s="205"/>
      <c r="AF55" s="51"/>
    </row>
    <row r="56" spans="1:32" ht="15.65" customHeight="1" x14ac:dyDescent="0.3">
      <c r="A56" s="164">
        <f t="shared" si="8"/>
        <v>4</v>
      </c>
      <c r="B56" s="157"/>
      <c r="C56" s="148"/>
      <c r="D56" s="150"/>
      <c r="E56" s="206"/>
      <c r="F56" s="206"/>
      <c r="G56" s="206"/>
      <c r="H56" s="206"/>
      <c r="I56" s="206"/>
      <c r="J56" s="206"/>
      <c r="K56" s="206"/>
      <c r="L56" s="206"/>
      <c r="M56" s="206"/>
      <c r="N56" s="207">
        <f>SUM(N55*H55)</f>
        <v>157038133.71359268</v>
      </c>
      <c r="O56" s="207">
        <f>SUM(O55*I55)</f>
        <v>181503095.37100527</v>
      </c>
      <c r="P56" s="207">
        <f>SUM(P55*J55)</f>
        <v>210049913.9563641</v>
      </c>
      <c r="Q56" s="207">
        <f>SUM(Q55*K55)</f>
        <v>243590502.1651141</v>
      </c>
      <c r="R56" s="207">
        <f>SUM(R55*L55)</f>
        <v>286309723.78833294</v>
      </c>
      <c r="S56" s="208"/>
      <c r="T56" s="207">
        <f>SUM(T55*H55)</f>
        <v>157038133.71359268</v>
      </c>
      <c r="U56" s="207">
        <f>SUM(U55*I55)</f>
        <v>181503095.37100527</v>
      </c>
      <c r="V56" s="207">
        <f>SUM(V55*J55)</f>
        <v>210049913.9563641</v>
      </c>
      <c r="W56" s="207">
        <f>SUM(W55*K55)</f>
        <v>243590502.1651141</v>
      </c>
      <c r="X56" s="207">
        <f>SUM(X55*L55)</f>
        <v>286309723.78833294</v>
      </c>
      <c r="Y56" s="149"/>
      <c r="Z56" s="209">
        <f>IFERROR(Z55/SUMPRODUCT(N51:N54,H51:H54), 0)</f>
        <v>0</v>
      </c>
      <c r="AA56" s="209">
        <f>IFERROR(AA55/SUMPRODUCT(O51:O54,I51:I54), 0)</f>
        <v>0</v>
      </c>
      <c r="AB56" s="209">
        <f>IFERROR(AB55/SUMPRODUCT(P51:P54,J51:J54), 0)</f>
        <v>0</v>
      </c>
      <c r="AC56" s="209">
        <f>IFERROR(AC55/SUMPRODUCT(Q51:Q54,K51:K54), 0)</f>
        <v>0</v>
      </c>
      <c r="AD56" s="209">
        <f>IFERROR(AD55/SUMPRODUCT(R51:R54,L51:L54), 0)</f>
        <v>0</v>
      </c>
      <c r="AE56" s="210"/>
      <c r="AF56" s="156"/>
    </row>
    <row r="57" spans="1:32" ht="13" x14ac:dyDescent="0.3">
      <c r="A57" s="211">
        <f t="shared" si="8"/>
        <v>4</v>
      </c>
      <c r="B57" s="212"/>
      <c r="C57" s="148"/>
      <c r="D57" s="150"/>
      <c r="E57" s="206"/>
      <c r="F57" s="206"/>
      <c r="G57" s="206"/>
      <c r="H57" s="206"/>
      <c r="I57" s="206"/>
      <c r="J57" s="206"/>
      <c r="K57" s="206"/>
      <c r="L57" s="206"/>
      <c r="M57" s="206"/>
      <c r="N57" s="213"/>
      <c r="O57" s="206"/>
      <c r="P57" s="206"/>
      <c r="Q57" s="206"/>
      <c r="R57" s="214"/>
      <c r="S57" s="206"/>
      <c r="T57" s="206"/>
      <c r="U57" s="206"/>
      <c r="V57" s="206"/>
      <c r="W57" s="206"/>
      <c r="X57" s="206"/>
      <c r="Y57" s="149"/>
      <c r="Z57" s="210"/>
      <c r="AA57" s="210"/>
      <c r="AB57" s="210"/>
      <c r="AC57" s="210"/>
      <c r="AD57" s="215"/>
      <c r="AE57" s="210"/>
      <c r="AF57" s="156"/>
    </row>
    <row r="58" spans="1:32" ht="13" x14ac:dyDescent="0.3">
      <c r="A58" s="58">
        <v>5</v>
      </c>
      <c r="B58" s="147"/>
      <c r="C58" s="148"/>
      <c r="D58" s="149"/>
      <c r="E58" s="149"/>
      <c r="F58" s="150"/>
      <c r="G58" s="149"/>
      <c r="H58" s="151" t="s">
        <v>10</v>
      </c>
      <c r="I58" s="152"/>
      <c r="J58" s="152"/>
      <c r="K58" s="152"/>
      <c r="L58" s="153"/>
      <c r="M58" s="149"/>
      <c r="N58" s="151" t="s">
        <v>11</v>
      </c>
      <c r="O58" s="152"/>
      <c r="P58" s="152"/>
      <c r="Q58" s="152"/>
      <c r="R58" s="153"/>
      <c r="S58" s="154"/>
      <c r="T58" s="151" t="s">
        <v>12</v>
      </c>
      <c r="U58" s="152"/>
      <c r="V58" s="152"/>
      <c r="W58" s="152"/>
      <c r="X58" s="153"/>
      <c r="Y58" s="154"/>
      <c r="Z58" s="151" t="s">
        <v>13</v>
      </c>
      <c r="AA58" s="152"/>
      <c r="AB58" s="152"/>
      <c r="AC58" s="152"/>
      <c r="AD58" s="153"/>
      <c r="AE58" s="155"/>
      <c r="AF58" s="156"/>
    </row>
    <row r="59" spans="1:32" ht="13" x14ac:dyDescent="0.3">
      <c r="A59" s="59">
        <f t="shared" ref="A59:A66" si="9">A58</f>
        <v>5</v>
      </c>
      <c r="B59" s="157"/>
      <c r="C59" s="148"/>
      <c r="D59" s="149"/>
      <c r="E59" s="158"/>
      <c r="F59" s="159" t="s">
        <v>31</v>
      </c>
      <c r="G59" s="154"/>
      <c r="H59" s="160" t="s">
        <v>15</v>
      </c>
      <c r="I59" s="161" t="s">
        <v>16</v>
      </c>
      <c r="J59" s="161" t="s">
        <v>17</v>
      </c>
      <c r="K59" s="161" t="s">
        <v>18</v>
      </c>
      <c r="L59" s="162" t="s">
        <v>19</v>
      </c>
      <c r="M59" s="149"/>
      <c r="N59" s="160" t="s">
        <v>15</v>
      </c>
      <c r="O59" s="161" t="s">
        <v>16</v>
      </c>
      <c r="P59" s="161" t="s">
        <v>17</v>
      </c>
      <c r="Q59" s="161" t="s">
        <v>18</v>
      </c>
      <c r="R59" s="161" t="s">
        <v>19</v>
      </c>
      <c r="S59" s="163"/>
      <c r="T59" s="160" t="s">
        <v>15</v>
      </c>
      <c r="U59" s="161" t="s">
        <v>16</v>
      </c>
      <c r="V59" s="161" t="s">
        <v>17</v>
      </c>
      <c r="W59" s="161" t="s">
        <v>18</v>
      </c>
      <c r="X59" s="161" t="s">
        <v>19</v>
      </c>
      <c r="Y59" s="163"/>
      <c r="Z59" s="160" t="s">
        <v>15</v>
      </c>
      <c r="AA59" s="161" t="s">
        <v>16</v>
      </c>
      <c r="AB59" s="161" t="s">
        <v>17</v>
      </c>
      <c r="AC59" s="161" t="s">
        <v>18</v>
      </c>
      <c r="AD59" s="161" t="s">
        <v>19</v>
      </c>
      <c r="AE59" s="155"/>
      <c r="AF59" s="156"/>
    </row>
    <row r="60" spans="1:32" ht="13" x14ac:dyDescent="0.3">
      <c r="A60" s="164">
        <f t="shared" si="9"/>
        <v>5</v>
      </c>
      <c r="B60" s="52" t="s">
        <v>20</v>
      </c>
      <c r="C60" s="53"/>
      <c r="D60" s="165"/>
      <c r="E60" s="154"/>
      <c r="F60" s="166" t="s">
        <v>20</v>
      </c>
      <c r="G60" s="154"/>
      <c r="H60" s="167">
        <v>110496.2019157028</v>
      </c>
      <c r="I60" s="168">
        <v>118678.4478101608</v>
      </c>
      <c r="J60" s="168">
        <v>126920.6364482885</v>
      </c>
      <c r="K60" s="168">
        <v>137284.26187510241</v>
      </c>
      <c r="L60" s="169">
        <v>151989.4304742789</v>
      </c>
      <c r="M60" s="149"/>
      <c r="N60" s="170">
        <v>493.29062834043191</v>
      </c>
      <c r="O60" s="171">
        <v>534.15579388422066</v>
      </c>
      <c r="P60" s="171">
        <v>571.36367777311943</v>
      </c>
      <c r="Q60" s="171">
        <v>606.52809599791112</v>
      </c>
      <c r="R60" s="171">
        <v>636.64972923539858</v>
      </c>
      <c r="S60" s="163"/>
      <c r="T60" s="172">
        <v>493.29062834043191</v>
      </c>
      <c r="U60" s="173">
        <v>534.15579388422066</v>
      </c>
      <c r="V60" s="173">
        <v>571.36367777311943</v>
      </c>
      <c r="W60" s="173">
        <v>606.52809599791112</v>
      </c>
      <c r="X60" s="173">
        <v>636.64972923539858</v>
      </c>
      <c r="Y60" s="163"/>
      <c r="Z60" s="174">
        <v>0</v>
      </c>
      <c r="AA60" s="175">
        <v>0</v>
      </c>
      <c r="AB60" s="175">
        <v>0</v>
      </c>
      <c r="AC60" s="175">
        <v>0</v>
      </c>
      <c r="AD60" s="175">
        <v>0</v>
      </c>
      <c r="AE60" s="176"/>
      <c r="AF60" s="156"/>
    </row>
    <row r="61" spans="1:32" ht="13" x14ac:dyDescent="0.3">
      <c r="A61" s="164">
        <f t="shared" si="9"/>
        <v>5</v>
      </c>
      <c r="B61" s="52" t="s">
        <v>21</v>
      </c>
      <c r="C61" s="53"/>
      <c r="D61" s="177"/>
      <c r="E61" s="154"/>
      <c r="F61" s="178" t="s">
        <v>21</v>
      </c>
      <c r="G61" s="154"/>
      <c r="H61" s="167">
        <v>24216.608537245371</v>
      </c>
      <c r="I61" s="168">
        <v>25005.54406744201</v>
      </c>
      <c r="J61" s="168">
        <v>26179.22989098437</v>
      </c>
      <c r="K61" s="168">
        <v>28134.28005743595</v>
      </c>
      <c r="L61" s="169">
        <v>30967.308451831181</v>
      </c>
      <c r="M61" s="149"/>
      <c r="N61" s="179">
        <v>1115.992235811068</v>
      </c>
      <c r="O61" s="171">
        <v>1196.053099656636</v>
      </c>
      <c r="P61" s="171">
        <v>1270.9642697992961</v>
      </c>
      <c r="Q61" s="171">
        <v>1334.764170784792</v>
      </c>
      <c r="R61" s="171">
        <v>1387.285565269766</v>
      </c>
      <c r="S61" s="163"/>
      <c r="T61" s="172">
        <v>1115.992235811068</v>
      </c>
      <c r="U61" s="173">
        <v>1196.053099656636</v>
      </c>
      <c r="V61" s="173">
        <v>1270.9642697992961</v>
      </c>
      <c r="W61" s="173">
        <v>1334.764170784792</v>
      </c>
      <c r="X61" s="173">
        <v>1387.285565269766</v>
      </c>
      <c r="Y61" s="163"/>
      <c r="Z61" s="180">
        <v>0</v>
      </c>
      <c r="AA61" s="181">
        <v>0</v>
      </c>
      <c r="AB61" s="181">
        <v>0</v>
      </c>
      <c r="AC61" s="181">
        <v>0</v>
      </c>
      <c r="AD61" s="181">
        <v>0</v>
      </c>
      <c r="AE61" s="176"/>
      <c r="AF61" s="156"/>
    </row>
    <row r="62" spans="1:32" ht="13" x14ac:dyDescent="0.3">
      <c r="A62" s="164">
        <f t="shared" si="9"/>
        <v>5</v>
      </c>
      <c r="B62" s="52" t="s">
        <v>22</v>
      </c>
      <c r="C62" s="53"/>
      <c r="D62" s="177">
        <v>5</v>
      </c>
      <c r="E62" s="154"/>
      <c r="F62" s="182" t="s">
        <v>22</v>
      </c>
      <c r="G62" s="154"/>
      <c r="H62" s="167">
        <v>8350.7612453948968</v>
      </c>
      <c r="I62" s="168">
        <v>9007.7944868787527</v>
      </c>
      <c r="J62" s="168">
        <v>9796.2911169089966</v>
      </c>
      <c r="K62" s="168">
        <v>10849.081733332479</v>
      </c>
      <c r="L62" s="169">
        <v>12282.29433164191</v>
      </c>
      <c r="M62" s="149"/>
      <c r="N62" s="179">
        <v>1252.549857688108</v>
      </c>
      <c r="O62" s="171">
        <v>1333.881276018217</v>
      </c>
      <c r="P62" s="171">
        <v>1402.3016322216729</v>
      </c>
      <c r="Q62" s="171">
        <v>1457.6810679937221</v>
      </c>
      <c r="R62" s="171">
        <v>1493.30493997536</v>
      </c>
      <c r="S62" s="163"/>
      <c r="T62" s="172">
        <v>1252.549857688108</v>
      </c>
      <c r="U62" s="173">
        <v>1333.881276018217</v>
      </c>
      <c r="V62" s="173">
        <v>1402.3016322216729</v>
      </c>
      <c r="W62" s="173">
        <v>1457.6810679937221</v>
      </c>
      <c r="X62" s="173">
        <v>1493.30493997536</v>
      </c>
      <c r="Y62" s="163"/>
      <c r="Z62" s="180">
        <v>0</v>
      </c>
      <c r="AA62" s="181">
        <v>0</v>
      </c>
      <c r="AB62" s="181">
        <v>0</v>
      </c>
      <c r="AC62" s="181">
        <v>0</v>
      </c>
      <c r="AD62" s="181">
        <v>0</v>
      </c>
      <c r="AE62" s="176"/>
      <c r="AF62" s="156"/>
    </row>
    <row r="63" spans="1:32" ht="13" x14ac:dyDescent="0.3">
      <c r="A63" s="164">
        <f t="shared" si="9"/>
        <v>5</v>
      </c>
      <c r="B63" s="52" t="s">
        <v>24</v>
      </c>
      <c r="C63" s="53"/>
      <c r="D63" s="177"/>
      <c r="E63" s="154"/>
      <c r="F63" s="183" t="s">
        <v>24</v>
      </c>
      <c r="G63" s="154"/>
      <c r="H63" s="184">
        <v>9411.1954056864943</v>
      </c>
      <c r="I63" s="185">
        <v>10526.605055473219</v>
      </c>
      <c r="J63" s="185">
        <v>11689.108086148341</v>
      </c>
      <c r="K63" s="185">
        <v>13158.60274424099</v>
      </c>
      <c r="L63" s="186">
        <v>14971.20623549113</v>
      </c>
      <c r="M63" s="149"/>
      <c r="N63" s="187">
        <v>6868.464107038506</v>
      </c>
      <c r="O63" s="188">
        <v>7147.3361773357065</v>
      </c>
      <c r="P63" s="188">
        <v>7551.5110238075504</v>
      </c>
      <c r="Q63" s="188">
        <v>7827.2565877808402</v>
      </c>
      <c r="R63" s="188">
        <v>8153.1114871073469</v>
      </c>
      <c r="S63" s="163"/>
      <c r="T63" s="189">
        <v>6868.464107038506</v>
      </c>
      <c r="U63" s="190">
        <v>7147.3361773357065</v>
      </c>
      <c r="V63" s="190">
        <v>7551.5110238075504</v>
      </c>
      <c r="W63" s="190">
        <v>7827.2565877808402</v>
      </c>
      <c r="X63" s="190">
        <v>8153.1114871073469</v>
      </c>
      <c r="Y63" s="163"/>
      <c r="Z63" s="191">
        <v>0</v>
      </c>
      <c r="AA63" s="192">
        <v>0</v>
      </c>
      <c r="AB63" s="192">
        <v>0</v>
      </c>
      <c r="AC63" s="192">
        <v>0</v>
      </c>
      <c r="AD63" s="192">
        <v>0</v>
      </c>
      <c r="AE63" s="176"/>
      <c r="AF63" s="156"/>
    </row>
    <row r="64" spans="1:32" ht="13" x14ac:dyDescent="0.3">
      <c r="A64" s="164">
        <f t="shared" si="9"/>
        <v>5</v>
      </c>
      <c r="B64" s="56"/>
      <c r="C64" s="60"/>
      <c r="D64" s="193"/>
      <c r="E64" s="194"/>
      <c r="F64" s="195" t="s">
        <v>25</v>
      </c>
      <c r="G64" s="194"/>
      <c r="H64" s="196">
        <f>SUM(H60:H63)</f>
        <v>152474.7671040296</v>
      </c>
      <c r="I64" s="197">
        <f>SUM(I60:I63)</f>
        <v>163218.3914199548</v>
      </c>
      <c r="J64" s="197">
        <f>SUM(J60:J63)</f>
        <v>174585.26554233022</v>
      </c>
      <c r="K64" s="197">
        <f>SUM(K60:K63)</f>
        <v>189426.22641011182</v>
      </c>
      <c r="L64" s="198">
        <f>SUM(L60:L63)</f>
        <v>210210.23949324311</v>
      </c>
      <c r="M64" s="199"/>
      <c r="N64" s="200">
        <f>IF(H64=0,0,SUMPRODUCT(N60:N63,H60:H63)/H64)</f>
        <v>1027.2682727129136</v>
      </c>
      <c r="O64" s="201">
        <f>IF(I64=0,0,SUMPRODUCT(O60:O63,I60:I63)/I64)</f>
        <v>1106.2065430768016</v>
      </c>
      <c r="P64" s="201">
        <f>IF(J64=0,0,SUMPRODUCT(P60:P63,J60:J63)/J64)</f>
        <v>1190.2407134828122</v>
      </c>
      <c r="Q64" s="201">
        <f>IF(K64=0,0,SUMPRODUCT(Q60:Q63,K60:K63)/K64)</f>
        <v>1265.0289063031767</v>
      </c>
      <c r="R64" s="201">
        <f>IF(L64=0,0,SUMPRODUCT(R60:R63,L60:L63)/L64)</f>
        <v>1332.6070831658335</v>
      </c>
      <c r="S64" s="202"/>
      <c r="T64" s="200">
        <f>IF(H64=0,0,SUMPRODUCT(T60:T63,H60:H63)/H64)</f>
        <v>1027.2682727129136</v>
      </c>
      <c r="U64" s="201">
        <f>IF(I64=0,0,SUMPRODUCT(U60:U63,I60:I63)/I64)</f>
        <v>1106.2065430768016</v>
      </c>
      <c r="V64" s="201">
        <f>IF(J64=0,0,SUMPRODUCT(V60:V63,J60:J63)/J64)</f>
        <v>1190.2407134828122</v>
      </c>
      <c r="W64" s="201">
        <f>IF(K64=0,0,SUMPRODUCT(W60:W63,K60:K63)/K64)</f>
        <v>1265.0289063031767</v>
      </c>
      <c r="X64" s="201">
        <f>IF(L64=0,0,SUMPRODUCT(X60:X63,L60:L63)/L64)</f>
        <v>1332.6070831658335</v>
      </c>
      <c r="Y64" s="202"/>
      <c r="Z64" s="203">
        <f>SUM(Z60:Z63)</f>
        <v>0</v>
      </c>
      <c r="AA64" s="204">
        <f>SUM(AA60:AA63)</f>
        <v>0</v>
      </c>
      <c r="AB64" s="204">
        <f>SUM(AB60:AB63)</f>
        <v>0</v>
      </c>
      <c r="AC64" s="204">
        <f>SUM(AC60:AC63)</f>
        <v>0</v>
      </c>
      <c r="AD64" s="204">
        <f>SUM(AD60:AD63)</f>
        <v>0</v>
      </c>
      <c r="AE64" s="205"/>
      <c r="AF64" s="51"/>
    </row>
    <row r="65" spans="1:32" ht="15.65" customHeight="1" x14ac:dyDescent="0.3">
      <c r="A65" s="164">
        <f t="shared" si="9"/>
        <v>5</v>
      </c>
      <c r="B65" s="157"/>
      <c r="C65" s="148"/>
      <c r="D65" s="150"/>
      <c r="E65" s="206"/>
      <c r="F65" s="206"/>
      <c r="G65" s="206"/>
      <c r="H65" s="206"/>
      <c r="I65" s="206"/>
      <c r="J65" s="206"/>
      <c r="K65" s="206"/>
      <c r="L65" s="206"/>
      <c r="M65" s="206"/>
      <c r="N65" s="207">
        <f>SUM(N64*H64)</f>
        <v>156632490.63526025</v>
      </c>
      <c r="O65" s="207">
        <f>SUM(O64*I64)</f>
        <v>180553252.53922451</v>
      </c>
      <c r="P65" s="207">
        <f>SUM(P64*J64)</f>
        <v>207798491.02268934</v>
      </c>
      <c r="Q65" s="207">
        <f>SUM(Q64*K64)</f>
        <v>239629652.02072167</v>
      </c>
      <c r="R65" s="207">
        <f>SUM(R64*L64)</f>
        <v>280127654.10268199</v>
      </c>
      <c r="S65" s="208"/>
      <c r="T65" s="207">
        <f>SUM(T64*H64)</f>
        <v>156632490.63526025</v>
      </c>
      <c r="U65" s="207">
        <f>SUM(U64*I64)</f>
        <v>180553252.53922451</v>
      </c>
      <c r="V65" s="207">
        <f>SUM(V64*J64)</f>
        <v>207798491.02268934</v>
      </c>
      <c r="W65" s="207">
        <f>SUM(W64*K64)</f>
        <v>239629652.02072167</v>
      </c>
      <c r="X65" s="207">
        <f>SUM(X64*L64)</f>
        <v>280127654.10268199</v>
      </c>
      <c r="Y65" s="149"/>
      <c r="Z65" s="209">
        <f>IFERROR(Z64/SUMPRODUCT(N60:N63,H60:H63), 0)</f>
        <v>0</v>
      </c>
      <c r="AA65" s="209">
        <f>IFERROR(AA64/SUMPRODUCT(O60:O63,I60:I63), 0)</f>
        <v>0</v>
      </c>
      <c r="AB65" s="209">
        <f>IFERROR(AB64/SUMPRODUCT(P60:P63,J60:J63), 0)</f>
        <v>0</v>
      </c>
      <c r="AC65" s="209">
        <f>IFERROR(AC64/SUMPRODUCT(Q60:Q63,K60:K63), 0)</f>
        <v>0</v>
      </c>
      <c r="AD65" s="209">
        <f>IFERROR(AD64/SUMPRODUCT(R60:R63,L60:L63), 0)</f>
        <v>0</v>
      </c>
      <c r="AE65" s="210"/>
      <c r="AF65" s="156"/>
    </row>
    <row r="66" spans="1:32" ht="13" x14ac:dyDescent="0.3">
      <c r="A66" s="211">
        <f t="shared" si="9"/>
        <v>5</v>
      </c>
      <c r="B66" s="212"/>
      <c r="C66" s="148"/>
      <c r="D66" s="150"/>
      <c r="E66" s="206"/>
      <c r="F66" s="206"/>
      <c r="G66" s="206"/>
      <c r="H66" s="206"/>
      <c r="I66" s="206"/>
      <c r="J66" s="206"/>
      <c r="K66" s="206"/>
      <c r="L66" s="206"/>
      <c r="M66" s="206"/>
      <c r="N66" s="213"/>
      <c r="O66" s="206"/>
      <c r="P66" s="206"/>
      <c r="Q66" s="206"/>
      <c r="R66" s="214"/>
      <c r="S66" s="206"/>
      <c r="T66" s="206"/>
      <c r="U66" s="206"/>
      <c r="V66" s="206"/>
      <c r="W66" s="206"/>
      <c r="X66" s="206"/>
      <c r="Y66" s="149"/>
      <c r="Z66" s="210"/>
      <c r="AA66" s="210"/>
      <c r="AB66" s="210"/>
      <c r="AC66" s="210"/>
      <c r="AD66" s="215"/>
      <c r="AE66" s="210"/>
      <c r="AF66" s="156"/>
    </row>
    <row r="67" spans="1:32" ht="13" x14ac:dyDescent="0.3">
      <c r="A67" s="137" t="e">
        <f>#REF!+1</f>
        <v>#REF!</v>
      </c>
      <c r="B67" s="135"/>
      <c r="C67" s="124"/>
      <c r="D67" s="7"/>
      <c r="E67" s="120"/>
      <c r="F67" s="120"/>
      <c r="G67" s="120"/>
      <c r="H67" s="120"/>
      <c r="I67" s="120"/>
      <c r="J67" s="120"/>
      <c r="K67" s="120"/>
      <c r="L67" s="120"/>
      <c r="M67" s="120"/>
      <c r="N67" s="129"/>
      <c r="O67" s="120"/>
      <c r="P67" s="120"/>
      <c r="Q67" s="120"/>
      <c r="R67" s="25"/>
      <c r="S67" s="120"/>
      <c r="T67" s="120"/>
      <c r="U67" s="120"/>
      <c r="V67" s="120"/>
      <c r="W67" s="120"/>
      <c r="X67" s="120"/>
      <c r="Y67" s="126"/>
      <c r="Z67" s="5"/>
      <c r="AA67" s="5"/>
      <c r="AB67" s="5"/>
      <c r="AC67" s="5"/>
      <c r="AD67" s="3"/>
      <c r="AE67" s="5"/>
      <c r="AF67" s="132"/>
    </row>
    <row r="68" spans="1:32" x14ac:dyDescent="0.25">
      <c r="A68" s="130"/>
      <c r="B68" s="124"/>
      <c r="C68" s="124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90"/>
    </row>
    <row r="69" spans="1:32" ht="15.5" x14ac:dyDescent="0.35">
      <c r="A69" s="130"/>
      <c r="B69" s="124"/>
      <c r="C69" s="124"/>
      <c r="D69" s="91" t="s">
        <v>32</v>
      </c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07" t="s">
        <v>33</v>
      </c>
      <c r="U70" s="138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34</v>
      </c>
      <c r="U71" s="120"/>
      <c r="V71" s="108">
        <f>T15</f>
        <v>979.27388060818078</v>
      </c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35</v>
      </c>
      <c r="U72" s="120"/>
      <c r="V72" s="109">
        <f>U15</f>
        <v>1059.6065300707053</v>
      </c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 t="s">
        <v>36</v>
      </c>
      <c r="U73" s="120"/>
      <c r="V73" s="109">
        <f>V15</f>
        <v>1126.9325212003423</v>
      </c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37</v>
      </c>
      <c r="U74" s="120"/>
      <c r="V74" s="109">
        <f>W15</f>
        <v>1185.8971038917546</v>
      </c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38</v>
      </c>
      <c r="U75" s="120"/>
      <c r="V75" s="109">
        <f>X15</f>
        <v>1235.0358893399639</v>
      </c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/>
      <c r="U76" s="120"/>
      <c r="V76" s="109"/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39</v>
      </c>
      <c r="U77" s="120"/>
      <c r="V77" s="109">
        <f>T13</f>
        <v>427.41709919436164</v>
      </c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40</v>
      </c>
      <c r="U78" s="120"/>
      <c r="V78" s="109">
        <f>U13</f>
        <v>470.33237801834593</v>
      </c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 t="s">
        <v>41</v>
      </c>
      <c r="U79" s="120"/>
      <c r="V79" s="109">
        <f>V13</f>
        <v>508.83511325653171</v>
      </c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42</v>
      </c>
      <c r="U80" s="120"/>
      <c r="V80" s="109">
        <f>W13</f>
        <v>545.20150526183386</v>
      </c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43</v>
      </c>
      <c r="U81" s="120"/>
      <c r="V81" s="109">
        <f>X13</f>
        <v>579.97929278605136</v>
      </c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/>
      <c r="U82" s="120"/>
      <c r="V82" s="109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44</v>
      </c>
      <c r="U83" s="120"/>
      <c r="V83" s="109">
        <f>T14</f>
        <v>883.32416042035504</v>
      </c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45</v>
      </c>
      <c r="U84" s="120"/>
      <c r="V84" s="109">
        <f>U14</f>
        <v>964.04272555772991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 t="s">
        <v>46</v>
      </c>
      <c r="U85" s="120"/>
      <c r="V85" s="109">
        <f>V14</f>
        <v>1036.9444301002832</v>
      </c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47</v>
      </c>
      <c r="U86" s="120"/>
      <c r="V86" s="109">
        <f>W14</f>
        <v>1098.8868019078379</v>
      </c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48</v>
      </c>
      <c r="U87" s="120"/>
      <c r="V87" s="109">
        <f>X14</f>
        <v>1156.3363151463886</v>
      </c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ht="13" x14ac:dyDescent="0.3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2"/>
      <c r="U88" s="120"/>
      <c r="V88" s="109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ht="13" x14ac:dyDescent="0.3">
      <c r="A89" s="130"/>
      <c r="B89" s="124"/>
      <c r="C89" s="124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2" t="s">
        <v>49</v>
      </c>
      <c r="U89" s="120"/>
      <c r="V89" s="110"/>
      <c r="W89" s="120"/>
      <c r="X89" s="120"/>
      <c r="Y89" s="120"/>
      <c r="Z89" s="120"/>
      <c r="AA89" s="120"/>
      <c r="AB89" s="120"/>
      <c r="AC89" s="120"/>
      <c r="AD89" s="120"/>
      <c r="AE89" s="120"/>
      <c r="AF89" s="132"/>
    </row>
    <row r="90" spans="1:32" ht="13" x14ac:dyDescent="0.3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2" t="s">
        <v>50</v>
      </c>
      <c r="U90" s="120"/>
      <c r="V90" s="11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0"/>
      <c r="B91" s="124"/>
      <c r="C91" s="124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2" t="s">
        <v>51</v>
      </c>
      <c r="U91" s="120"/>
      <c r="V91" s="110"/>
      <c r="W91" s="120"/>
      <c r="X91" s="120"/>
      <c r="Y91" s="120"/>
      <c r="Z91" s="120"/>
      <c r="AA91" s="120"/>
      <c r="AB91" s="120"/>
      <c r="AC91" s="120"/>
      <c r="AD91" s="120"/>
      <c r="AE91" s="120"/>
      <c r="AF91" s="132"/>
    </row>
    <row r="92" spans="1:32" ht="13" x14ac:dyDescent="0.3">
      <c r="A92" s="130"/>
      <c r="B92" s="124"/>
      <c r="C92" s="124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2" t="s">
        <v>52</v>
      </c>
      <c r="U92" s="120"/>
      <c r="V92" s="110"/>
      <c r="W92" s="120"/>
      <c r="X92" s="120"/>
      <c r="Y92" s="120"/>
      <c r="Z92" s="120"/>
      <c r="AA92" s="120"/>
      <c r="AB92" s="120"/>
      <c r="AC92" s="120"/>
      <c r="AD92" s="120"/>
      <c r="AE92" s="120"/>
      <c r="AF92" s="132"/>
    </row>
    <row r="93" spans="1:32" ht="13" x14ac:dyDescent="0.3">
      <c r="A93" s="130"/>
      <c r="B93" s="124"/>
      <c r="C93" s="124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2" t="s">
        <v>53</v>
      </c>
      <c r="U93" s="120"/>
      <c r="V93" s="110"/>
      <c r="W93" s="120"/>
      <c r="X93" s="120"/>
      <c r="Y93" s="120"/>
      <c r="Z93" s="120"/>
      <c r="AA93" s="120"/>
      <c r="AB93" s="120"/>
      <c r="AC93" s="120"/>
      <c r="AD93" s="120"/>
      <c r="AE93" s="120"/>
      <c r="AF93" s="132"/>
    </row>
    <row r="94" spans="1:32" ht="13" x14ac:dyDescent="0.3">
      <c r="A94" s="130"/>
      <c r="B94" s="124"/>
      <c r="C94" s="124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2"/>
      <c r="U94" s="120"/>
      <c r="V94" s="109"/>
      <c r="W94" s="120"/>
      <c r="X94" s="120"/>
      <c r="Y94" s="120"/>
      <c r="Z94" s="120"/>
      <c r="AA94" s="120"/>
      <c r="AB94" s="120"/>
      <c r="AC94" s="120"/>
      <c r="AD94" s="120"/>
      <c r="AE94" s="120"/>
      <c r="AF94" s="132"/>
    </row>
    <row r="95" spans="1:32" ht="13" x14ac:dyDescent="0.3">
      <c r="A95" s="130"/>
      <c r="B95" s="124"/>
      <c r="C95" s="124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2" t="s">
        <v>54</v>
      </c>
      <c r="U95" s="120"/>
      <c r="V95" s="110"/>
      <c r="W95" s="120"/>
      <c r="X95" s="120"/>
      <c r="Y95" s="120"/>
      <c r="Z95" s="120"/>
      <c r="AA95" s="120"/>
      <c r="AB95" s="120"/>
      <c r="AC95" s="120"/>
      <c r="AD95" s="120"/>
      <c r="AE95" s="120"/>
      <c r="AF95" s="132"/>
    </row>
    <row r="96" spans="1:32" ht="13" x14ac:dyDescent="0.3">
      <c r="A96" s="130"/>
      <c r="B96" s="124"/>
      <c r="C96" s="124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2" t="s">
        <v>55</v>
      </c>
      <c r="U96" s="120"/>
      <c r="V96" s="110"/>
      <c r="W96" s="120"/>
      <c r="X96" s="120"/>
      <c r="Y96" s="120"/>
      <c r="Z96" s="120"/>
      <c r="AA96" s="120"/>
      <c r="AB96" s="120"/>
      <c r="AC96" s="120"/>
      <c r="AD96" s="120"/>
      <c r="AE96" s="120"/>
      <c r="AF96" s="132"/>
    </row>
    <row r="97" spans="1:32" ht="13" x14ac:dyDescent="0.3">
      <c r="A97" s="130"/>
      <c r="B97" s="124"/>
      <c r="C97" s="124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2" t="s">
        <v>56</v>
      </c>
      <c r="U97" s="120"/>
      <c r="V97" s="110"/>
      <c r="W97" s="120"/>
      <c r="X97" s="120"/>
      <c r="Y97" s="120"/>
      <c r="Z97" s="120"/>
      <c r="AA97" s="120"/>
      <c r="AB97" s="120"/>
      <c r="AC97" s="120"/>
      <c r="AD97" s="120"/>
      <c r="AE97" s="120"/>
      <c r="AF97" s="132"/>
    </row>
    <row r="98" spans="1:32" ht="13" x14ac:dyDescent="0.3">
      <c r="A98" s="130"/>
      <c r="B98" s="124"/>
      <c r="C98" s="124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2" t="s">
        <v>57</v>
      </c>
      <c r="U98" s="120"/>
      <c r="V98" s="110"/>
      <c r="W98" s="120"/>
      <c r="X98" s="120"/>
      <c r="Y98" s="120"/>
      <c r="Z98" s="120"/>
      <c r="AA98" s="120"/>
      <c r="AB98" s="120"/>
      <c r="AC98" s="120"/>
      <c r="AD98" s="120"/>
      <c r="AE98" s="120"/>
      <c r="AF98" s="132"/>
    </row>
    <row r="99" spans="1:32" ht="13" x14ac:dyDescent="0.3">
      <c r="A99" s="130"/>
      <c r="B99" s="124"/>
      <c r="C99" s="124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2" t="s">
        <v>58</v>
      </c>
      <c r="U99" s="120"/>
      <c r="V99" s="110"/>
      <c r="W99" s="120"/>
      <c r="X99" s="120"/>
      <c r="Y99" s="120"/>
      <c r="Z99" s="120"/>
      <c r="AA99" s="120"/>
      <c r="AB99" s="120"/>
      <c r="AC99" s="120"/>
      <c r="AD99" s="120"/>
      <c r="AE99" s="120"/>
      <c r="AF99" s="132"/>
    </row>
    <row r="100" spans="1:32" ht="13" x14ac:dyDescent="0.3">
      <c r="A100" s="130"/>
      <c r="B100" s="124"/>
      <c r="C100" s="124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2"/>
      <c r="U100" s="120"/>
      <c r="V100" s="109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32"/>
    </row>
    <row r="101" spans="1:32" ht="13" x14ac:dyDescent="0.3">
      <c r="A101" s="130"/>
      <c r="B101" s="124"/>
      <c r="C101" s="124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2" t="s">
        <v>59</v>
      </c>
      <c r="U101" s="120"/>
      <c r="V101" s="109">
        <f>T16</f>
        <v>4587.2833608509609</v>
      </c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32"/>
    </row>
    <row r="102" spans="1:32" ht="13" x14ac:dyDescent="0.3">
      <c r="A102" s="130"/>
      <c r="B102" s="124"/>
      <c r="C102" s="124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2" t="s">
        <v>60</v>
      </c>
      <c r="U102" s="120"/>
      <c r="V102" s="109">
        <f>U16</f>
        <v>4822.1648616158363</v>
      </c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32"/>
    </row>
    <row r="103" spans="1:32" ht="13" x14ac:dyDescent="0.3">
      <c r="A103" s="130"/>
      <c r="B103" s="124"/>
      <c r="C103" s="124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2" t="s">
        <v>61</v>
      </c>
      <c r="U103" s="120"/>
      <c r="V103" s="109">
        <f>V16</f>
        <v>5133.1955333240976</v>
      </c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32"/>
    </row>
    <row r="104" spans="1:32" ht="13" x14ac:dyDescent="0.3">
      <c r="A104" s="130"/>
      <c r="B104" s="124"/>
      <c r="C104" s="124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2" t="s">
        <v>62</v>
      </c>
      <c r="U104" s="120"/>
      <c r="V104" s="109">
        <f>W16</f>
        <v>5400.3497385214532</v>
      </c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32"/>
    </row>
    <row r="105" spans="1:32" ht="13" x14ac:dyDescent="0.3">
      <c r="A105" s="130"/>
      <c r="B105" s="124"/>
      <c r="C105" s="124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2" t="s">
        <v>63</v>
      </c>
      <c r="U105" s="120"/>
      <c r="V105" s="111">
        <f>X16</f>
        <v>5710.8358852682049</v>
      </c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32"/>
    </row>
    <row r="106" spans="1:32" x14ac:dyDescent="0.25">
      <c r="A106" s="130"/>
      <c r="B106" s="124"/>
      <c r="C106" s="124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32"/>
    </row>
    <row r="107" spans="1:32" x14ac:dyDescent="0.25">
      <c r="A107" s="130"/>
      <c r="B107" s="124"/>
      <c r="C107" s="124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90"/>
    </row>
    <row r="108" spans="1:32" x14ac:dyDescent="0.25">
      <c r="A108" s="130"/>
      <c r="B108" s="124"/>
      <c r="C108" s="124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32"/>
    </row>
    <row r="109" spans="1:32" ht="13" x14ac:dyDescent="0.3">
      <c r="A109" s="139"/>
      <c r="B109" s="121"/>
      <c r="C109" s="121"/>
      <c r="D109" s="61" t="s">
        <v>5</v>
      </c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</row>
    <row r="110" spans="1:32" ht="13" x14ac:dyDescent="0.3">
      <c r="A110" s="140"/>
      <c r="B110" s="122"/>
      <c r="C110" s="122"/>
      <c r="D110" s="1" t="s">
        <v>6</v>
      </c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</row>
    <row r="111" spans="1:32" x14ac:dyDescent="0.25">
      <c r="A111" s="140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</row>
    <row r="112" spans="1:32" x14ac:dyDescent="0.25">
      <c r="A112" s="140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</row>
    <row r="113" spans="1:32" x14ac:dyDescent="0.25">
      <c r="A113" s="140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</row>
    <row r="114" spans="1:32" x14ac:dyDescent="0.25">
      <c r="A114" s="140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</row>
    <row r="115" spans="1:32" x14ac:dyDescent="0.25">
      <c r="A115" s="140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</row>
    <row r="116" spans="1:32" x14ac:dyDescent="0.25">
      <c r="A116" s="140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</row>
    <row r="117" spans="1:32" x14ac:dyDescent="0.25">
      <c r="A117" s="140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</row>
    <row r="118" spans="1:32" x14ac:dyDescent="0.25">
      <c r="A118" s="140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</row>
    <row r="119" spans="1:32" x14ac:dyDescent="0.25">
      <c r="A119" s="140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</row>
    <row r="120" spans="1:32" x14ac:dyDescent="0.25">
      <c r="A120" s="140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</row>
    <row r="121" spans="1:32" x14ac:dyDescent="0.25">
      <c r="A121" s="140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</row>
    <row r="122" spans="1:32" x14ac:dyDescent="0.25">
      <c r="A122" s="140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</row>
    <row r="123" spans="1:32" x14ac:dyDescent="0.25">
      <c r="J123" s="122"/>
      <c r="K123" s="122"/>
      <c r="L123" s="122"/>
      <c r="M123" s="122"/>
    </row>
    <row r="124" spans="1:32" x14ac:dyDescent="0.25">
      <c r="J124" s="122"/>
      <c r="K124" s="122"/>
      <c r="L124" s="122"/>
      <c r="M124" s="122"/>
    </row>
    <row r="125" spans="1:32" x14ac:dyDescent="0.25">
      <c r="J125" s="122"/>
      <c r="K125" s="122"/>
      <c r="L125" s="122"/>
      <c r="M125" s="122"/>
    </row>
    <row r="126" spans="1:32" x14ac:dyDescent="0.25">
      <c r="J126" s="122"/>
      <c r="K126" s="122"/>
      <c r="L126" s="122"/>
      <c r="M126" s="122"/>
    </row>
    <row r="127" spans="1:32" x14ac:dyDescent="0.25">
      <c r="J127" s="122"/>
      <c r="K127" s="122"/>
      <c r="L127" s="122"/>
      <c r="M127" s="122"/>
    </row>
    <row r="128" spans="1:32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  <row r="792" spans="10:13" x14ac:dyDescent="0.25">
      <c r="J792" s="122"/>
      <c r="K792" s="122"/>
      <c r="L792" s="122"/>
      <c r="M792" s="122"/>
    </row>
    <row r="793" spans="10:13" x14ac:dyDescent="0.25">
      <c r="J793" s="122"/>
      <c r="K793" s="122"/>
      <c r="L793" s="122"/>
      <c r="M793" s="122"/>
    </row>
    <row r="794" spans="10:13" x14ac:dyDescent="0.25">
      <c r="J794" s="122"/>
      <c r="K794" s="122"/>
      <c r="L794" s="122"/>
      <c r="M794" s="122"/>
    </row>
    <row r="795" spans="10:13" x14ac:dyDescent="0.25">
      <c r="J795" s="122"/>
      <c r="K795" s="122"/>
      <c r="L795" s="122"/>
      <c r="M795" s="122"/>
    </row>
    <row r="796" spans="10:13" x14ac:dyDescent="0.25">
      <c r="J796" s="122"/>
      <c r="K796" s="122"/>
      <c r="L796" s="122"/>
      <c r="M796" s="122"/>
    </row>
    <row r="797" spans="10:13" x14ac:dyDescent="0.25">
      <c r="J797" s="122"/>
      <c r="K797" s="122"/>
      <c r="L797" s="122"/>
      <c r="M797" s="122"/>
    </row>
    <row r="798" spans="10:13" x14ac:dyDescent="0.25">
      <c r="J798" s="122"/>
      <c r="K798" s="122"/>
      <c r="L798" s="122"/>
      <c r="M798" s="122"/>
    </row>
    <row r="799" spans="10:13" x14ac:dyDescent="0.25">
      <c r="J799" s="122"/>
      <c r="K799" s="122"/>
      <c r="L799" s="122"/>
      <c r="M799" s="122"/>
    </row>
    <row r="800" spans="10:13" x14ac:dyDescent="0.25">
      <c r="J800" s="122"/>
      <c r="K800" s="122"/>
      <c r="L800" s="122"/>
      <c r="M800" s="122"/>
    </row>
    <row r="801" spans="10:13" x14ac:dyDescent="0.25">
      <c r="J801" s="122"/>
      <c r="K801" s="122"/>
      <c r="L801" s="122"/>
      <c r="M801" s="122"/>
    </row>
    <row r="802" spans="10:13" x14ac:dyDescent="0.25">
      <c r="J802" s="122"/>
      <c r="K802" s="122"/>
      <c r="L802" s="122"/>
      <c r="M802" s="122"/>
    </row>
    <row r="803" spans="10:13" x14ac:dyDescent="0.25">
      <c r="J803" s="122"/>
      <c r="K803" s="122"/>
      <c r="L803" s="122"/>
      <c r="M803" s="122"/>
    </row>
    <row r="804" spans="10:13" x14ac:dyDescent="0.25">
      <c r="J804" s="122"/>
      <c r="K804" s="122"/>
      <c r="L804" s="122"/>
      <c r="M804" s="122"/>
    </row>
    <row r="805" spans="10:13" x14ac:dyDescent="0.25">
      <c r="J805" s="122"/>
      <c r="K805" s="122"/>
      <c r="L805" s="122"/>
      <c r="M805" s="122"/>
    </row>
    <row r="806" spans="10:13" x14ac:dyDescent="0.25">
      <c r="J806" s="122"/>
      <c r="K806" s="122"/>
      <c r="L806" s="122"/>
      <c r="M806" s="122"/>
    </row>
    <row r="807" spans="10:13" x14ac:dyDescent="0.25">
      <c r="J807" s="122"/>
      <c r="K807" s="122"/>
      <c r="L807" s="122"/>
      <c r="M807" s="122"/>
    </row>
    <row r="808" spans="10:13" x14ac:dyDescent="0.25">
      <c r="J808" s="122"/>
      <c r="K808" s="122"/>
      <c r="L808" s="122"/>
      <c r="M808" s="122"/>
    </row>
    <row r="809" spans="10:13" x14ac:dyDescent="0.25">
      <c r="J809" s="122"/>
      <c r="K809" s="122"/>
      <c r="L809" s="122"/>
      <c r="M809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2026-09-14T10:00:25Z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