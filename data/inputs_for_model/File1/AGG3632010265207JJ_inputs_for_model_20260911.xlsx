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ForModel\File1\"/>
    </mc:Choice>
  </mc:AlternateContent>
  <xr:revisionPtr revIDLastSave="0" documentId="13_ncr:1_{5240687E-8C6C-4C81-B692-628BCDB023DD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58" i="4"/>
  <c r="AD56" i="4"/>
  <c r="AC56" i="4"/>
  <c r="AD55" i="4"/>
  <c r="AC55" i="4"/>
  <c r="AB55" i="4"/>
  <c r="AB56" i="4" s="1"/>
  <c r="AA55" i="4"/>
  <c r="AA56" i="4" s="1"/>
  <c r="Z55" i="4"/>
  <c r="Z56" i="4" s="1"/>
  <c r="L55" i="4"/>
  <c r="X55" i="4" s="1"/>
  <c r="X56" i="4" s="1"/>
  <c r="K55" i="4"/>
  <c r="W55" i="4" s="1"/>
  <c r="W56" i="4" s="1"/>
  <c r="J55" i="4"/>
  <c r="P55" i="4" s="1"/>
  <c r="P56" i="4" s="1"/>
  <c r="I55" i="4"/>
  <c r="O55" i="4" s="1"/>
  <c r="O56" i="4" s="1"/>
  <c r="H55" i="4"/>
  <c r="N55" i="4" s="1"/>
  <c r="N56" i="4" s="1"/>
  <c r="A50" i="4"/>
  <c r="A51" i="4" s="1"/>
  <c r="A52" i="4" s="1"/>
  <c r="A53" i="4" s="1"/>
  <c r="A54" i="4" s="1"/>
  <c r="A55" i="4" s="1"/>
  <c r="A56" i="4" s="1"/>
  <c r="A57" i="4" s="1"/>
  <c r="AD46" i="4"/>
  <c r="AD47" i="4" s="1"/>
  <c r="AC46" i="4"/>
  <c r="AC47" i="4" s="1"/>
  <c r="AB46" i="4"/>
  <c r="AB47" i="4" s="1"/>
  <c r="AA46" i="4"/>
  <c r="AA47" i="4" s="1"/>
  <c r="Z46" i="4"/>
  <c r="Z47" i="4" s="1"/>
  <c r="N46" i="4"/>
  <c r="N47" i="4" s="1"/>
  <c r="L46" i="4"/>
  <c r="X46" i="4" s="1"/>
  <c r="X47" i="4" s="1"/>
  <c r="K46" i="4"/>
  <c r="W46" i="4" s="1"/>
  <c r="W47" i="4" s="1"/>
  <c r="J46" i="4"/>
  <c r="V46" i="4" s="1"/>
  <c r="V47" i="4" s="1"/>
  <c r="I46" i="4"/>
  <c r="O46" i="4" s="1"/>
  <c r="O47" i="4" s="1"/>
  <c r="H46" i="4"/>
  <c r="T46" i="4" s="1"/>
  <c r="T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R37" i="4" s="1"/>
  <c r="K37" i="4"/>
  <c r="Q37" i="4" s="1"/>
  <c r="Q38" i="4" s="1"/>
  <c r="J37" i="4"/>
  <c r="P37" i="4" s="1"/>
  <c r="P38" i="4" s="1"/>
  <c r="I37" i="4"/>
  <c r="U37" i="4" s="1"/>
  <c r="U38" i="4" s="1"/>
  <c r="H37" i="4"/>
  <c r="N37" i="4" s="1"/>
  <c r="N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X28" i="4"/>
  <c r="W28" i="4"/>
  <c r="W29" i="4" s="1"/>
  <c r="R28" i="4"/>
  <c r="R29" i="4" s="1"/>
  <c r="L28" i="4"/>
  <c r="K28" i="4"/>
  <c r="Q28" i="4" s="1"/>
  <c r="J28" i="4"/>
  <c r="V28" i="4" s="1"/>
  <c r="I28" i="4"/>
  <c r="U28" i="4" s="1"/>
  <c r="H28" i="4"/>
  <c r="N28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U2" i="4"/>
  <c r="AA2" i="4" s="1"/>
  <c r="R2" i="4"/>
  <c r="W2" i="4" s="1"/>
  <c r="AC2" i="4" s="1"/>
  <c r="Q2" i="4"/>
  <c r="V2" i="4" s="1"/>
  <c r="AB2" i="4" s="1"/>
  <c r="P2" i="4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X37" i="4" l="1"/>
  <c r="X38" i="4" s="1"/>
  <c r="Q55" i="4"/>
  <c r="Q56" i="4" s="1"/>
  <c r="T55" i="4"/>
  <c r="T56" i="4" s="1"/>
  <c r="V55" i="4"/>
  <c r="V56" i="4" s="1"/>
  <c r="T28" i="4"/>
  <c r="P46" i="4"/>
  <c r="P47" i="4" s="1"/>
  <c r="U46" i="4"/>
  <c r="U47" i="4" s="1"/>
  <c r="O37" i="4"/>
  <c r="O38" i="4" s="1"/>
  <c r="V37" i="4"/>
  <c r="V38" i="4" s="1"/>
  <c r="Q46" i="4"/>
  <c r="Q47" i="4" s="1"/>
  <c r="P28" i="4"/>
  <c r="P29" i="4" s="1"/>
  <c r="P13" i="4" s="1"/>
  <c r="U29" i="4"/>
  <c r="V29" i="4"/>
  <c r="R38" i="4"/>
  <c r="Q29" i="4"/>
  <c r="T37" i="4"/>
  <c r="T38" i="4" s="1"/>
  <c r="O28" i="4"/>
  <c r="X29" i="4"/>
  <c r="X16" i="4" s="1"/>
  <c r="V96" i="4" s="1"/>
  <c r="R55" i="4"/>
  <c r="R56" i="4" s="1"/>
  <c r="W37" i="4"/>
  <c r="U55" i="4"/>
  <c r="U56" i="4" s="1"/>
  <c r="N29" i="4"/>
  <c r="N15" i="4" s="1"/>
  <c r="R46" i="4"/>
  <c r="R47" i="4" s="1"/>
  <c r="T29" i="4"/>
  <c r="Q16" i="4" l="1"/>
  <c r="N13" i="4"/>
  <c r="X15" i="4"/>
  <c r="V66" i="4" s="1"/>
  <c r="T15" i="4"/>
  <c r="V62" i="4" s="1"/>
  <c r="V16" i="4"/>
  <c r="V94" i="4" s="1"/>
  <c r="V13" i="4"/>
  <c r="R15" i="4"/>
  <c r="T14" i="4"/>
  <c r="V74" i="4" s="1"/>
  <c r="Q13" i="4"/>
  <c r="Q14" i="4"/>
  <c r="V70" i="4"/>
  <c r="U15" i="4"/>
  <c r="V63" i="4" s="1"/>
  <c r="P16" i="4"/>
  <c r="T13" i="4"/>
  <c r="U14" i="4"/>
  <c r="V75" i="4" s="1"/>
  <c r="R13" i="4"/>
  <c r="R16" i="4"/>
  <c r="U16" i="4"/>
  <c r="V93" i="4" s="1"/>
  <c r="R14" i="4"/>
  <c r="T16" i="4"/>
  <c r="V92" i="4" s="1"/>
  <c r="Q15" i="4"/>
  <c r="V15" i="4"/>
  <c r="V64" i="4" s="1"/>
  <c r="N16" i="4"/>
  <c r="U13" i="4"/>
  <c r="W38" i="4"/>
  <c r="W14" i="4" s="1"/>
  <c r="V77" i="4" s="1"/>
  <c r="W15" i="4"/>
  <c r="V65" i="4" s="1"/>
  <c r="W13" i="4"/>
  <c r="P15" i="4"/>
  <c r="X13" i="4"/>
  <c r="X14" i="4"/>
  <c r="V78" i="4" s="1"/>
  <c r="V14" i="4"/>
  <c r="V76" i="4" s="1"/>
  <c r="P14" i="4"/>
  <c r="N14" i="4"/>
  <c r="O29" i="4"/>
  <c r="O13" i="4" s="1"/>
  <c r="Q17" i="4" l="1"/>
  <c r="Q18" i="4" s="1"/>
  <c r="Z18" i="4"/>
  <c r="O16" i="4"/>
  <c r="P17" i="4"/>
  <c r="P18" i="4" s="1"/>
  <c r="V68" i="4"/>
  <c r="T17" i="4"/>
  <c r="T18" i="4" s="1"/>
  <c r="AD18" i="4"/>
  <c r="R17" i="4"/>
  <c r="R18" i="4" s="1"/>
  <c r="O15" i="4"/>
  <c r="V71" i="4"/>
  <c r="O14" i="4"/>
  <c r="AA18" i="4" s="1"/>
  <c r="AB18" i="4"/>
  <c r="V17" i="4"/>
  <c r="V18" i="4" s="1"/>
  <c r="X17" i="4"/>
  <c r="X18" i="4" s="1"/>
  <c r="V72" i="4"/>
  <c r="AC18" i="4"/>
  <c r="N17" i="4"/>
  <c r="N18" i="4" s="1"/>
  <c r="V69" i="4"/>
  <c r="U17" i="4"/>
  <c r="U18" i="4" s="1"/>
  <c r="W16" i="4"/>
  <c r="V95" i="4" s="1"/>
  <c r="W17" i="4" l="1"/>
  <c r="W18" i="4" s="1"/>
  <c r="O17" i="4"/>
  <c r="O18" i="4" s="1"/>
</calcChain>
</file>

<file path=xl/sharedStrings.xml><?xml version="1.0" encoding="utf-8"?>
<sst xmlns="http://schemas.openxmlformats.org/spreadsheetml/2006/main" count="289" uniqueCount="112">
  <si>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</si>
  <si>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</si>
  <si>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</si>
  <si>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</si>
  <si>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</si>
  <si>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</si>
  <si>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</si>
  <si>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</si>
  <si>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</si>
  <si>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</si>
  <si>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</si>
  <si>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</si>
  <si>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</si>
  <si>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</si>
  <si>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</si>
  <si>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</si>
  <si>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</si>
  <si>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</si>
  <si>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</si>
  <si>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</si>
  <si>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</si>
  <si>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</si>
  <si>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</si>
  <si>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</si>
  <si>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</si>
  <si>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</si>
  <si>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</si>
  <si>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RPT1218962408973JI</t>
  </si>
  <si>
    <t>RPT7752548323578ZD</t>
  </si>
  <si>
    <t>RPT5439739527471TG</t>
  </si>
  <si>
    <t>RPT1482629992240YR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</si>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</sst>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63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64</v>
      </c>
      <c r="B4" s="40" t="s">
        <v>65</v>
      </c>
      <c r="C4" s="40" t="s">
        <v>66</v>
      </c>
      <c r="D4" s="40" t="s">
        <v>67</v>
      </c>
      <c r="E4" s="40" t="s">
        <v>68</v>
      </c>
      <c r="F4" s="120"/>
      <c r="G4" s="121"/>
      <c r="H4" s="122"/>
    </row>
    <row r="5" spans="1:8" x14ac:dyDescent="0.25">
      <c r="A5" s="123">
        <v>1</v>
      </c>
      <c r="B5" s="41" t="s">
        <v>69</v>
      </c>
      <c r="C5" s="42">
        <v>44984</v>
      </c>
      <c r="D5" s="43" t="s">
        <v>70</v>
      </c>
      <c r="E5" s="43" t="s">
        <v>71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69</v>
      </c>
      <c r="C6" s="42">
        <v>44998</v>
      </c>
      <c r="D6" s="43" t="s">
        <v>72</v>
      </c>
      <c r="E6" s="43" t="s">
        <v>73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69</v>
      </c>
      <c r="C7" s="42">
        <v>44998</v>
      </c>
      <c r="D7" s="43" t="s">
        <v>74</v>
      </c>
      <c r="E7" s="43" t="s">
        <v>75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69</v>
      </c>
      <c r="C8" s="42">
        <v>45001</v>
      </c>
      <c r="D8" s="43" t="s">
        <v>76</v>
      </c>
      <c r="E8" s="43" t="s">
        <v>77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78</v>
      </c>
      <c r="C9" s="42">
        <v>45167</v>
      </c>
      <c r="D9" s="43" t="s">
        <v>79</v>
      </c>
      <c r="E9" s="43" t="s">
        <v>80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81</v>
      </c>
      <c r="C10" s="42">
        <v>45357</v>
      </c>
      <c r="D10" s="43" t="s">
        <v>82</v>
      </c>
      <c r="E10" s="43" t="s">
        <v>83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84</v>
      </c>
      <c r="C11" s="42">
        <v>45400</v>
      </c>
      <c r="D11" s="43" t="s">
        <v>85</v>
      </c>
      <c r="E11" s="43" t="s">
        <v>86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87</v>
      </c>
      <c r="C12" s="42">
        <v>45576</v>
      </c>
      <c r="D12" s="43" t="s">
        <v>88</v>
      </c>
      <c r="E12" s="43" t="s">
        <v>89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87</v>
      </c>
      <c r="C13" s="42">
        <v>45587</v>
      </c>
      <c r="D13" s="43" t="s">
        <v>90</v>
      </c>
      <c r="E13" s="43" t="s">
        <v>91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87</v>
      </c>
      <c r="C14" s="42">
        <v>45590</v>
      </c>
      <c r="D14" s="43" t="s">
        <v>92</v>
      </c>
      <c r="E14" s="43" t="s">
        <v>83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87</v>
      </c>
      <c r="C15" s="42">
        <v>45593</v>
      </c>
      <c r="D15" s="43" t="s">
        <v>93</v>
      </c>
      <c r="E15" s="43" t="s">
        <v>83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94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94</v>
      </c>
      <c r="B4" s="120"/>
      <c r="C4" s="120"/>
      <c r="D4" s="120"/>
      <c r="E4" s="121"/>
      <c r="F4" s="1"/>
    </row>
    <row r="5" spans="1:6" ht="13" x14ac:dyDescent="0.3">
      <c r="A5" s="45" t="s">
        <v>95</v>
      </c>
      <c r="B5" s="7"/>
      <c r="C5" s="46" t="s">
        <v>96</v>
      </c>
      <c r="D5" s="120"/>
      <c r="E5" s="121"/>
      <c r="F5" s="1"/>
    </row>
    <row r="6" spans="1:6" ht="13" x14ac:dyDescent="0.3">
      <c r="A6" s="45" t="s">
        <v>97</v>
      </c>
      <c r="B6" s="7"/>
      <c r="C6" s="47" t="s">
        <v>98</v>
      </c>
      <c r="D6" s="120"/>
      <c r="E6" s="121"/>
      <c r="F6" s="1"/>
    </row>
    <row r="7" spans="1:6" ht="13" x14ac:dyDescent="0.3">
      <c r="A7" s="45" t="s">
        <v>99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100</v>
      </c>
      <c r="B8" s="7"/>
      <c r="C8" s="48" t="s">
        <v>101</v>
      </c>
      <c r="D8" s="120"/>
      <c r="E8" s="121"/>
      <c r="F8" s="1"/>
    </row>
    <row r="9" spans="1:6" ht="14.4" customHeight="1" x14ac:dyDescent="0.35">
      <c r="A9" s="45" t="s">
        <v>102</v>
      </c>
      <c r="B9" s="7"/>
      <c r="C9" s="119" t="s">
        <v>103</v>
      </c>
      <c r="D9" s="120"/>
      <c r="E9" s="121"/>
      <c r="F9" s="1"/>
    </row>
    <row r="10" spans="1:6" ht="13" x14ac:dyDescent="0.3">
      <c r="A10" s="45" t="s">
        <v>104</v>
      </c>
      <c r="B10" s="7"/>
      <c r="C10" s="48" t="s">
        <v>105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106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63</v>
      </c>
      <c r="D14" s="120"/>
      <c r="E14" s="121"/>
      <c r="F14" s="1"/>
    </row>
    <row r="15" spans="1:6" ht="13" x14ac:dyDescent="0.3">
      <c r="A15" s="120"/>
      <c r="B15" s="120"/>
      <c r="C15" s="113" t="s">
        <v>94</v>
      </c>
      <c r="D15" s="120"/>
      <c r="E15" s="121"/>
      <c r="F15" s="1"/>
    </row>
    <row r="16" spans="1:6" ht="13" x14ac:dyDescent="0.3">
      <c r="A16" s="120"/>
      <c r="B16" s="120"/>
      <c r="C16" s="113" t="s">
        <v>107</v>
      </c>
      <c r="D16" s="120"/>
      <c r="E16" s="121"/>
      <c r="F16" s="1"/>
    </row>
    <row r="17" spans="1:6" ht="13" x14ac:dyDescent="0.3">
      <c r="A17" s="120"/>
      <c r="B17" s="120"/>
      <c r="C17" s="113" t="s">
        <v>108</v>
      </c>
      <c r="D17" s="120"/>
      <c r="E17" s="121"/>
      <c r="F17" s="1"/>
    </row>
    <row r="18" spans="1:6" ht="13" x14ac:dyDescent="0.3">
      <c r="A18" s="120"/>
      <c r="B18" s="120"/>
      <c r="C18" s="113" t="s">
        <v>109</v>
      </c>
      <c r="D18" s="120"/>
      <c r="E18" s="121"/>
      <c r="F18" s="1"/>
    </row>
    <row r="19" spans="1:6" ht="13" x14ac:dyDescent="0.3">
      <c r="A19" s="120"/>
      <c r="B19" s="120"/>
      <c r="C19" s="113" t="s">
        <v>110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111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800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315.79288769515102</v>
      </c>
      <c r="I13" s="141">
        <v>237.06960267751069</v>
      </c>
      <c r="J13" s="141">
        <v>199.34608487870511</v>
      </c>
      <c r="K13" s="141">
        <v>188.7812528281579</v>
      </c>
      <c r="L13" s="143">
        <v>193.10027132629961</v>
      </c>
      <c r="M13" s="126"/>
      <c r="N13" s="69">
        <f t="shared" ref="N13:R16" si="3">IF(H13=0,0,SUMPRODUCT(N$22:N$57,H$22:H$57,--($B$22:$B$57=$B13))/H13)</f>
        <v>395.67792610908583</v>
      </c>
      <c r="O13" s="70">
        <f t="shared" si="3"/>
        <v>472.65539098506991</v>
      </c>
      <c r="P13" s="70">
        <f t="shared" si="3"/>
        <v>533.27005755458106</v>
      </c>
      <c r="Q13" s="70">
        <f t="shared" si="3"/>
        <v>541.32693694616921</v>
      </c>
      <c r="R13" s="70">
        <f t="shared" si="3"/>
        <v>546.15365138240008</v>
      </c>
      <c r="S13" s="125"/>
      <c r="T13" s="69">
        <f t="shared" ref="T13:X16" si="4">IF(H13=0,0,SUMPRODUCT(T$22:T$57,H$22:H$57,--($B$22:$B$57=$B13))/H13)</f>
        <v>395.67792610908583</v>
      </c>
      <c r="U13" s="70">
        <f t="shared" si="4"/>
        <v>472.65539098506991</v>
      </c>
      <c r="V13" s="70">
        <f t="shared" si="4"/>
        <v>533.27005755458106</v>
      </c>
      <c r="W13" s="70">
        <f t="shared" si="4"/>
        <v>541.32693694616921</v>
      </c>
      <c r="X13" s="70">
        <f t="shared" si="4"/>
        <v>546.15365138240008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125.313815925603</v>
      </c>
      <c r="I14" s="141">
        <v>102.0097374412547</v>
      </c>
      <c r="J14" s="141">
        <v>91.0832877799089</v>
      </c>
      <c r="K14" s="141">
        <v>94.098688859471423</v>
      </c>
      <c r="L14" s="143">
        <v>98.235602129845347</v>
      </c>
      <c r="M14" s="126"/>
      <c r="N14" s="74">
        <f t="shared" si="3"/>
        <v>1040.6406179026303</v>
      </c>
      <c r="O14" s="75">
        <f t="shared" si="3"/>
        <v>1133.5307876846648</v>
      </c>
      <c r="P14" s="75">
        <f t="shared" si="3"/>
        <v>1277.4865423644931</v>
      </c>
      <c r="Q14" s="75">
        <f t="shared" si="3"/>
        <v>1384.9535078051774</v>
      </c>
      <c r="R14" s="75">
        <f t="shared" si="3"/>
        <v>1453.781035686842</v>
      </c>
      <c r="S14" s="125"/>
      <c r="T14" s="74">
        <f t="shared" si="4"/>
        <v>1040.6406179026303</v>
      </c>
      <c r="U14" s="75">
        <f t="shared" si="4"/>
        <v>1133.5307876846648</v>
      </c>
      <c r="V14" s="75">
        <f t="shared" si="4"/>
        <v>1277.4865423644931</v>
      </c>
      <c r="W14" s="75">
        <f t="shared" si="4"/>
        <v>1384.9535078051774</v>
      </c>
      <c r="X14" s="75">
        <f t="shared" si="4"/>
        <v>1453.781035686842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220.01781456184571</v>
      </c>
      <c r="I15" s="141">
        <v>213.43693968867441</v>
      </c>
      <c r="J15" s="141">
        <v>220.40055127716221</v>
      </c>
      <c r="K15" s="141">
        <v>242.48532428292589</v>
      </c>
      <c r="L15" s="143">
        <v>247.782098078345</v>
      </c>
      <c r="M15" s="126"/>
      <c r="N15" s="74">
        <f t="shared" si="3"/>
        <v>978.15389241003095</v>
      </c>
      <c r="O15" s="75">
        <f t="shared" si="3"/>
        <v>1125.0446786806656</v>
      </c>
      <c r="P15" s="75">
        <f t="shared" si="3"/>
        <v>1261.6848365345579</v>
      </c>
      <c r="Q15" s="75">
        <f t="shared" si="3"/>
        <v>1381.0923985534653</v>
      </c>
      <c r="R15" s="75">
        <f t="shared" si="3"/>
        <v>1485.2264806085141</v>
      </c>
      <c r="S15" s="125"/>
      <c r="T15" s="74">
        <f t="shared" si="4"/>
        <v>978.15389241003095</v>
      </c>
      <c r="U15" s="75">
        <f t="shared" si="4"/>
        <v>1125.0446786806656</v>
      </c>
      <c r="V15" s="75">
        <f t="shared" si="4"/>
        <v>1261.6848365345579</v>
      </c>
      <c r="W15" s="75">
        <f t="shared" si="4"/>
        <v>1381.0923985534653</v>
      </c>
      <c r="X15" s="75">
        <f t="shared" si="4"/>
        <v>1485.2264806085141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12.59448856389276</v>
      </c>
      <c r="I16" s="97">
        <v>12.05878998357313</v>
      </c>
      <c r="J16" s="97">
        <v>12.42158916854385</v>
      </c>
      <c r="K16" s="97">
        <v>12.673136241440311</v>
      </c>
      <c r="L16" s="146">
        <v>12.92977746651426</v>
      </c>
      <c r="M16" s="126"/>
      <c r="N16" s="80">
        <f t="shared" si="3"/>
        <v>1005.405330882879</v>
      </c>
      <c r="O16" s="81">
        <f t="shared" si="3"/>
        <v>1152.0550722788225</v>
      </c>
      <c r="P16" s="81">
        <f t="shared" si="3"/>
        <v>1238.7834655500776</v>
      </c>
      <c r="Q16" s="81">
        <f t="shared" si="3"/>
        <v>1324.617298985572</v>
      </c>
      <c r="R16" s="81">
        <f t="shared" si="3"/>
        <v>1411.3995237028466</v>
      </c>
      <c r="S16" s="125"/>
      <c r="T16" s="80">
        <f t="shared" si="4"/>
        <v>1005.405330882879</v>
      </c>
      <c r="U16" s="81">
        <f t="shared" si="4"/>
        <v>1152.0550722788225</v>
      </c>
      <c r="V16" s="81">
        <f t="shared" si="4"/>
        <v>1238.7834655500776</v>
      </c>
      <c r="W16" s="81">
        <f t="shared" si="4"/>
        <v>1324.617298985572</v>
      </c>
      <c r="X16" s="81">
        <f t="shared" si="4"/>
        <v>1411.3995237028466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673.7190067464926</v>
      </c>
      <c r="I17" s="100">
        <f>SUM(I13:I16)</f>
        <v>564.57506979101288</v>
      </c>
      <c r="J17" s="100">
        <f>SUM(J13:J16)</f>
        <v>523.25151310432011</v>
      </c>
      <c r="K17" s="100">
        <f>SUM(K13:K16)</f>
        <v>538.03840221199539</v>
      </c>
      <c r="L17" s="144">
        <f>SUM(L13:L16)</f>
        <v>552.04774900100415</v>
      </c>
      <c r="M17" s="142"/>
      <c r="N17" s="85">
        <f>IF(H17=0,0,SUMPRODUCT(N13:N16,H13:H16)/H17)</f>
        <v>717.26159502087921</v>
      </c>
      <c r="O17" s="86">
        <f>IF(I17=0,0,SUMPRODUCT(O13:O16,I13:I16)/I17)</f>
        <v>853.21140260862967</v>
      </c>
      <c r="P17" s="86">
        <f>IF(J17=0,0,SUMPRODUCT(P13:P16,J13:J16)/J17)</f>
        <v>986.38351231082765</v>
      </c>
      <c r="Q17" s="86">
        <f>IF(K17=0,0,SUMPRODUCT(Q13:Q16,K13:K16)/K17)</f>
        <v>1085.7893744871976</v>
      </c>
      <c r="R17" s="86">
        <f>IF(L17=0,0,SUMPRODUCT(R13:R16,L13:L16)/L17)</f>
        <v>1149.4242845228951</v>
      </c>
      <c r="S17" s="20"/>
      <c r="T17" s="85">
        <f>IF(H17=0,0,SUMPRODUCT(T13:T16,H13:H16)/H17)</f>
        <v>717.26159502087921</v>
      </c>
      <c r="U17" s="86">
        <f>IF(I17=0,0,SUMPRODUCT(U13:U16,I13:I16)/I17)</f>
        <v>853.21140260862967</v>
      </c>
      <c r="V17" s="86">
        <f>IF(J17=0,0,SUMPRODUCT(V13:V16,J13:J16)/J17)</f>
        <v>986.38351231082765</v>
      </c>
      <c r="W17" s="86">
        <f>IF(K17=0,0,SUMPRODUCT(W13:W16,K13:K16)/K17)</f>
        <v>1085.7893744871976</v>
      </c>
      <c r="X17" s="86">
        <f>IF(L17=0,0,SUMPRODUCT(X13:X16,L13:L16)/L17)</f>
        <v>1149.4242845228951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483232.76937487174</v>
      </c>
      <c r="O18" s="23">
        <f>SUM(O17*I17)</f>
        <v>481701.8871742551</v>
      </c>
      <c r="P18" s="23">
        <f>SUM(P17*J17)</f>
        <v>516126.66531779431</v>
      </c>
      <c r="Q18" s="23">
        <f>SUM(Q17*K17)</f>
        <v>584196.38018785371</v>
      </c>
      <c r="R18" s="23">
        <f>SUM(R17*L17)</f>
        <v>634537.08891795389</v>
      </c>
      <c r="S18" s="24"/>
      <c r="T18" s="23">
        <f>SUM(T17*H17)</f>
        <v>483232.76937487174</v>
      </c>
      <c r="U18" s="23">
        <f>SUM(U17*I17)</f>
        <v>481701.8871742551</v>
      </c>
      <c r="V18" s="23">
        <f>SUM(V17*J17)</f>
        <v>516126.66531779431</v>
      </c>
      <c r="W18" s="23">
        <f>SUM(W17*K17)</f>
        <v>584196.38018785371</v>
      </c>
      <c r="X18" s="23">
        <f>SUM(X17*L17)</f>
        <v>634537.08891795389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60.020839514384861</v>
      </c>
      <c r="I24" s="141">
        <v>48.97060291079481</v>
      </c>
      <c r="J24" s="141">
        <v>48.274275291553948</v>
      </c>
      <c r="K24" s="141">
        <v>44.549955193444539</v>
      </c>
      <c r="L24" s="143">
        <v>44.984725219262131</v>
      </c>
      <c r="M24" s="126"/>
      <c r="N24" s="69">
        <v>470.87402643746287</v>
      </c>
      <c r="O24" s="75">
        <v>567.55475185800447</v>
      </c>
      <c r="P24" s="75">
        <v>576.3101207804915</v>
      </c>
      <c r="Q24" s="75">
        <v>579.0262270374908</v>
      </c>
      <c r="R24" s="75">
        <v>574.11640224583664</v>
      </c>
      <c r="S24" s="125"/>
      <c r="T24" s="30">
        <v>470.87402643746287</v>
      </c>
      <c r="U24" s="31">
        <v>567.55475185800447</v>
      </c>
      <c r="V24" s="31">
        <v>576.3101207804915</v>
      </c>
      <c r="W24" s="31">
        <v>579.0262270374908</v>
      </c>
      <c r="X24" s="31">
        <v>574.11640224583664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21.72721825029523</v>
      </c>
      <c r="I25" s="141">
        <v>21.638004202714189</v>
      </c>
      <c r="J25" s="141">
        <v>21.750784994199229</v>
      </c>
      <c r="K25" s="141">
        <v>20.942150954308978</v>
      </c>
      <c r="L25" s="143">
        <v>21.298612644154201</v>
      </c>
      <c r="M25" s="126"/>
      <c r="N25" s="74">
        <v>1215.5306388528261</v>
      </c>
      <c r="O25" s="75">
        <v>1280.7444085519869</v>
      </c>
      <c r="P25" s="75">
        <v>1376.6303343020199</v>
      </c>
      <c r="Q25" s="75">
        <v>1551.994069912359</v>
      </c>
      <c r="R25" s="75">
        <v>1643.203037999333</v>
      </c>
      <c r="S25" s="125"/>
      <c r="T25" s="30">
        <v>1215.5306388528261</v>
      </c>
      <c r="U25" s="31">
        <v>1280.7444085519869</v>
      </c>
      <c r="V25" s="31">
        <v>1376.6303343020199</v>
      </c>
      <c r="W25" s="31">
        <v>1551.994069912359</v>
      </c>
      <c r="X25" s="31">
        <v>1643.203037999333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51.065073345809253</v>
      </c>
      <c r="I26" s="141">
        <v>56.065950965364443</v>
      </c>
      <c r="J26" s="141">
        <v>60.409167525228277</v>
      </c>
      <c r="K26" s="141">
        <v>65.833060675373446</v>
      </c>
      <c r="L26" s="143">
        <v>65.447570966054698</v>
      </c>
      <c r="M26" s="126"/>
      <c r="N26" s="74">
        <v>1100.1276758419219</v>
      </c>
      <c r="O26" s="75">
        <v>1207.3971796609501</v>
      </c>
      <c r="P26" s="75">
        <v>1320.718355169073</v>
      </c>
      <c r="Q26" s="75">
        <v>1442.4919296459941</v>
      </c>
      <c r="R26" s="75">
        <v>1554.2083570438581</v>
      </c>
      <c r="S26" s="125"/>
      <c r="T26" s="30">
        <v>1100.1276758419219</v>
      </c>
      <c r="U26" s="31">
        <v>1207.3971796609501</v>
      </c>
      <c r="V26" s="31">
        <v>1320.718355169073</v>
      </c>
      <c r="W26" s="31">
        <v>1442.4919296459941</v>
      </c>
      <c r="X26" s="31">
        <v>1554.2083570438581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4.3290227094708991</v>
      </c>
      <c r="I27" s="97">
        <v>4.4414907194629496</v>
      </c>
      <c r="J27" s="97">
        <v>4.5764676224274279</v>
      </c>
      <c r="K27" s="97">
        <v>4.6692783858102578</v>
      </c>
      <c r="L27" s="146">
        <v>4.7639713514744919</v>
      </c>
      <c r="M27" s="126"/>
      <c r="N27" s="80">
        <v>367.94926664073779</v>
      </c>
      <c r="O27" s="81">
        <v>410.94737820611249</v>
      </c>
      <c r="P27" s="81">
        <v>457.36693050944939</v>
      </c>
      <c r="Q27" s="81">
        <v>502.0493722853771</v>
      </c>
      <c r="R27" s="81">
        <v>548.98169518927978</v>
      </c>
      <c r="S27" s="125"/>
      <c r="T27" s="33">
        <v>367.94926664073779</v>
      </c>
      <c r="U27" s="34">
        <v>410.94737820611249</v>
      </c>
      <c r="V27" s="34">
        <v>457.36693050944939</v>
      </c>
      <c r="W27" s="34">
        <v>502.0493722853771</v>
      </c>
      <c r="X27" s="34">
        <v>548.98169518927978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137.14215381996024</v>
      </c>
      <c r="I28" s="100">
        <f>SUM(I24:I27)</f>
        <v>131.11604879833641</v>
      </c>
      <c r="J28" s="100">
        <f>SUM(J24:J27)</f>
        <v>135.01069543340887</v>
      </c>
      <c r="K28" s="100">
        <f>SUM(K24:K27)</f>
        <v>135.99444520893721</v>
      </c>
      <c r="L28" s="144">
        <f>SUM(L24:L27)</f>
        <v>136.49488018094553</v>
      </c>
      <c r="M28" s="142"/>
      <c r="N28" s="85">
        <f>IF(H28=0,0,SUMPRODUCT(N24:N27,H24:H27)/H28)</f>
        <v>819.90337695899007</v>
      </c>
      <c r="O28" s="86">
        <f>IF(I28=0,0,SUMPRODUCT(O24:O27,I24:I27)/I28)</f>
        <v>953.54720082817312</v>
      </c>
      <c r="P28" s="86">
        <f>IF(J28=0,0,SUMPRODUCT(P24:P27,J24:J27)/J28)</f>
        <v>1034.2911331105215</v>
      </c>
      <c r="Q28" s="86">
        <f>IF(K28=0,0,SUMPRODUCT(Q24:Q27,K24:K27)/K28)</f>
        <v>1144.2052161345441</v>
      </c>
      <c r="R28" s="86">
        <f>IF(L28=0,0,SUMPRODUCT(R24:R27,L24:L27)/L28)</f>
        <v>1210.000757493835</v>
      </c>
      <c r="S28" s="20"/>
      <c r="T28" s="85">
        <f>IF(H28=0,0,SUMPRODUCT(T24:T27,H24:H27)/H28)</f>
        <v>819.90337695899007</v>
      </c>
      <c r="U28" s="86">
        <f>IF(I28=0,0,SUMPRODUCT(U24:U27,I24:I27)/I28)</f>
        <v>953.54720082817312</v>
      </c>
      <c r="V28" s="86">
        <f>IF(J28=0,0,SUMPRODUCT(V24:V27,J24:J27)/J28)</f>
        <v>1034.2911331105215</v>
      </c>
      <c r="W28" s="86">
        <f>IF(K28=0,0,SUMPRODUCT(W24:W27,K24:K27)/K28)</f>
        <v>1144.2052161345441</v>
      </c>
      <c r="X28" s="86">
        <f>IF(L28=0,0,SUMPRODUCT(X24:X27,L24:L27)/L28)</f>
        <v>1210.000757493835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112443.31504041466</v>
      </c>
      <c r="O29" s="23">
        <f>SUM(O28*I28)</f>
        <v>125025.34131530383</v>
      </c>
      <c r="P29" s="23">
        <f>SUM(P28*J28)</f>
        <v>139640.36516185998</v>
      </c>
      <c r="Q29" s="23">
        <f>SUM(Q28*K28)</f>
        <v>155605.55357338942</v>
      </c>
      <c r="R29" s="23">
        <f>SUM(R28*L28)</f>
        <v>165158.90841297433</v>
      </c>
      <c r="S29" s="24"/>
      <c r="T29" s="23">
        <f>SUM(T28*H28)</f>
        <v>112443.31504041466</v>
      </c>
      <c r="U29" s="23">
        <f>SUM(U28*I28)</f>
        <v>125025.34131530383</v>
      </c>
      <c r="V29" s="23">
        <f>SUM(V28*J28)</f>
        <v>139640.36516185998</v>
      </c>
      <c r="W29" s="23">
        <f>SUM(W28*K28)</f>
        <v>155605.55357338942</v>
      </c>
      <c r="X29" s="23">
        <f>SUM(X28*L28)</f>
        <v>165158.90841297433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129.16703017001791</v>
      </c>
      <c r="I33" s="168">
        <v>94.994334986769161</v>
      </c>
      <c r="J33" s="168">
        <v>58.730744794013539</v>
      </c>
      <c r="K33" s="168">
        <v>56.281172892949002</v>
      </c>
      <c r="L33" s="169">
        <v>58.146095668513219</v>
      </c>
      <c r="M33" s="149"/>
      <c r="N33" s="170">
        <v>370.83079146341697</v>
      </c>
      <c r="O33" s="171">
        <v>402.28490617185372</v>
      </c>
      <c r="P33" s="171">
        <v>501.39246939382639</v>
      </c>
      <c r="Q33" s="171">
        <v>491.60064199485032</v>
      </c>
      <c r="R33" s="171">
        <v>481.25350721085181</v>
      </c>
      <c r="S33" s="163"/>
      <c r="T33" s="172">
        <v>370.83079146341697</v>
      </c>
      <c r="U33" s="173">
        <v>402.28490617185372</v>
      </c>
      <c r="V33" s="173">
        <v>501.39246939382639</v>
      </c>
      <c r="W33" s="173">
        <v>491.60064199485032</v>
      </c>
      <c r="X33" s="173">
        <v>481.25350721085181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64.18771796338784</v>
      </c>
      <c r="I34" s="168">
        <v>48.341062398395067</v>
      </c>
      <c r="J34" s="168">
        <v>34.673434232193578</v>
      </c>
      <c r="K34" s="168">
        <v>35.440200360907241</v>
      </c>
      <c r="L34" s="169">
        <v>37.564119253910853</v>
      </c>
      <c r="M34" s="149"/>
      <c r="N34" s="179">
        <v>951.91837834594719</v>
      </c>
      <c r="O34" s="171">
        <v>916.27878262527179</v>
      </c>
      <c r="P34" s="171">
        <v>1037.4375978816381</v>
      </c>
      <c r="Q34" s="171">
        <v>1113.021102953292</v>
      </c>
      <c r="R34" s="171">
        <v>1144.611782776007</v>
      </c>
      <c r="S34" s="163"/>
      <c r="T34" s="172">
        <v>951.91837834594719</v>
      </c>
      <c r="U34" s="173">
        <v>916.27878262527179</v>
      </c>
      <c r="V34" s="173">
        <v>1037.4375978816381</v>
      </c>
      <c r="W34" s="173">
        <v>1113.021102953292</v>
      </c>
      <c r="X34" s="173">
        <v>1144.611782776007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75.296214388146439</v>
      </c>
      <c r="I35" s="168">
        <v>71.178013413049996</v>
      </c>
      <c r="J35" s="168">
        <v>65.266140543303976</v>
      </c>
      <c r="K35" s="168">
        <v>71.282147274082718</v>
      </c>
      <c r="L35" s="169">
        <v>71.560955712012628</v>
      </c>
      <c r="M35" s="149"/>
      <c r="N35" s="179">
        <v>994.97516709379363</v>
      </c>
      <c r="O35" s="171">
        <v>1078.5582124951759</v>
      </c>
      <c r="P35" s="171">
        <v>1257.144204843032</v>
      </c>
      <c r="Q35" s="171">
        <v>1368.827406236918</v>
      </c>
      <c r="R35" s="171">
        <v>1463.445742076437</v>
      </c>
      <c r="S35" s="163"/>
      <c r="T35" s="172">
        <v>994.97516709379363</v>
      </c>
      <c r="U35" s="173">
        <v>1078.5582124951759</v>
      </c>
      <c r="V35" s="173">
        <v>1257.144204843032</v>
      </c>
      <c r="W35" s="173">
        <v>1368.827406236918</v>
      </c>
      <c r="X35" s="173">
        <v>1463.445742076437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3.102005892022452</v>
      </c>
      <c r="I36" s="185">
        <v>3.1758085446472331</v>
      </c>
      <c r="J36" s="185">
        <v>3.2686539236889911</v>
      </c>
      <c r="K36" s="185">
        <v>3.334579469819785</v>
      </c>
      <c r="L36" s="186">
        <v>3.401834763565271</v>
      </c>
      <c r="M36" s="149"/>
      <c r="N36" s="187">
        <v>3081.6468480694339</v>
      </c>
      <c r="O36" s="188">
        <v>3268.6328488493969</v>
      </c>
      <c r="P36" s="188">
        <v>3487.5880609978208</v>
      </c>
      <c r="Q36" s="188">
        <v>3705.863570302402</v>
      </c>
      <c r="R36" s="188">
        <v>3923.243431338055</v>
      </c>
      <c r="S36" s="163"/>
      <c r="T36" s="189">
        <v>3081.6468480694339</v>
      </c>
      <c r="U36" s="190">
        <v>3268.6328488493969</v>
      </c>
      <c r="V36" s="190">
        <v>3487.5880609978208</v>
      </c>
      <c r="W36" s="190">
        <v>3705.863570302402</v>
      </c>
      <c r="X36" s="190">
        <v>3923.243431338055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271.75296841357465</v>
      </c>
      <c r="I37" s="197">
        <f>SUM(I33:I36)</f>
        <v>217.68921934286146</v>
      </c>
      <c r="J37" s="197">
        <f>SUM(J33:J36)</f>
        <v>161.93897349320008</v>
      </c>
      <c r="K37" s="197">
        <f>SUM(K33:K36)</f>
        <v>166.33809999775875</v>
      </c>
      <c r="L37" s="198">
        <f>SUM(L33:L36)</f>
        <v>170.67300539800198</v>
      </c>
      <c r="M37" s="199"/>
      <c r="N37" s="200">
        <f>IF(H37=0,0,SUMPRODUCT(N33:N36,H33:H36)/H37)</f>
        <v>711.96179281520313</v>
      </c>
      <c r="O37" s="201">
        <f>IF(I37=0,0,SUMPRODUCT(O33:O36,I33:I36)/I37)</f>
        <v>779.36271029314378</v>
      </c>
      <c r="P37" s="201">
        <f>IF(J37=0,0,SUMPRODUCT(P33:P36,J33:J36)/J37)</f>
        <v>981.03219262848245</v>
      </c>
      <c r="Q37" s="201">
        <f>IF(K37=0,0,SUMPRODUCT(Q33:Q36,K33:K36)/K37)</f>
        <v>1064.3623136673386</v>
      </c>
      <c r="R37" s="201">
        <f>IF(L37=0,0,SUMPRODUCT(R33:R36,L33:L36)/L37)</f>
        <v>1107.6804288070066</v>
      </c>
      <c r="S37" s="202"/>
      <c r="T37" s="200">
        <f>IF(H37=0,0,SUMPRODUCT(T33:T36,H33:H36)/H37)</f>
        <v>711.96179281520313</v>
      </c>
      <c r="U37" s="201">
        <f>IF(I37=0,0,SUMPRODUCT(U33:U36,I33:I36)/I37)</f>
        <v>779.36271029314378</v>
      </c>
      <c r="V37" s="201">
        <f>IF(J37=0,0,SUMPRODUCT(V33:V36,J33:J36)/J37)</f>
        <v>981.03219262848245</v>
      </c>
      <c r="W37" s="201">
        <f>IF(K37=0,0,SUMPRODUCT(W33:W36,K33:K36)/K37)</f>
        <v>1064.3623136673386</v>
      </c>
      <c r="X37" s="201">
        <f>IF(L37=0,0,SUMPRODUCT(X33:X36,L33:L36)/L37)</f>
        <v>1107.6804288070066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193477.73059458187</v>
      </c>
      <c r="O38" s="207">
        <f>SUM(O37*I37)</f>
        <v>169658.85998865118</v>
      </c>
      <c r="P38" s="207">
        <f>SUM(P37*J37)</f>
        <v>158867.34623803978</v>
      </c>
      <c r="Q38" s="207">
        <f>SUM(Q37*K37)</f>
        <v>177044.00496464362</v>
      </c>
      <c r="R38" s="207">
        <f>SUM(R37*L37)</f>
        <v>189051.14780503939</v>
      </c>
      <c r="S38" s="208"/>
      <c r="T38" s="207">
        <f>SUM(T37*H37)</f>
        <v>193477.73059458187</v>
      </c>
      <c r="U38" s="207">
        <f>SUM(U37*I37)</f>
        <v>169658.85998865118</v>
      </c>
      <c r="V38" s="207">
        <f>SUM(V37*J37)</f>
        <v>158867.34623803978</v>
      </c>
      <c r="W38" s="207">
        <f>SUM(W37*K37)</f>
        <v>177044.00496464362</v>
      </c>
      <c r="X38" s="207">
        <f>SUM(X37*L37)</f>
        <v>189051.14780503939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59.977239765099498</v>
      </c>
      <c r="I42" s="168">
        <v>46.552332389973373</v>
      </c>
      <c r="J42" s="168">
        <v>46.170532396568809</v>
      </c>
      <c r="K42" s="168">
        <v>43.975062370882199</v>
      </c>
      <c r="L42" s="169">
        <v>44.984725219262117</v>
      </c>
      <c r="M42" s="149"/>
      <c r="N42" s="170">
        <v>435.05123554954758</v>
      </c>
      <c r="O42" s="171">
        <v>529.73586767280995</v>
      </c>
      <c r="P42" s="171">
        <v>566.9298100055579</v>
      </c>
      <c r="Q42" s="171">
        <v>580.5566906400577</v>
      </c>
      <c r="R42" s="171">
        <v>574.11640224583687</v>
      </c>
      <c r="S42" s="163"/>
      <c r="T42" s="172">
        <v>435.05123554954758</v>
      </c>
      <c r="U42" s="173">
        <v>529.73586767280995</v>
      </c>
      <c r="V42" s="173">
        <v>566.9298100055579</v>
      </c>
      <c r="W42" s="173">
        <v>580.5566906400577</v>
      </c>
      <c r="X42" s="173">
        <v>574.11640224583687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17.671661461624751</v>
      </c>
      <c r="I43" s="168">
        <v>16.015335420072709</v>
      </c>
      <c r="J43" s="168">
        <v>17.329534276758061</v>
      </c>
      <c r="K43" s="168">
        <v>18.858168772127598</v>
      </c>
      <c r="L43" s="169">
        <v>19.686435115890141</v>
      </c>
      <c r="M43" s="149"/>
      <c r="N43" s="179">
        <v>1256.592407830768</v>
      </c>
      <c r="O43" s="171">
        <v>1361.9613385852181</v>
      </c>
      <c r="P43" s="171">
        <v>1455.4159052834329</v>
      </c>
      <c r="Q43" s="171">
        <v>1547.7251512138059</v>
      </c>
      <c r="R43" s="171">
        <v>1646.2802054916799</v>
      </c>
      <c r="S43" s="163"/>
      <c r="T43" s="172">
        <v>1256.592407830768</v>
      </c>
      <c r="U43" s="173">
        <v>1361.9613385852181</v>
      </c>
      <c r="V43" s="173">
        <v>1455.4159052834329</v>
      </c>
      <c r="W43" s="173">
        <v>1547.7251512138059</v>
      </c>
      <c r="X43" s="173">
        <v>1646.2802054916799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41.620443153844093</v>
      </c>
      <c r="I44" s="168">
        <v>43.096487655129998</v>
      </c>
      <c r="J44" s="168">
        <v>47.362621604314967</v>
      </c>
      <c r="K44" s="168">
        <v>52.685058166734848</v>
      </c>
      <c r="L44" s="169">
        <v>55.38678570013883</v>
      </c>
      <c r="M44" s="149"/>
      <c r="N44" s="179">
        <v>1058.781380024109</v>
      </c>
      <c r="O44" s="171">
        <v>1172.221768811371</v>
      </c>
      <c r="P44" s="171">
        <v>1306.24473754322</v>
      </c>
      <c r="Q44" s="171">
        <v>1453.265391281484</v>
      </c>
      <c r="R44" s="171">
        <v>1590.585341730181</v>
      </c>
      <c r="S44" s="163"/>
      <c r="T44" s="172">
        <v>1058.781380024109</v>
      </c>
      <c r="U44" s="173">
        <v>1172.221768811371</v>
      </c>
      <c r="V44" s="173">
        <v>1306.24473754322</v>
      </c>
      <c r="W44" s="173">
        <v>1453.265391281484</v>
      </c>
      <c r="X44" s="173">
        <v>1590.585341730181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2.9989486076639591</v>
      </c>
      <c r="I45" s="185">
        <v>2.220745359731477</v>
      </c>
      <c r="J45" s="185">
        <v>2.2882338112137162</v>
      </c>
      <c r="K45" s="185">
        <v>2.3346391929051311</v>
      </c>
      <c r="L45" s="186">
        <v>2.3819856757372482</v>
      </c>
      <c r="M45" s="149"/>
      <c r="N45" s="187">
        <v>251.82467731467091</v>
      </c>
      <c r="O45" s="188">
        <v>379.74166230922538</v>
      </c>
      <c r="P45" s="188">
        <v>414.03459727878447</v>
      </c>
      <c r="Q45" s="188">
        <v>446.61090288489959</v>
      </c>
      <c r="R45" s="188">
        <v>480.17140113436909</v>
      </c>
      <c r="S45" s="163"/>
      <c r="T45" s="189">
        <v>251.82467731467091</v>
      </c>
      <c r="U45" s="190">
        <v>379.74166230922538</v>
      </c>
      <c r="V45" s="190">
        <v>414.03459727878447</v>
      </c>
      <c r="W45" s="190">
        <v>446.61090288489959</v>
      </c>
      <c r="X45" s="190">
        <v>480.17140113436909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122.2682929882323</v>
      </c>
      <c r="I46" s="197">
        <f>SUM(I42:I45)</f>
        <v>107.88490082490756</v>
      </c>
      <c r="J46" s="197">
        <f>SUM(J42:J45)</f>
        <v>113.15092208885555</v>
      </c>
      <c r="K46" s="197">
        <f>SUM(K42:K45)</f>
        <v>117.85292850264977</v>
      </c>
      <c r="L46" s="198">
        <f>SUM(L42:L45)</f>
        <v>122.43993171102834</v>
      </c>
      <c r="M46" s="199"/>
      <c r="N46" s="200">
        <f>IF(H46=0,0,SUMPRODUCT(N42:N45,H42:H45)/H46)</f>
        <v>761.61533886061511</v>
      </c>
      <c r="O46" s="201">
        <f>IF(I46=0,0,SUMPRODUCT(O42:O45,I42:I45)/I46)</f>
        <v>906.84291900415474</v>
      </c>
      <c r="P46" s="201">
        <f>IF(J46=0,0,SUMPRODUCT(P42:P45,J42:J45)/J46)</f>
        <v>1009.3750193100024</v>
      </c>
      <c r="Q46" s="201">
        <f>IF(K46=0,0,SUMPRODUCT(Q42:Q45,K42:K45)/K46)</f>
        <v>1122.8004892677102</v>
      </c>
      <c r="R46" s="201">
        <f>IF(L46=0,0,SUMPRODUCT(R42:R45,L42:L45)/L46)</f>
        <v>1204.4847285160276</v>
      </c>
      <c r="S46" s="202"/>
      <c r="T46" s="200">
        <f>IF(H46=0,0,SUMPRODUCT(T42:T45,H42:H45)/H46)</f>
        <v>761.61533886061511</v>
      </c>
      <c r="U46" s="201">
        <f>IF(I46=0,0,SUMPRODUCT(U42:U45,I42:I45)/I46)</f>
        <v>906.84291900415474</v>
      </c>
      <c r="V46" s="201">
        <f>IF(J46=0,0,SUMPRODUCT(V42:V45,J42:J45)/J46)</f>
        <v>1009.3750193100024</v>
      </c>
      <c r="W46" s="201">
        <f>IF(K46=0,0,SUMPRODUCT(W42:W45,K42:K45)/K46)</f>
        <v>1122.8004892677102</v>
      </c>
      <c r="X46" s="201">
        <f>IF(L46=0,0,SUMPRODUCT(X42:X45,L42:L45)/L46)</f>
        <v>1204.4847285160276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93121.407396141512</v>
      </c>
      <c r="O47" s="207">
        <f>SUM(O46*I46)</f>
        <v>97834.658380532914</v>
      </c>
      <c r="P47" s="207">
        <f>SUM(P46*J46)</f>
        <v>114211.71416838314</v>
      </c>
      <c r="Q47" s="207">
        <f>SUM(Q46*K46)</f>
        <v>132325.32578440764</v>
      </c>
      <c r="R47" s="207">
        <f>SUM(R46*L46)</f>
        <v>147477.02790647894</v>
      </c>
      <c r="S47" s="208"/>
      <c r="T47" s="207">
        <f>SUM(T46*H46)</f>
        <v>93121.407396141512</v>
      </c>
      <c r="U47" s="207">
        <f>SUM(U46*I46)</f>
        <v>97834.658380532914</v>
      </c>
      <c r="V47" s="207">
        <f>SUM(V46*J46)</f>
        <v>114211.71416838314</v>
      </c>
      <c r="W47" s="207">
        <f>SUM(W46*K46)</f>
        <v>132325.32578440764</v>
      </c>
      <c r="X47" s="207">
        <f>SUM(X46*L46)</f>
        <v>147477.02790647894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58">
        <v>4</v>
      </c>
      <c r="B49" s="147"/>
      <c r="C49" s="148"/>
      <c r="D49" s="149"/>
      <c r="E49" s="149"/>
      <c r="F49" s="150"/>
      <c r="G49" s="149"/>
      <c r="H49" s="151" t="s">
        <v>10</v>
      </c>
      <c r="I49" s="152"/>
      <c r="J49" s="152"/>
      <c r="K49" s="152"/>
      <c r="L49" s="153"/>
      <c r="M49" s="149"/>
      <c r="N49" s="151" t="s">
        <v>11</v>
      </c>
      <c r="O49" s="152"/>
      <c r="P49" s="152"/>
      <c r="Q49" s="152"/>
      <c r="R49" s="153"/>
      <c r="S49" s="154"/>
      <c r="T49" s="151" t="s">
        <v>12</v>
      </c>
      <c r="U49" s="152"/>
      <c r="V49" s="152"/>
      <c r="W49" s="152"/>
      <c r="X49" s="153"/>
      <c r="Y49" s="154"/>
      <c r="Z49" s="151" t="s">
        <v>13</v>
      </c>
      <c r="AA49" s="152"/>
      <c r="AB49" s="152"/>
      <c r="AC49" s="152"/>
      <c r="AD49" s="153"/>
      <c r="AE49" s="155"/>
      <c r="AF49" s="156"/>
    </row>
    <row r="50" spans="1:32" ht="13" x14ac:dyDescent="0.3">
      <c r="A50" s="59">
        <f t="shared" ref="A50:A57" si="8">A49</f>
        <v>4</v>
      </c>
      <c r="B50" s="157"/>
      <c r="C50" s="148"/>
      <c r="D50" s="149"/>
      <c r="E50" s="158"/>
      <c r="F50" s="159" t="s">
        <v>30</v>
      </c>
      <c r="G50" s="154"/>
      <c r="H50" s="160" t="s">
        <v>15</v>
      </c>
      <c r="I50" s="161" t="s">
        <v>16</v>
      </c>
      <c r="J50" s="161" t="s">
        <v>17</v>
      </c>
      <c r="K50" s="161" t="s">
        <v>18</v>
      </c>
      <c r="L50" s="162" t="s">
        <v>19</v>
      </c>
      <c r="M50" s="149"/>
      <c r="N50" s="160" t="s">
        <v>15</v>
      </c>
      <c r="O50" s="161" t="s">
        <v>16</v>
      </c>
      <c r="P50" s="161" t="s">
        <v>17</v>
      </c>
      <c r="Q50" s="161" t="s">
        <v>18</v>
      </c>
      <c r="R50" s="161" t="s">
        <v>19</v>
      </c>
      <c r="S50" s="163"/>
      <c r="T50" s="160" t="s">
        <v>15</v>
      </c>
      <c r="U50" s="161" t="s">
        <v>16</v>
      </c>
      <c r="V50" s="161" t="s">
        <v>17</v>
      </c>
      <c r="W50" s="161" t="s">
        <v>18</v>
      </c>
      <c r="X50" s="161" t="s">
        <v>19</v>
      </c>
      <c r="Y50" s="163"/>
      <c r="Z50" s="160" t="s">
        <v>15</v>
      </c>
      <c r="AA50" s="161" t="s">
        <v>16</v>
      </c>
      <c r="AB50" s="161" t="s">
        <v>17</v>
      </c>
      <c r="AC50" s="161" t="s">
        <v>18</v>
      </c>
      <c r="AD50" s="161" t="s">
        <v>19</v>
      </c>
      <c r="AE50" s="155"/>
      <c r="AF50" s="156"/>
    </row>
    <row r="51" spans="1:32" ht="13" x14ac:dyDescent="0.3">
      <c r="A51" s="164">
        <f t="shared" si="8"/>
        <v>4</v>
      </c>
      <c r="B51" s="52" t="s">
        <v>20</v>
      </c>
      <c r="C51" s="53"/>
      <c r="D51" s="165"/>
      <c r="E51" s="154"/>
      <c r="F51" s="166" t="s">
        <v>20</v>
      </c>
      <c r="G51" s="154"/>
      <c r="H51" s="167">
        <v>66.627778245648699</v>
      </c>
      <c r="I51" s="168">
        <v>46.552332389973373</v>
      </c>
      <c r="J51" s="168">
        <v>46.170532396568809</v>
      </c>
      <c r="K51" s="168">
        <v>43.975062370882199</v>
      </c>
      <c r="L51" s="169">
        <v>44.984725219262117</v>
      </c>
      <c r="M51" s="149"/>
      <c r="N51" s="170">
        <v>340.66476198040073</v>
      </c>
      <c r="O51" s="171">
        <v>459.34325811870508</v>
      </c>
      <c r="P51" s="171">
        <v>495.15869159284472</v>
      </c>
      <c r="Q51" s="171">
        <v>527.5468917631872</v>
      </c>
      <c r="R51" s="171">
        <v>574.11640224583687</v>
      </c>
      <c r="S51" s="163"/>
      <c r="T51" s="172">
        <v>340.66476198040073</v>
      </c>
      <c r="U51" s="173">
        <v>459.34325811870508</v>
      </c>
      <c r="V51" s="173">
        <v>495.15869159284472</v>
      </c>
      <c r="W51" s="173">
        <v>527.5468917631872</v>
      </c>
      <c r="X51" s="173">
        <v>574.11640224583687</v>
      </c>
      <c r="Y51" s="163"/>
      <c r="Z51" s="174">
        <v>0</v>
      </c>
      <c r="AA51" s="175">
        <v>0</v>
      </c>
      <c r="AB51" s="175">
        <v>0</v>
      </c>
      <c r="AC51" s="175">
        <v>0</v>
      </c>
      <c r="AD51" s="175">
        <v>0</v>
      </c>
      <c r="AE51" s="176"/>
      <c r="AF51" s="156"/>
    </row>
    <row r="52" spans="1:32" ht="13" x14ac:dyDescent="0.3">
      <c r="A52" s="164">
        <f t="shared" si="8"/>
        <v>4</v>
      </c>
      <c r="B52" s="52" t="s">
        <v>21</v>
      </c>
      <c r="C52" s="53"/>
      <c r="D52" s="177"/>
      <c r="E52" s="154"/>
      <c r="F52" s="178" t="s">
        <v>21</v>
      </c>
      <c r="G52" s="154"/>
      <c r="H52" s="167">
        <v>21.72721825029517</v>
      </c>
      <c r="I52" s="168">
        <v>16.015335420072709</v>
      </c>
      <c r="J52" s="168">
        <v>17.329534276758039</v>
      </c>
      <c r="K52" s="168">
        <v>18.858168772127598</v>
      </c>
      <c r="L52" s="169">
        <v>19.686435115890141</v>
      </c>
      <c r="M52" s="149"/>
      <c r="N52" s="179">
        <v>952.21593017920532</v>
      </c>
      <c r="O52" s="171">
        <v>1361.9613385852181</v>
      </c>
      <c r="P52" s="171">
        <v>1455.4159052834341</v>
      </c>
      <c r="Q52" s="171">
        <v>1547.7251512138059</v>
      </c>
      <c r="R52" s="171">
        <v>1646.2802054916799</v>
      </c>
      <c r="S52" s="163"/>
      <c r="T52" s="172">
        <v>952.21593017920532</v>
      </c>
      <c r="U52" s="173">
        <v>1361.9613385852181</v>
      </c>
      <c r="V52" s="173">
        <v>1455.4159052834341</v>
      </c>
      <c r="W52" s="173">
        <v>1547.7251512138059</v>
      </c>
      <c r="X52" s="173">
        <v>1646.2802054916799</v>
      </c>
      <c r="Y52" s="163"/>
      <c r="Z52" s="180">
        <v>0</v>
      </c>
      <c r="AA52" s="181">
        <v>0</v>
      </c>
      <c r="AB52" s="181">
        <v>0</v>
      </c>
      <c r="AC52" s="181">
        <v>0</v>
      </c>
      <c r="AD52" s="181">
        <v>0</v>
      </c>
      <c r="AE52" s="176"/>
      <c r="AF52" s="156"/>
    </row>
    <row r="53" spans="1:32" ht="13" x14ac:dyDescent="0.3">
      <c r="A53" s="164">
        <f t="shared" si="8"/>
        <v>4</v>
      </c>
      <c r="B53" s="52" t="s">
        <v>22</v>
      </c>
      <c r="C53" s="53"/>
      <c r="D53" s="177">
        <v>4</v>
      </c>
      <c r="E53" s="154"/>
      <c r="F53" s="182" t="s">
        <v>22</v>
      </c>
      <c r="G53" s="154"/>
      <c r="H53" s="167">
        <v>52.036083674045898</v>
      </c>
      <c r="I53" s="168">
        <v>43.096487655129998</v>
      </c>
      <c r="J53" s="168">
        <v>47.362621604314967</v>
      </c>
      <c r="K53" s="168">
        <v>52.685058166734862</v>
      </c>
      <c r="L53" s="169">
        <v>55.38678570013883</v>
      </c>
      <c r="M53" s="149"/>
      <c r="N53" s="179">
        <v>769.62685692182868</v>
      </c>
      <c r="O53" s="171">
        <v>1047.508804357858</v>
      </c>
      <c r="P53" s="171">
        <v>1148.0870296857411</v>
      </c>
      <c r="Q53" s="171">
        <v>1248.7914648596261</v>
      </c>
      <c r="R53" s="171">
        <v>1326.496661946383</v>
      </c>
      <c r="S53" s="163"/>
      <c r="T53" s="172">
        <v>769.62685692182868</v>
      </c>
      <c r="U53" s="173">
        <v>1047.508804357858</v>
      </c>
      <c r="V53" s="173">
        <v>1148.0870296857411</v>
      </c>
      <c r="W53" s="173">
        <v>1248.7914648596261</v>
      </c>
      <c r="X53" s="173">
        <v>1326.496661946383</v>
      </c>
      <c r="Y53" s="163"/>
      <c r="Z53" s="180">
        <v>0</v>
      </c>
      <c r="AA53" s="181">
        <v>0</v>
      </c>
      <c r="AB53" s="181">
        <v>0</v>
      </c>
      <c r="AC53" s="181">
        <v>0</v>
      </c>
      <c r="AD53" s="181">
        <v>0</v>
      </c>
      <c r="AE53" s="176"/>
      <c r="AF53" s="156"/>
    </row>
    <row r="54" spans="1:32" ht="13" x14ac:dyDescent="0.3">
      <c r="A54" s="164">
        <f t="shared" si="8"/>
        <v>4</v>
      </c>
      <c r="B54" s="52" t="s">
        <v>24</v>
      </c>
      <c r="C54" s="53"/>
      <c r="D54" s="177"/>
      <c r="E54" s="154"/>
      <c r="F54" s="183" t="s">
        <v>24</v>
      </c>
      <c r="G54" s="154"/>
      <c r="H54" s="184">
        <v>2.16451135473545</v>
      </c>
      <c r="I54" s="185">
        <v>2.220745359731473</v>
      </c>
      <c r="J54" s="185">
        <v>2.2882338112137162</v>
      </c>
      <c r="K54" s="185">
        <v>2.3346391929051311</v>
      </c>
      <c r="L54" s="186">
        <v>2.3819856757372482</v>
      </c>
      <c r="M54" s="149"/>
      <c r="N54" s="187">
        <v>348.90519920629418</v>
      </c>
      <c r="O54" s="188">
        <v>379.741662309226</v>
      </c>
      <c r="P54" s="188">
        <v>414.03459727878447</v>
      </c>
      <c r="Q54" s="188">
        <v>446.61090288489959</v>
      </c>
      <c r="R54" s="188">
        <v>480.17140113436909</v>
      </c>
      <c r="S54" s="163"/>
      <c r="T54" s="189">
        <v>348.90519920629418</v>
      </c>
      <c r="U54" s="190">
        <v>379.741662309226</v>
      </c>
      <c r="V54" s="190">
        <v>414.03459727878447</v>
      </c>
      <c r="W54" s="190">
        <v>446.61090288489959</v>
      </c>
      <c r="X54" s="190">
        <v>480.17140113436909</v>
      </c>
      <c r="Y54" s="163"/>
      <c r="Z54" s="191">
        <v>0</v>
      </c>
      <c r="AA54" s="192">
        <v>0</v>
      </c>
      <c r="AB54" s="192">
        <v>0</v>
      </c>
      <c r="AC54" s="192">
        <v>0</v>
      </c>
      <c r="AD54" s="192">
        <v>0</v>
      </c>
      <c r="AE54" s="176"/>
      <c r="AF54" s="156"/>
    </row>
    <row r="55" spans="1:32" ht="13" x14ac:dyDescent="0.3">
      <c r="A55" s="164">
        <f t="shared" si="8"/>
        <v>4</v>
      </c>
      <c r="B55" s="56"/>
      <c r="C55" s="60"/>
      <c r="D55" s="193"/>
      <c r="E55" s="194"/>
      <c r="F55" s="195" t="s">
        <v>25</v>
      </c>
      <c r="G55" s="194"/>
      <c r="H55" s="196">
        <f>SUM(H51:H54)</f>
        <v>142.55559152472523</v>
      </c>
      <c r="I55" s="197">
        <f>SUM(I51:I54)</f>
        <v>107.88490082490755</v>
      </c>
      <c r="J55" s="197">
        <f>SUM(J51:J54)</f>
        <v>113.15092208885552</v>
      </c>
      <c r="K55" s="197">
        <f>SUM(K51:K54)</f>
        <v>117.85292850264979</v>
      </c>
      <c r="L55" s="198">
        <f>SUM(L51:L54)</f>
        <v>122.43993171102834</v>
      </c>
      <c r="M55" s="199"/>
      <c r="N55" s="200">
        <f>IF(H55=0,0,SUMPRODUCT(N51:N54,H51:H54)/H55)</f>
        <v>590.57884326572719</v>
      </c>
      <c r="O55" s="201">
        <f>IF(I55=0,0,SUMPRODUCT(O51:O54,I51:I54)/I55)</f>
        <v>826.64976106811503</v>
      </c>
      <c r="P55" s="201">
        <f>IF(J55=0,0,SUMPRODUCT(P51:P54,J51:J54)/J55)</f>
        <v>913.88773366166151</v>
      </c>
      <c r="Q55" s="201">
        <f>IF(K55=0,0,SUMPRODUCT(Q51:Q54,K51:K54)/K55)</f>
        <v>1011.6125019560509</v>
      </c>
      <c r="R55" s="201">
        <f>IF(L55=0,0,SUMPRODUCT(R51:R54,L51:L54)/L55)</f>
        <v>1085.0218791938053</v>
      </c>
      <c r="S55" s="202"/>
      <c r="T55" s="200">
        <f>IF(H55=0,0,SUMPRODUCT(T51:T54,H51:H54)/H55)</f>
        <v>590.57884326572719</v>
      </c>
      <c r="U55" s="201">
        <f>IF(I55=0,0,SUMPRODUCT(U51:U54,I51:I54)/I55)</f>
        <v>826.64976106811503</v>
      </c>
      <c r="V55" s="201">
        <f>IF(J55=0,0,SUMPRODUCT(V51:V54,J51:J54)/J55)</f>
        <v>913.88773366166151</v>
      </c>
      <c r="W55" s="201">
        <f>IF(K55=0,0,SUMPRODUCT(W51:W54,K51:K54)/K55)</f>
        <v>1011.6125019560509</v>
      </c>
      <c r="X55" s="201">
        <f>IF(L55=0,0,SUMPRODUCT(X51:X54,L51:L54)/L55)</f>
        <v>1085.0218791938053</v>
      </c>
      <c r="Y55" s="202"/>
      <c r="Z55" s="203">
        <f>SUM(Z51:Z54)</f>
        <v>0</v>
      </c>
      <c r="AA55" s="204">
        <f>SUM(AA51:AA54)</f>
        <v>0</v>
      </c>
      <c r="AB55" s="204">
        <f>SUM(AB51:AB54)</f>
        <v>0</v>
      </c>
      <c r="AC55" s="204">
        <f>SUM(AC51:AC54)</f>
        <v>0</v>
      </c>
      <c r="AD55" s="204">
        <f>SUM(AD51:AD54)</f>
        <v>0</v>
      </c>
      <c r="AE55" s="205"/>
      <c r="AF55" s="51"/>
    </row>
    <row r="56" spans="1:32" ht="15.65" customHeight="1" x14ac:dyDescent="0.3">
      <c r="A56" s="164">
        <f t="shared" si="8"/>
        <v>4</v>
      </c>
      <c r="B56" s="157"/>
      <c r="C56" s="148"/>
      <c r="D56" s="150"/>
      <c r="E56" s="206"/>
      <c r="F56" s="206"/>
      <c r="G56" s="206"/>
      <c r="H56" s="206"/>
      <c r="I56" s="206"/>
      <c r="J56" s="206"/>
      <c r="K56" s="206"/>
      <c r="L56" s="206"/>
      <c r="M56" s="206"/>
      <c r="N56" s="207">
        <f>SUM(N55*H55)</f>
        <v>84190.316343733735</v>
      </c>
      <c r="O56" s="207">
        <f>SUM(O55*I55)</f>
        <v>89183.027489767104</v>
      </c>
      <c r="P56" s="207">
        <f>SUM(P55*J55)</f>
        <v>103407.23974951141</v>
      </c>
      <c r="Q56" s="207">
        <f>SUM(Q55*K55)</f>
        <v>119221.49586541313</v>
      </c>
      <c r="R56" s="207">
        <f>SUM(R55*L55)</f>
        <v>132850.00479346115</v>
      </c>
      <c r="S56" s="208"/>
      <c r="T56" s="207">
        <f>SUM(T55*H55)</f>
        <v>84190.316343733735</v>
      </c>
      <c r="U56" s="207">
        <f>SUM(U55*I55)</f>
        <v>89183.027489767104</v>
      </c>
      <c r="V56" s="207">
        <f>SUM(V55*J55)</f>
        <v>103407.23974951141</v>
      </c>
      <c r="W56" s="207">
        <f>SUM(W55*K55)</f>
        <v>119221.49586541313</v>
      </c>
      <c r="X56" s="207">
        <f>SUM(X55*L55)</f>
        <v>132850.00479346115</v>
      </c>
      <c r="Y56" s="149"/>
      <c r="Z56" s="209">
        <f>IFERROR(Z55/SUMPRODUCT(N51:N54,H51:H54), 0)</f>
        <v>0</v>
      </c>
      <c r="AA56" s="209">
        <f>IFERROR(AA55/SUMPRODUCT(O51:O54,I51:I54), 0)</f>
        <v>0</v>
      </c>
      <c r="AB56" s="209">
        <f>IFERROR(AB55/SUMPRODUCT(P51:P54,J51:J54), 0)</f>
        <v>0</v>
      </c>
      <c r="AC56" s="209">
        <f>IFERROR(AC55/SUMPRODUCT(Q51:Q54,K51:K54), 0)</f>
        <v>0</v>
      </c>
      <c r="AD56" s="209">
        <f>IFERROR(AD55/SUMPRODUCT(R51:R54,L51:L54), 0)</f>
        <v>0</v>
      </c>
      <c r="AE56" s="210"/>
      <c r="AF56" s="156"/>
    </row>
    <row r="57" spans="1:32" ht="13" x14ac:dyDescent="0.3">
      <c r="A57" s="211">
        <f t="shared" si="8"/>
        <v>4</v>
      </c>
      <c r="B57" s="212"/>
      <c r="C57" s="148"/>
      <c r="D57" s="150"/>
      <c r="E57" s="206"/>
      <c r="F57" s="206"/>
      <c r="G57" s="206"/>
      <c r="H57" s="206"/>
      <c r="I57" s="206"/>
      <c r="J57" s="206"/>
      <c r="K57" s="206"/>
      <c r="L57" s="206"/>
      <c r="M57" s="206"/>
      <c r="N57" s="213"/>
      <c r="O57" s="206"/>
      <c r="P57" s="206"/>
      <c r="Q57" s="206"/>
      <c r="R57" s="214"/>
      <c r="S57" s="206"/>
      <c r="T57" s="206"/>
      <c r="U57" s="206"/>
      <c r="V57" s="206"/>
      <c r="W57" s="206"/>
      <c r="X57" s="206"/>
      <c r="Y57" s="149"/>
      <c r="Z57" s="210"/>
      <c r="AA57" s="210"/>
      <c r="AB57" s="210"/>
      <c r="AC57" s="210"/>
      <c r="AD57" s="215"/>
      <c r="AE57" s="210"/>
      <c r="AF57" s="156"/>
    </row>
    <row r="58" spans="1:32" ht="13" x14ac:dyDescent="0.3">
      <c r="A58" s="137" t="e">
        <f>#REF!+1</f>
        <v>#REF!</v>
      </c>
      <c r="B58" s="135"/>
      <c r="C58" s="124"/>
      <c r="D58" s="7"/>
      <c r="E58" s="120"/>
      <c r="F58" s="120"/>
      <c r="G58" s="120"/>
      <c r="H58" s="120"/>
      <c r="I58" s="120"/>
      <c r="J58" s="120"/>
      <c r="K58" s="120"/>
      <c r="L58" s="120"/>
      <c r="M58" s="120"/>
      <c r="N58" s="129"/>
      <c r="O58" s="120"/>
      <c r="P58" s="120"/>
      <c r="Q58" s="120"/>
      <c r="R58" s="25"/>
      <c r="S58" s="120"/>
      <c r="T58" s="120"/>
      <c r="U58" s="120"/>
      <c r="V58" s="120"/>
      <c r="W58" s="120"/>
      <c r="X58" s="120"/>
      <c r="Y58" s="126"/>
      <c r="Z58" s="5"/>
      <c r="AA58" s="5"/>
      <c r="AB58" s="5"/>
      <c r="AC58" s="5"/>
      <c r="AD58" s="3"/>
      <c r="AE58" s="5"/>
      <c r="AF58" s="132"/>
    </row>
    <row r="59" spans="1:32" x14ac:dyDescent="0.25">
      <c r="A59" s="130"/>
      <c r="B59" s="124"/>
      <c r="C59" s="124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</row>
    <row r="60" spans="1:32" ht="15.5" x14ac:dyDescent="0.35">
      <c r="A60" s="130"/>
      <c r="B60" s="124"/>
      <c r="C60" s="124"/>
      <c r="D60" s="91" t="s">
        <v>31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07" t="s">
        <v>32</v>
      </c>
      <c r="U61" s="138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33</v>
      </c>
      <c r="U62" s="120"/>
      <c r="V62" s="108">
        <f>T15</f>
        <v>978.15389241003095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34</v>
      </c>
      <c r="U63" s="120"/>
      <c r="V63" s="109">
        <f>U15</f>
        <v>1125.0446786806656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 t="s">
        <v>35</v>
      </c>
      <c r="U64" s="120"/>
      <c r="V64" s="109">
        <f>V15</f>
        <v>1261.6848365345579</v>
      </c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36</v>
      </c>
      <c r="U65" s="120"/>
      <c r="V65" s="109">
        <f>W15</f>
        <v>1381.0923985534653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37</v>
      </c>
      <c r="U66" s="120"/>
      <c r="V66" s="109">
        <f>X15</f>
        <v>1485.2264806085141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/>
      <c r="U67" s="120"/>
      <c r="V67" s="109"/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38</v>
      </c>
      <c r="U68" s="120"/>
      <c r="V68" s="109">
        <f>T13</f>
        <v>395.67792610908583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39</v>
      </c>
      <c r="U69" s="120"/>
      <c r="V69" s="109">
        <f>U13</f>
        <v>472.65539098506991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 t="s">
        <v>40</v>
      </c>
      <c r="U70" s="120"/>
      <c r="V70" s="109">
        <f>V13</f>
        <v>533.27005755458106</v>
      </c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41</v>
      </c>
      <c r="U71" s="120"/>
      <c r="V71" s="109">
        <f>W13</f>
        <v>541.32693694616921</v>
      </c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42</v>
      </c>
      <c r="U72" s="120"/>
      <c r="V72" s="109">
        <f>X13</f>
        <v>546.15365138240008</v>
      </c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/>
      <c r="U73" s="120"/>
      <c r="V73" s="109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43</v>
      </c>
      <c r="U74" s="120"/>
      <c r="V74" s="109">
        <f>T14</f>
        <v>1040.6406179026303</v>
      </c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44</v>
      </c>
      <c r="U75" s="120"/>
      <c r="V75" s="109">
        <f>U14</f>
        <v>1133.5307876846648</v>
      </c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 t="s">
        <v>45</v>
      </c>
      <c r="U76" s="120"/>
      <c r="V76" s="109">
        <f>V14</f>
        <v>1277.4865423644931</v>
      </c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46</v>
      </c>
      <c r="U77" s="120"/>
      <c r="V77" s="109">
        <f>W14</f>
        <v>1384.9535078051774</v>
      </c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47</v>
      </c>
      <c r="U78" s="120"/>
      <c r="V78" s="109">
        <f>X14</f>
        <v>1453.781035686842</v>
      </c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/>
      <c r="U79" s="120"/>
      <c r="V79" s="109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48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49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 t="s">
        <v>50</v>
      </c>
      <c r="U82" s="120"/>
      <c r="V82" s="110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51</v>
      </c>
      <c r="U83" s="120"/>
      <c r="V83" s="110"/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52</v>
      </c>
      <c r="U84" s="120"/>
      <c r="V84" s="110"/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/>
      <c r="U85" s="120"/>
      <c r="V85" s="109"/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53</v>
      </c>
      <c r="U86" s="120"/>
      <c r="V86" s="110"/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54</v>
      </c>
      <c r="U87" s="120"/>
      <c r="V87" s="110"/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ht="13" x14ac:dyDescent="0.3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2" t="s">
        <v>55</v>
      </c>
      <c r="U88" s="120"/>
      <c r="V88" s="11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ht="13" x14ac:dyDescent="0.3">
      <c r="A89" s="130"/>
      <c r="B89" s="124"/>
      <c r="C89" s="124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2" t="s">
        <v>56</v>
      </c>
      <c r="U89" s="120"/>
      <c r="V89" s="110"/>
      <c r="W89" s="120"/>
      <c r="X89" s="120"/>
      <c r="Y89" s="120"/>
      <c r="Z89" s="120"/>
      <c r="AA89" s="120"/>
      <c r="AB89" s="120"/>
      <c r="AC89" s="120"/>
      <c r="AD89" s="120"/>
      <c r="AE89" s="120"/>
      <c r="AF89" s="132"/>
    </row>
    <row r="90" spans="1:32" ht="13" x14ac:dyDescent="0.3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2" t="s">
        <v>57</v>
      </c>
      <c r="U90" s="120"/>
      <c r="V90" s="11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0"/>
      <c r="B91" s="124"/>
      <c r="C91" s="124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2"/>
      <c r="U91" s="120"/>
      <c r="V91" s="109"/>
      <c r="W91" s="120"/>
      <c r="X91" s="120"/>
      <c r="Y91" s="120"/>
      <c r="Z91" s="120"/>
      <c r="AA91" s="120"/>
      <c r="AB91" s="120"/>
      <c r="AC91" s="120"/>
      <c r="AD91" s="120"/>
      <c r="AE91" s="120"/>
      <c r="AF91" s="132"/>
    </row>
    <row r="92" spans="1:32" ht="13" x14ac:dyDescent="0.3">
      <c r="A92" s="130"/>
      <c r="B92" s="124"/>
      <c r="C92" s="124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2" t="s">
        <v>58</v>
      </c>
      <c r="U92" s="120"/>
      <c r="V92" s="109">
        <f>T16</f>
        <v>1005.405330882879</v>
      </c>
      <c r="W92" s="120"/>
      <c r="X92" s="120"/>
      <c r="Y92" s="120"/>
      <c r="Z92" s="120"/>
      <c r="AA92" s="120"/>
      <c r="AB92" s="120"/>
      <c r="AC92" s="120"/>
      <c r="AD92" s="120"/>
      <c r="AE92" s="120"/>
      <c r="AF92" s="132"/>
    </row>
    <row r="93" spans="1:32" ht="13" x14ac:dyDescent="0.3">
      <c r="A93" s="130"/>
      <c r="B93" s="124"/>
      <c r="C93" s="124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2" t="s">
        <v>59</v>
      </c>
      <c r="U93" s="120"/>
      <c r="V93" s="109">
        <f>U16</f>
        <v>1152.0550722788225</v>
      </c>
      <c r="W93" s="120"/>
      <c r="X93" s="120"/>
      <c r="Y93" s="120"/>
      <c r="Z93" s="120"/>
      <c r="AA93" s="120"/>
      <c r="AB93" s="120"/>
      <c r="AC93" s="120"/>
      <c r="AD93" s="120"/>
      <c r="AE93" s="120"/>
      <c r="AF93" s="132"/>
    </row>
    <row r="94" spans="1:32" ht="13" x14ac:dyDescent="0.3">
      <c r="A94" s="130"/>
      <c r="B94" s="124"/>
      <c r="C94" s="124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2" t="s">
        <v>60</v>
      </c>
      <c r="U94" s="120"/>
      <c r="V94" s="109">
        <f>V16</f>
        <v>1238.7834655500776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32"/>
    </row>
    <row r="95" spans="1:32" ht="13" x14ac:dyDescent="0.3">
      <c r="A95" s="130"/>
      <c r="B95" s="124"/>
      <c r="C95" s="124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2" t="s">
        <v>61</v>
      </c>
      <c r="U95" s="120"/>
      <c r="V95" s="109">
        <f>W16</f>
        <v>1324.617298985572</v>
      </c>
      <c r="W95" s="120"/>
      <c r="X95" s="120"/>
      <c r="Y95" s="120"/>
      <c r="Z95" s="120"/>
      <c r="AA95" s="120"/>
      <c r="AB95" s="120"/>
      <c r="AC95" s="120"/>
      <c r="AD95" s="120"/>
      <c r="AE95" s="120"/>
      <c r="AF95" s="132"/>
    </row>
    <row r="96" spans="1:32" ht="13" x14ac:dyDescent="0.3">
      <c r="A96" s="130"/>
      <c r="B96" s="124"/>
      <c r="C96" s="124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2" t="s">
        <v>62</v>
      </c>
      <c r="U96" s="120"/>
      <c r="V96" s="111">
        <f>X16</f>
        <v>1411.3995237028466</v>
      </c>
      <c r="W96" s="120"/>
      <c r="X96" s="120"/>
      <c r="Y96" s="120"/>
      <c r="Z96" s="120"/>
      <c r="AA96" s="120"/>
      <c r="AB96" s="120"/>
      <c r="AC96" s="120"/>
      <c r="AD96" s="120"/>
      <c r="AE96" s="120"/>
      <c r="AF96" s="132"/>
    </row>
    <row r="97" spans="1:32" x14ac:dyDescent="0.25">
      <c r="A97" s="130"/>
      <c r="B97" s="124"/>
      <c r="C97" s="124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32"/>
    </row>
    <row r="98" spans="1:32" x14ac:dyDescent="0.25">
      <c r="A98" s="130"/>
      <c r="B98" s="124"/>
      <c r="C98" s="12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90"/>
    </row>
    <row r="99" spans="1:32" x14ac:dyDescent="0.25">
      <c r="A99" s="130"/>
      <c r="B99" s="124"/>
      <c r="C99" s="124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32"/>
    </row>
    <row r="100" spans="1:32" ht="13" x14ac:dyDescent="0.3">
      <c r="A100" s="139"/>
      <c r="B100" s="121"/>
      <c r="C100" s="121"/>
      <c r="D100" s="61" t="s">
        <v>5</v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</row>
    <row r="101" spans="1:32" ht="13" x14ac:dyDescent="0.3">
      <c r="A101" s="140"/>
      <c r="B101" s="122"/>
      <c r="C101" s="122"/>
      <c r="D101" s="1" t="s">
        <v>6</v>
      </c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A105" s="140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</row>
    <row r="106" spans="1:32" x14ac:dyDescent="0.25">
      <c r="A106" s="140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</row>
    <row r="107" spans="1:32" x14ac:dyDescent="0.25">
      <c r="A107" s="140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</row>
    <row r="108" spans="1:32" x14ac:dyDescent="0.25">
      <c r="A108" s="140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</row>
    <row r="109" spans="1:32" x14ac:dyDescent="0.25">
      <c r="A109" s="140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</row>
    <row r="110" spans="1:32" x14ac:dyDescent="0.25">
      <c r="A110" s="140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</row>
    <row r="111" spans="1:32" x14ac:dyDescent="0.25">
      <c r="A111" s="140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</row>
    <row r="112" spans="1:32" x14ac:dyDescent="0.25">
      <c r="A112" s="140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</row>
    <row r="113" spans="1:32" x14ac:dyDescent="0.25">
      <c r="A113" s="140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</row>
    <row r="114" spans="1:32" x14ac:dyDescent="0.25">
      <c r="J114" s="122"/>
      <c r="K114" s="122"/>
      <c r="L114" s="122"/>
      <c r="M114" s="122"/>
    </row>
    <row r="115" spans="1:32" x14ac:dyDescent="0.25">
      <c r="J115" s="122"/>
      <c r="K115" s="122"/>
      <c r="L115" s="122"/>
      <c r="M115" s="122"/>
    </row>
    <row r="116" spans="1:32" x14ac:dyDescent="0.25">
      <c r="J116" s="122"/>
      <c r="K116" s="122"/>
      <c r="L116" s="122"/>
      <c r="M116" s="122"/>
    </row>
    <row r="117" spans="1:32" x14ac:dyDescent="0.25">
      <c r="J117" s="122"/>
      <c r="K117" s="122"/>
      <c r="L117" s="122"/>
      <c r="M117" s="122"/>
    </row>
    <row r="118" spans="1:32" x14ac:dyDescent="0.25">
      <c r="J118" s="122"/>
      <c r="K118" s="122"/>
      <c r="L118" s="122"/>
      <c r="M118" s="122"/>
    </row>
    <row r="119" spans="1:32" x14ac:dyDescent="0.25">
      <c r="J119" s="122"/>
      <c r="K119" s="122"/>
      <c r="L119" s="122"/>
      <c r="M119" s="122"/>
    </row>
    <row r="120" spans="1:32" x14ac:dyDescent="0.25">
      <c r="J120" s="122"/>
      <c r="K120" s="122"/>
      <c r="L120" s="122"/>
      <c r="M120" s="122"/>
    </row>
    <row r="121" spans="1:32" x14ac:dyDescent="0.25">
      <c r="J121" s="122"/>
      <c r="K121" s="122"/>
      <c r="L121" s="122"/>
      <c r="M121" s="122"/>
    </row>
    <row r="122" spans="1:32" x14ac:dyDescent="0.25">
      <c r="J122" s="122"/>
      <c r="K122" s="122"/>
      <c r="L122" s="122"/>
      <c r="M122" s="122"/>
    </row>
    <row r="123" spans="1:32" x14ac:dyDescent="0.25">
      <c r="J123" s="122"/>
      <c r="K123" s="122"/>
      <c r="L123" s="122"/>
      <c r="M123" s="122"/>
    </row>
    <row r="124" spans="1:32" x14ac:dyDescent="0.25">
      <c r="J124" s="122"/>
      <c r="K124" s="122"/>
      <c r="L124" s="122"/>
      <c r="M124" s="122"/>
    </row>
    <row r="125" spans="1:32" x14ac:dyDescent="0.25">
      <c r="J125" s="122"/>
      <c r="K125" s="122"/>
      <c r="L125" s="122"/>
      <c r="M125" s="122"/>
    </row>
    <row r="126" spans="1:32" x14ac:dyDescent="0.25">
      <c r="J126" s="122"/>
      <c r="K126" s="122"/>
      <c r="L126" s="122"/>
      <c r="M126" s="122"/>
    </row>
    <row r="127" spans="1:32" x14ac:dyDescent="0.25">
      <c r="J127" s="122"/>
      <c r="K127" s="122"/>
      <c r="L127" s="122"/>
      <c r="M127" s="122"/>
    </row>
    <row r="128" spans="1:32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  <row r="792" spans="10:13" x14ac:dyDescent="0.25">
      <c r="J792" s="122"/>
      <c r="K792" s="122"/>
      <c r="L792" s="122"/>
      <c r="M792" s="122"/>
    </row>
    <row r="793" spans="10:13" x14ac:dyDescent="0.25">
      <c r="J793" s="122"/>
      <c r="K793" s="122"/>
      <c r="L793" s="122"/>
      <c r="M793" s="122"/>
    </row>
    <row r="794" spans="10:13" x14ac:dyDescent="0.25">
      <c r="J794" s="122"/>
      <c r="K794" s="122"/>
      <c r="L794" s="122"/>
      <c r="M794" s="122"/>
    </row>
    <row r="795" spans="10:13" x14ac:dyDescent="0.25">
      <c r="J795" s="122"/>
      <c r="K795" s="122"/>
      <c r="L795" s="122"/>
      <c r="M795" s="122"/>
    </row>
    <row r="796" spans="10:13" x14ac:dyDescent="0.25">
      <c r="J796" s="122"/>
      <c r="K796" s="122"/>
      <c r="L796" s="122"/>
      <c r="M796" s="122"/>
    </row>
    <row r="797" spans="10:13" x14ac:dyDescent="0.25">
      <c r="J797" s="122"/>
      <c r="K797" s="122"/>
      <c r="L797" s="122"/>
      <c r="M797" s="122"/>
    </row>
    <row r="798" spans="10:13" x14ac:dyDescent="0.25">
      <c r="J798" s="122"/>
      <c r="K798" s="122"/>
      <c r="L798" s="122"/>
      <c r="M798" s="122"/>
    </row>
    <row r="799" spans="10:13" x14ac:dyDescent="0.25">
      <c r="J799" s="122"/>
      <c r="K799" s="122"/>
      <c r="L799" s="122"/>
      <c r="M799" s="122"/>
    </row>
    <row r="800" spans="10:13" x14ac:dyDescent="0.25">
      <c r="J800" s="122"/>
      <c r="K800" s="122"/>
      <c r="L800" s="122"/>
      <c r="M800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2026-09-14T09:41:13Z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