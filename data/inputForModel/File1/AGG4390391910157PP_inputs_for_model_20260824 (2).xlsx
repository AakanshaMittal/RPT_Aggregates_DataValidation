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ForModel\File1\"/>
    </mc:Choice>
  </mc:AlternateContent>
  <xr:revisionPtr revIDLastSave="0" documentId="13_ncr:1_{FD55CC85-1D1C-4A16-86C3-AA80DAE841AF}" xr6:coauthVersionLast="47" xr6:coauthVersionMax="47" xr10:uidLastSave="{00000000-0000-0000-0000-000000000000}"/>
  <bookViews>
    <workbookView xWindow="4800" yWindow="3110" windowWidth="14400" windowHeight="817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49" i="4"/>
  <c r="AD46" i="4"/>
  <c r="AD47" i="4" s="1"/>
  <c r="AC46" i="4"/>
  <c r="AC47" i="4" s="1"/>
  <c r="AB46" i="4"/>
  <c r="AB47" i="4" s="1"/>
  <c r="AA46" i="4"/>
  <c r="AA47" i="4" s="1"/>
  <c r="Z46" i="4"/>
  <c r="Z47" i="4" s="1"/>
  <c r="L46" i="4"/>
  <c r="X46" i="4" s="1"/>
  <c r="X47" i="4" s="1"/>
  <c r="K46" i="4"/>
  <c r="W46" i="4" s="1"/>
  <c r="W47" i="4" s="1"/>
  <c r="J46" i="4"/>
  <c r="P46" i="4" s="1"/>
  <c r="P47" i="4" s="1"/>
  <c r="I46" i="4"/>
  <c r="O46" i="4" s="1"/>
  <c r="O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X37" i="4" s="1"/>
  <c r="X38" i="4" s="1"/>
  <c r="K37" i="4"/>
  <c r="Q37" i="4" s="1"/>
  <c r="J37" i="4"/>
  <c r="V37" i="4" s="1"/>
  <c r="V38" i="4" s="1"/>
  <c r="I37" i="4"/>
  <c r="U37" i="4" s="1"/>
  <c r="U38" i="4" s="1"/>
  <c r="H37" i="4"/>
  <c r="T37" i="4" s="1"/>
  <c r="T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L28" i="4"/>
  <c r="R28" i="4" s="1"/>
  <c r="K28" i="4"/>
  <c r="W28" i="4" s="1"/>
  <c r="J28" i="4"/>
  <c r="P28" i="4" s="1"/>
  <c r="I28" i="4"/>
  <c r="O28" i="4" s="1"/>
  <c r="H28" i="4"/>
  <c r="N28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T46" i="4" l="1"/>
  <c r="T47" i="4" s="1"/>
  <c r="Q46" i="4"/>
  <c r="Q47" i="4" s="1"/>
  <c r="U46" i="4"/>
  <c r="U47" i="4" s="1"/>
  <c r="V46" i="4"/>
  <c r="V47" i="4" s="1"/>
  <c r="R46" i="4"/>
  <c r="R47" i="4" s="1"/>
  <c r="X28" i="4"/>
  <c r="X29" i="4" s="1"/>
  <c r="N37" i="4"/>
  <c r="N38" i="4" s="1"/>
  <c r="P37" i="4"/>
  <c r="P38" i="4" s="1"/>
  <c r="O37" i="4"/>
  <c r="O38" i="4" s="1"/>
  <c r="W37" i="4"/>
  <c r="W38" i="4" s="1"/>
  <c r="Q28" i="4"/>
  <c r="Q29" i="4" s="1"/>
  <c r="V28" i="4"/>
  <c r="P29" i="4"/>
  <c r="R29" i="4"/>
  <c r="N29" i="4"/>
  <c r="O29" i="4"/>
  <c r="Q38" i="4"/>
  <c r="X15" i="4"/>
  <c r="V57" i="4" s="1"/>
  <c r="X14" i="4"/>
  <c r="V69" i="4" s="1"/>
  <c r="T28" i="4"/>
  <c r="U28" i="4"/>
  <c r="R37" i="4"/>
  <c r="R38" i="4" s="1"/>
  <c r="W29" i="4"/>
  <c r="X16" i="4"/>
  <c r="V87" i="4" s="1"/>
  <c r="P15" i="4" l="1"/>
  <c r="V29" i="4"/>
  <c r="V13" i="4" s="1"/>
  <c r="V61" i="4" s="1"/>
  <c r="Q13" i="4"/>
  <c r="N16" i="4"/>
  <c r="O15" i="4"/>
  <c r="P16" i="4"/>
  <c r="W16" i="4"/>
  <c r="V86" i="4" s="1"/>
  <c r="Q14" i="4"/>
  <c r="Q16" i="4"/>
  <c r="O13" i="4"/>
  <c r="Q15" i="4"/>
  <c r="Q17" i="4" s="1"/>
  <c r="Q18" i="4" s="1"/>
  <c r="X13" i="4"/>
  <c r="V63" i="4" s="1"/>
  <c r="R14" i="4"/>
  <c r="V15" i="4"/>
  <c r="V55" i="4" s="1"/>
  <c r="O16" i="4"/>
  <c r="W14" i="4"/>
  <c r="V68" i="4" s="1"/>
  <c r="R15" i="4"/>
  <c r="U29" i="4"/>
  <c r="U13" i="4" s="1"/>
  <c r="R13" i="4"/>
  <c r="V16" i="4"/>
  <c r="V85" i="4" s="1"/>
  <c r="W15" i="4"/>
  <c r="V56" i="4" s="1"/>
  <c r="W13" i="4"/>
  <c r="P13" i="4"/>
  <c r="N15" i="4"/>
  <c r="N14" i="4"/>
  <c r="T29" i="4"/>
  <c r="T14" i="4" s="1"/>
  <c r="V65" i="4" s="1"/>
  <c r="O14" i="4"/>
  <c r="N13" i="4"/>
  <c r="P14" i="4"/>
  <c r="R16" i="4"/>
  <c r="U16" i="4" l="1"/>
  <c r="V84" i="4" s="1"/>
  <c r="AC18" i="4"/>
  <c r="V14" i="4"/>
  <c r="V67" i="4" s="1"/>
  <c r="AA18" i="4"/>
  <c r="T16" i="4"/>
  <c r="V83" i="4" s="1"/>
  <c r="X17" i="4"/>
  <c r="X18" i="4" s="1"/>
  <c r="V17" i="4"/>
  <c r="V18" i="4" s="1"/>
  <c r="O17" i="4"/>
  <c r="O18" i="4" s="1"/>
  <c r="U15" i="4"/>
  <c r="V54" i="4" s="1"/>
  <c r="U14" i="4"/>
  <c r="V66" i="4" s="1"/>
  <c r="T13" i="4"/>
  <c r="V59" i="4" s="1"/>
  <c r="T15" i="4"/>
  <c r="V53" i="4" s="1"/>
  <c r="W17" i="4"/>
  <c r="W18" i="4" s="1"/>
  <c r="V62" i="4"/>
  <c r="V60" i="4"/>
  <c r="P17" i="4"/>
  <c r="P18" i="4" s="1"/>
  <c r="AB18" i="4"/>
  <c r="N17" i="4"/>
  <c r="N18" i="4" s="1"/>
  <c r="Z18" i="4"/>
  <c r="AD18" i="4"/>
  <c r="R17" i="4"/>
  <c r="R18" i="4" s="1"/>
  <c r="U17" i="4" l="1"/>
  <c r="U18" i="4" s="1"/>
  <c r="T17" i="4"/>
  <c r="T18" i="4" s="1"/>
</calcChain>
</file>

<file path=xl/sharedStrings.xml><?xml version="1.0" encoding="utf-8"?>
<sst xmlns="http://schemas.openxmlformats.org/spreadsheetml/2006/main" count="255" uniqueCount="111">
  <si>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</si>
  <si>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</si>
  <si>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</si>
  <si>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</si>
  <si>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</si>
  <si>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</si>
  <si>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</si>
  <si>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</si>
  <si>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</si>
  <si>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</si>
  <si>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</si>
  <si>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</si>
  <si>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</si>
  <si>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</si>
  <si>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</si>
  <si>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</si>
  <si>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</si>
  <si>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</si>
  <si>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</si>
  <si>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</si>
  <si>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</si>
  <si>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</si>
  <si>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</si>
  <si>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</si>
  <si>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</si>
  <si>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</si>
  <si>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</si>
  <si>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RPT4154543496776MR</t>
  </si>
  <si>
    <t>RPT6683971780115LC</t>
  </si>
  <si>
    <t>RPT3046986096719OH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</si>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</sst>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2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9" fillId="0" borderId="0" xfId="0" applyFont="1"/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62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63</v>
      </c>
      <c r="B4" s="40" t="s">
        <v>64</v>
      </c>
      <c r="C4" s="40" t="s">
        <v>65</v>
      </c>
      <c r="D4" s="40" t="s">
        <v>66</v>
      </c>
      <c r="E4" s="40" t="s">
        <v>67</v>
      </c>
      <c r="F4" s="120"/>
      <c r="G4" s="121"/>
      <c r="H4" s="122"/>
    </row>
    <row r="5" spans="1:8" x14ac:dyDescent="0.25">
      <c r="A5" s="123">
        <v>1</v>
      </c>
      <c r="B5" s="41" t="s">
        <v>68</v>
      </c>
      <c r="C5" s="42">
        <v>44984</v>
      </c>
      <c r="D5" s="43" t="s">
        <v>69</v>
      </c>
      <c r="E5" s="43" t="s">
        <v>70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68</v>
      </c>
      <c r="C6" s="42">
        <v>44998</v>
      </c>
      <c r="D6" s="43" t="s">
        <v>71</v>
      </c>
      <c r="E6" s="43" t="s">
        <v>72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68</v>
      </c>
      <c r="C7" s="42">
        <v>44998</v>
      </c>
      <c r="D7" s="43" t="s">
        <v>73</v>
      </c>
      <c r="E7" s="43" t="s">
        <v>74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68</v>
      </c>
      <c r="C8" s="42">
        <v>45001</v>
      </c>
      <c r="D8" s="43" t="s">
        <v>75</v>
      </c>
      <c r="E8" s="43" t="s">
        <v>76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77</v>
      </c>
      <c r="C9" s="42">
        <v>45167</v>
      </c>
      <c r="D9" s="43" t="s">
        <v>78</v>
      </c>
      <c r="E9" s="43" t="s">
        <v>79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80</v>
      </c>
      <c r="C10" s="42">
        <v>45357</v>
      </c>
      <c r="D10" s="43" t="s">
        <v>81</v>
      </c>
      <c r="E10" s="43" t="s">
        <v>82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83</v>
      </c>
      <c r="C11" s="42">
        <v>45400</v>
      </c>
      <c r="D11" s="43" t="s">
        <v>84</v>
      </c>
      <c r="E11" s="43" t="s">
        <v>85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86</v>
      </c>
      <c r="C12" s="42">
        <v>45576</v>
      </c>
      <c r="D12" s="43" t="s">
        <v>87</v>
      </c>
      <c r="E12" s="43" t="s">
        <v>88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86</v>
      </c>
      <c r="C13" s="42">
        <v>45587</v>
      </c>
      <c r="D13" s="43" t="s">
        <v>89</v>
      </c>
      <c r="E13" s="43" t="s">
        <v>90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86</v>
      </c>
      <c r="C14" s="42">
        <v>45590</v>
      </c>
      <c r="D14" s="43" t="s">
        <v>91</v>
      </c>
      <c r="E14" s="43" t="s">
        <v>82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86</v>
      </c>
      <c r="C15" s="42">
        <v>45593</v>
      </c>
      <c r="D15" s="43" t="s">
        <v>92</v>
      </c>
      <c r="E15" s="43" t="s">
        <v>82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93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93</v>
      </c>
      <c r="B4" s="120"/>
      <c r="C4" s="120"/>
      <c r="D4" s="120"/>
      <c r="E4" s="121"/>
      <c r="F4" s="1"/>
    </row>
    <row r="5" spans="1:6" ht="13" x14ac:dyDescent="0.3">
      <c r="A5" s="45" t="s">
        <v>94</v>
      </c>
      <c r="B5" s="7"/>
      <c r="C5" s="46" t="s">
        <v>95</v>
      </c>
      <c r="D5" s="120"/>
      <c r="E5" s="121"/>
      <c r="F5" s="1"/>
    </row>
    <row r="6" spans="1:6" ht="13" x14ac:dyDescent="0.3">
      <c r="A6" s="45" t="s">
        <v>96</v>
      </c>
      <c r="B6" s="7"/>
      <c r="C6" s="47" t="s">
        <v>97</v>
      </c>
      <c r="D6" s="120"/>
      <c r="E6" s="121"/>
      <c r="F6" s="1"/>
    </row>
    <row r="7" spans="1:6" ht="13" x14ac:dyDescent="0.3">
      <c r="A7" s="45" t="s">
        <v>98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99</v>
      </c>
      <c r="B8" s="7"/>
      <c r="C8" s="48" t="s">
        <v>100</v>
      </c>
      <c r="D8" s="120"/>
      <c r="E8" s="121"/>
      <c r="F8" s="1"/>
    </row>
    <row r="9" spans="1:6" ht="14.4" customHeight="1" x14ac:dyDescent="0.35">
      <c r="A9" s="45" t="s">
        <v>101</v>
      </c>
      <c r="B9" s="7"/>
      <c r="C9" s="119" t="s">
        <v>102</v>
      </c>
      <c r="D9" s="120"/>
      <c r="E9" s="121"/>
      <c r="F9" s="1"/>
    </row>
    <row r="10" spans="1:6" ht="13" x14ac:dyDescent="0.3">
      <c r="A10" s="45" t="s">
        <v>103</v>
      </c>
      <c r="B10" s="7"/>
      <c r="C10" s="48" t="s">
        <v>104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105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62</v>
      </c>
      <c r="D14" s="120"/>
      <c r="E14" s="121"/>
      <c r="F14" s="1"/>
    </row>
    <row r="15" spans="1:6" ht="13" x14ac:dyDescent="0.3">
      <c r="A15" s="120"/>
      <c r="B15" s="120"/>
      <c r="C15" s="113" t="s">
        <v>93</v>
      </c>
      <c r="D15" s="120"/>
      <c r="E15" s="121"/>
      <c r="F15" s="1"/>
    </row>
    <row r="16" spans="1:6" ht="13" x14ac:dyDescent="0.3">
      <c r="A16" s="120"/>
      <c r="B16" s="120"/>
      <c r="C16" s="113" t="s">
        <v>106</v>
      </c>
      <c r="D16" s="120"/>
      <c r="E16" s="121"/>
      <c r="F16" s="1"/>
    </row>
    <row r="17" spans="1:6" ht="13" x14ac:dyDescent="0.3">
      <c r="A17" s="120"/>
      <c r="B17" s="120"/>
      <c r="C17" s="113" t="s">
        <v>107</v>
      </c>
      <c r="D17" s="120"/>
      <c r="E17" s="121"/>
      <c r="F17" s="1"/>
    </row>
    <row r="18" spans="1:6" ht="13" x14ac:dyDescent="0.3">
      <c r="A18" s="120"/>
      <c r="B18" s="120"/>
      <c r="C18" s="113" t="s">
        <v>108</v>
      </c>
      <c r="D18" s="120"/>
      <c r="E18" s="121"/>
      <c r="F18" s="1"/>
    </row>
    <row r="19" spans="1:6" ht="13" x14ac:dyDescent="0.3">
      <c r="A19" s="120"/>
      <c r="B19" s="120"/>
      <c r="C19" s="113" t="s">
        <v>109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110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791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692.43392263577823</v>
      </c>
      <c r="I13" s="141">
        <v>701.45531572531627</v>
      </c>
      <c r="J13" s="141">
        <v>743.32602259617568</v>
      </c>
      <c r="K13" s="141">
        <v>774.43372926097015</v>
      </c>
      <c r="L13" s="143">
        <v>816.53142507211737</v>
      </c>
      <c r="M13" s="126"/>
      <c r="N13" s="69">
        <f t="shared" ref="N13:R16" si="3">IF(H13=0,0,SUMPRODUCT(N$22:N$48,H$22:H$48,--($B$22:$B$48=$B13))/H13)</f>
        <v>421.00563775177761</v>
      </c>
      <c r="O13" s="70">
        <f t="shared" si="3"/>
        <v>468.84298270771723</v>
      </c>
      <c r="P13" s="70">
        <f t="shared" si="3"/>
        <v>500.43669166214551</v>
      </c>
      <c r="Q13" s="70">
        <f t="shared" si="3"/>
        <v>531.11231390374132</v>
      </c>
      <c r="R13" s="70">
        <f t="shared" si="3"/>
        <v>563.45658576130108</v>
      </c>
      <c r="S13" s="125"/>
      <c r="T13" s="69">
        <f t="shared" ref="T13:X16" si="4">IF(H13=0,0,SUMPRODUCT(T$22:T$48,H$22:H$48,--($B$22:$B$48=$B13))/H13)</f>
        <v>421.00563775177761</v>
      </c>
      <c r="U13" s="70">
        <f t="shared" si="4"/>
        <v>468.84298270771723</v>
      </c>
      <c r="V13" s="70">
        <f t="shared" si="4"/>
        <v>500.43669166214551</v>
      </c>
      <c r="W13" s="70">
        <f t="shared" si="4"/>
        <v>531.11231390374132</v>
      </c>
      <c r="X13" s="70">
        <f t="shared" si="4"/>
        <v>563.45658576130108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147.65650681471641</v>
      </c>
      <c r="I14" s="141">
        <v>135.32260491067629</v>
      </c>
      <c r="J14" s="141">
        <v>128.67796515867309</v>
      </c>
      <c r="K14" s="141">
        <v>134.16132106281779</v>
      </c>
      <c r="L14" s="143">
        <v>140.44398342216459</v>
      </c>
      <c r="M14" s="126"/>
      <c r="N14" s="74">
        <f t="shared" si="3"/>
        <v>348.29504419450359</v>
      </c>
      <c r="O14" s="75">
        <f t="shared" si="3"/>
        <v>434.09234982086679</v>
      </c>
      <c r="P14" s="75">
        <f t="shared" si="3"/>
        <v>533.15410347766669</v>
      </c>
      <c r="Q14" s="75">
        <f t="shared" si="3"/>
        <v>602.22075904798157</v>
      </c>
      <c r="R14" s="75">
        <f t="shared" si="3"/>
        <v>678.39621053720009</v>
      </c>
      <c r="S14" s="125"/>
      <c r="T14" s="74">
        <f t="shared" si="4"/>
        <v>348.29504419450359</v>
      </c>
      <c r="U14" s="75">
        <f t="shared" si="4"/>
        <v>434.09234982086679</v>
      </c>
      <c r="V14" s="75">
        <f t="shared" si="4"/>
        <v>533.15410347766669</v>
      </c>
      <c r="W14" s="75">
        <f t="shared" si="4"/>
        <v>602.22075904798157</v>
      </c>
      <c r="X14" s="75">
        <f t="shared" si="4"/>
        <v>678.39621053720009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28.74040489156679</v>
      </c>
      <c r="I15" s="141">
        <v>30.977713212460682</v>
      </c>
      <c r="J15" s="141">
        <v>33.405053132402408</v>
      </c>
      <c r="K15" s="141">
        <v>36.039914205050643</v>
      </c>
      <c r="L15" s="143">
        <v>38.867459615022248</v>
      </c>
      <c r="M15" s="126"/>
      <c r="N15" s="74">
        <f t="shared" si="3"/>
        <v>81.008446339733212</v>
      </c>
      <c r="O15" s="75">
        <f t="shared" si="3"/>
        <v>81.357988076095197</v>
      </c>
      <c r="P15" s="75">
        <f t="shared" si="3"/>
        <v>81.536508046783368</v>
      </c>
      <c r="Q15" s="75">
        <f t="shared" si="3"/>
        <v>81.615193928952536</v>
      </c>
      <c r="R15" s="75">
        <f t="shared" si="3"/>
        <v>81.608764689034359</v>
      </c>
      <c r="S15" s="125"/>
      <c r="T15" s="74">
        <f t="shared" si="4"/>
        <v>81.008446339733212</v>
      </c>
      <c r="U15" s="75">
        <f t="shared" si="4"/>
        <v>81.357988076095197</v>
      </c>
      <c r="V15" s="75">
        <f t="shared" si="4"/>
        <v>81.536508046783368</v>
      </c>
      <c r="W15" s="75">
        <f t="shared" si="4"/>
        <v>81.615193928952536</v>
      </c>
      <c r="X15" s="75">
        <f t="shared" si="4"/>
        <v>81.608764689034359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168.46659087817099</v>
      </c>
      <c r="I16" s="97">
        <v>187.761398882777</v>
      </c>
      <c r="J16" s="97">
        <v>207.7311240735857</v>
      </c>
      <c r="K16" s="97">
        <v>231.0976749174192</v>
      </c>
      <c r="L16" s="146">
        <v>255.85577164913349</v>
      </c>
      <c r="M16" s="126"/>
      <c r="N16" s="80">
        <f t="shared" si="3"/>
        <v>2823.7493518166798</v>
      </c>
      <c r="O16" s="81">
        <f t="shared" si="3"/>
        <v>2890.325564340792</v>
      </c>
      <c r="P16" s="81">
        <f t="shared" si="3"/>
        <v>3022.2676810154276</v>
      </c>
      <c r="Q16" s="81">
        <f t="shared" si="3"/>
        <v>3182.9590951637006</v>
      </c>
      <c r="R16" s="81">
        <f t="shared" si="3"/>
        <v>3253.8844345455368</v>
      </c>
      <c r="S16" s="125"/>
      <c r="T16" s="80">
        <f t="shared" si="4"/>
        <v>2823.7493518166798</v>
      </c>
      <c r="U16" s="81">
        <f t="shared" si="4"/>
        <v>2890.325564340792</v>
      </c>
      <c r="V16" s="81">
        <f t="shared" si="4"/>
        <v>3022.2676810154276</v>
      </c>
      <c r="W16" s="81">
        <f t="shared" si="4"/>
        <v>3182.9590951637006</v>
      </c>
      <c r="X16" s="81">
        <f t="shared" si="4"/>
        <v>3253.8844345455368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1037.2974252202323</v>
      </c>
      <c r="I17" s="100">
        <f>SUM(I13:I16)</f>
        <v>1055.5170327312303</v>
      </c>
      <c r="J17" s="100">
        <f>SUM(J13:J16)</f>
        <v>1113.140164960837</v>
      </c>
      <c r="K17" s="100">
        <f>SUM(K13:K16)</f>
        <v>1175.7326394462577</v>
      </c>
      <c r="L17" s="144">
        <f>SUM(L13:L16)</f>
        <v>1251.6986397584376</v>
      </c>
      <c r="M17" s="142"/>
      <c r="N17" s="85">
        <f>IF(H17=0,0,SUMPRODUCT(N13:N16,H13:H16)/H17)</f>
        <v>791.46273493835633</v>
      </c>
      <c r="O17" s="86">
        <f>IF(I17=0,0,SUMPRODUCT(O13:O16,I13:I16)/I17)</f>
        <v>883.7628732585016</v>
      </c>
      <c r="P17" s="86">
        <f>IF(J17=0,0,SUMPRODUCT(P13:P16,J13:J16)/J17)</f>
        <v>962.26479688273264</v>
      </c>
      <c r="Q17" s="86">
        <f>IF(K17=0,0,SUMPRODUCT(Q13:Q16,K13:K16)/K17)</f>
        <v>1046.6851323736603</v>
      </c>
      <c r="R17" s="86">
        <f>IF(L17=0,0,SUMPRODUCT(R13:R16,L13:L16)/L17)</f>
        <v>1111.3327674273758</v>
      </c>
      <c r="S17" s="20"/>
      <c r="T17" s="85">
        <f>IF(H17=0,0,SUMPRODUCT(T13:T16,H13:H16)/H17)</f>
        <v>791.46273493835633</v>
      </c>
      <c r="U17" s="86">
        <f>IF(I17=0,0,SUMPRODUCT(U13:U16,I13:I16)/I17)</f>
        <v>883.7628732585016</v>
      </c>
      <c r="V17" s="86">
        <f>IF(J17=0,0,SUMPRODUCT(V13:V16,J13:J16)/J17)</f>
        <v>962.26479688273264</v>
      </c>
      <c r="W17" s="86">
        <f>IF(K17=0,0,SUMPRODUCT(W13:W16,K13:K16)/K17)</f>
        <v>1046.6851323736603</v>
      </c>
      <c r="X17" s="86">
        <f>IF(L17=0,0,SUMPRODUCT(X13:X16,L13:L16)/L17)</f>
        <v>1111.3327674273758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820982.25710932026</v>
      </c>
      <c r="O18" s="23">
        <f>SUM(O17*I17)</f>
        <v>932826.76561984001</v>
      </c>
      <c r="P18" s="23">
        <f>SUM(P17*J17)</f>
        <v>1071135.5947380513</v>
      </c>
      <c r="Q18" s="23">
        <f>SUM(Q17*K17)</f>
        <v>1230621.8733548392</v>
      </c>
      <c r="R18" s="23">
        <f>SUM(R17*L17)</f>
        <v>1391053.7133078263</v>
      </c>
      <c r="S18" s="24"/>
      <c r="T18" s="23">
        <f>SUM(T17*H17)</f>
        <v>820982.25710932026</v>
      </c>
      <c r="U18" s="23">
        <f>SUM(U17*I17)</f>
        <v>932826.76561984001</v>
      </c>
      <c r="V18" s="23">
        <f>SUM(V17*J17)</f>
        <v>1071135.5947380513</v>
      </c>
      <c r="W18" s="23">
        <f>SUM(W17*K17)</f>
        <v>1230621.8733548392</v>
      </c>
      <c r="X18" s="23">
        <f>SUM(X17*L17)</f>
        <v>1391053.7133078263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241.67886006116339</v>
      </c>
      <c r="I24" s="141">
        <v>243.40563926239679</v>
      </c>
      <c r="J24" s="141">
        <v>257.43680437753898</v>
      </c>
      <c r="K24" s="141">
        <v>270.52050434351179</v>
      </c>
      <c r="L24" s="143">
        <v>285.44855755798108</v>
      </c>
      <c r="M24" s="126"/>
      <c r="N24" s="69">
        <v>386.05482238049979</v>
      </c>
      <c r="O24" s="75">
        <v>432.14970335195261</v>
      </c>
      <c r="P24" s="75">
        <v>461.87698798505232</v>
      </c>
      <c r="Q24" s="75">
        <v>493.88110774224589</v>
      </c>
      <c r="R24" s="75">
        <v>524.58775951359985</v>
      </c>
      <c r="S24" s="125"/>
      <c r="T24" s="30">
        <v>386.05482238049979</v>
      </c>
      <c r="U24" s="31">
        <v>432.14970335195261</v>
      </c>
      <c r="V24" s="31">
        <v>461.87698798505232</v>
      </c>
      <c r="W24" s="31">
        <v>493.88110774224589</v>
      </c>
      <c r="X24" s="31">
        <v>524.58775951359985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55.896825465639523</v>
      </c>
      <c r="I25" s="141">
        <v>50.91463754848111</v>
      </c>
      <c r="J25" s="141">
        <v>47.411931464255993</v>
      </c>
      <c r="K25" s="141">
        <v>49.153471649767582</v>
      </c>
      <c r="L25" s="143">
        <v>51.141183101104609</v>
      </c>
      <c r="M25" s="126"/>
      <c r="N25" s="74">
        <v>305.09312933561768</v>
      </c>
      <c r="O25" s="75">
        <v>402.8504504250634</v>
      </c>
      <c r="P25" s="75">
        <v>518.78060530753942</v>
      </c>
      <c r="Q25" s="75">
        <v>598.01680327230724</v>
      </c>
      <c r="R25" s="75">
        <v>687.54627348201848</v>
      </c>
      <c r="S25" s="125"/>
      <c r="T25" s="30">
        <v>305.09312933561768</v>
      </c>
      <c r="U25" s="31">
        <v>402.8504504250634</v>
      </c>
      <c r="V25" s="31">
        <v>518.78060530753942</v>
      </c>
      <c r="W25" s="31">
        <v>598.01680327230724</v>
      </c>
      <c r="X25" s="31">
        <v>687.54627348201848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13.37265260258325</v>
      </c>
      <c r="I26" s="141">
        <v>14.49486207794668</v>
      </c>
      <c r="J26" s="141">
        <v>15.715055107426879</v>
      </c>
      <c r="K26" s="141">
        <v>17.04130744097775</v>
      </c>
      <c r="L26" s="143">
        <v>18.467054775922481</v>
      </c>
      <c r="M26" s="126"/>
      <c r="N26" s="74">
        <v>40.808340792582072</v>
      </c>
      <c r="O26" s="75">
        <v>41.510268296340158</v>
      </c>
      <c r="P26" s="75">
        <v>42.196568475478941</v>
      </c>
      <c r="Q26" s="75">
        <v>42.890663158749128</v>
      </c>
      <c r="R26" s="75">
        <v>43.618238128125142</v>
      </c>
      <c r="S26" s="125"/>
      <c r="T26" s="30">
        <v>40.808340792582072</v>
      </c>
      <c r="U26" s="31">
        <v>41.510268296340158</v>
      </c>
      <c r="V26" s="31">
        <v>42.196568475478941</v>
      </c>
      <c r="W26" s="31">
        <v>42.890663158749128</v>
      </c>
      <c r="X26" s="31">
        <v>43.618238128125142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59.014886579784061</v>
      </c>
      <c r="I27" s="97">
        <v>64.797159644530808</v>
      </c>
      <c r="J27" s="97">
        <v>70.772067736568147</v>
      </c>
      <c r="K27" s="97">
        <v>77.910103481362569</v>
      </c>
      <c r="L27" s="146">
        <v>85.16257322633794</v>
      </c>
      <c r="M27" s="126"/>
      <c r="N27" s="80">
        <v>2590.8301324082558</v>
      </c>
      <c r="O27" s="81">
        <v>2635.4480966221222</v>
      </c>
      <c r="P27" s="81">
        <v>2735.2661658712082</v>
      </c>
      <c r="Q27" s="81">
        <v>2868.525754893391</v>
      </c>
      <c r="R27" s="81">
        <v>2849.980950639992</v>
      </c>
      <c r="S27" s="125"/>
      <c r="T27" s="33">
        <v>2590.8301324082558</v>
      </c>
      <c r="U27" s="34">
        <v>2635.4480966221222</v>
      </c>
      <c r="V27" s="34">
        <v>2735.2661658712082</v>
      </c>
      <c r="W27" s="34">
        <v>2868.525754893391</v>
      </c>
      <c r="X27" s="34">
        <v>2849.980950639992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369.96322470917016</v>
      </c>
      <c r="I28" s="100">
        <f>SUM(I24:I27)</f>
        <v>373.61229853335533</v>
      </c>
      <c r="J28" s="100">
        <f>SUM(J24:J27)</f>
        <v>391.33585868579001</v>
      </c>
      <c r="K28" s="100">
        <f>SUM(K24:K27)</f>
        <v>414.62538691561969</v>
      </c>
      <c r="L28" s="144">
        <f>SUM(L24:L27)</f>
        <v>440.2193686613461</v>
      </c>
      <c r="M28" s="142"/>
      <c r="N28" s="85">
        <f>IF(H28=0,0,SUMPRODUCT(N24:N27,H24:H27)/H28)</f>
        <v>713.03921944921183</v>
      </c>
      <c r="O28" s="86">
        <f>IF(I28=0,0,SUMPRODUCT(O24:O27,I24:I27)/I28)</f>
        <v>795.12879341155394</v>
      </c>
      <c r="P28" s="86">
        <f>IF(J28=0,0,SUMPRODUCT(P24:P27,J24:J27)/J28)</f>
        <v>863.05428592200144</v>
      </c>
      <c r="Q28" s="86">
        <f>IF(K28=0,0,SUMPRODUCT(Q24:Q27,K24:K27)/K28)</f>
        <v>933.89751794583344</v>
      </c>
      <c r="R28" s="86">
        <f>IF(L28=0,0,SUMPRODUCT(R24:R27,L24:L27)/L28)</f>
        <v>973.20107069896403</v>
      </c>
      <c r="S28" s="20"/>
      <c r="T28" s="85">
        <f>IF(H28=0,0,SUMPRODUCT(T24:T27,H24:H27)/H28)</f>
        <v>713.03921944921183</v>
      </c>
      <c r="U28" s="86">
        <f>IF(I28=0,0,SUMPRODUCT(U24:U27,I24:I27)/I28)</f>
        <v>795.12879341155394</v>
      </c>
      <c r="V28" s="86">
        <f>IF(J28=0,0,SUMPRODUCT(V24:V27,J24:J27)/J28)</f>
        <v>863.05428592200144</v>
      </c>
      <c r="W28" s="86">
        <f>IF(K28=0,0,SUMPRODUCT(W24:W27,K24:K27)/K28)</f>
        <v>933.89751794583344</v>
      </c>
      <c r="X28" s="86">
        <f>IF(L28=0,0,SUMPRODUCT(X24:X27,L24:L27)/L28)</f>
        <v>973.20107069896403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263798.28897154005</v>
      </c>
      <c r="O29" s="23">
        <f>SUM(O28*I28)</f>
        <v>297069.89613654412</v>
      </c>
      <c r="P29" s="23">
        <f>SUM(P28*J28)</f>
        <v>337744.09007373778</v>
      </c>
      <c r="Q29" s="23">
        <f>SUM(Q28*K28)</f>
        <v>387217.61971782806</v>
      </c>
      <c r="R29" s="23">
        <f>SUM(R28*L28)</f>
        <v>428421.96092364402</v>
      </c>
      <c r="S29" s="24"/>
      <c r="T29" s="23">
        <f>SUM(T28*H28)</f>
        <v>263798.28897154005</v>
      </c>
      <c r="U29" s="23">
        <f>SUM(U28*I28)</f>
        <v>297069.89613654412</v>
      </c>
      <c r="V29" s="23">
        <f>SUM(V28*J28)</f>
        <v>337744.09007373778</v>
      </c>
      <c r="W29" s="23">
        <f>SUM(W28*K28)</f>
        <v>387217.61971782806</v>
      </c>
      <c r="X29" s="23">
        <f>SUM(X28*L28)</f>
        <v>428421.96092364402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</row>
    <row r="32" spans="1:32" ht="13" x14ac:dyDescent="0.3">
      <c r="A32" s="59">
        <f t="shared" ref="A32:A39" si="6">A31</f>
        <v>2</v>
      </c>
      <c r="B32" s="155"/>
      <c r="C32" s="148"/>
      <c r="D32" s="149"/>
      <c r="E32" s="156"/>
      <c r="F32" s="157" t="s">
        <v>28</v>
      </c>
      <c r="G32" s="154"/>
      <c r="H32" s="158" t="s">
        <v>15</v>
      </c>
      <c r="I32" s="159" t="s">
        <v>16</v>
      </c>
      <c r="J32" s="159" t="s">
        <v>17</v>
      </c>
      <c r="K32" s="159" t="s">
        <v>18</v>
      </c>
      <c r="L32" s="160" t="s">
        <v>19</v>
      </c>
      <c r="M32" s="149"/>
      <c r="N32" s="158" t="s">
        <v>15</v>
      </c>
      <c r="O32" s="159" t="s">
        <v>16</v>
      </c>
      <c r="P32" s="159" t="s">
        <v>17</v>
      </c>
      <c r="Q32" s="159" t="s">
        <v>18</v>
      </c>
      <c r="R32" s="159" t="s">
        <v>19</v>
      </c>
      <c r="S32" s="161"/>
      <c r="T32" s="158" t="s">
        <v>15</v>
      </c>
      <c r="U32" s="159" t="s">
        <v>16</v>
      </c>
      <c r="V32" s="159" t="s">
        <v>17</v>
      </c>
      <c r="W32" s="159" t="s">
        <v>18</v>
      </c>
      <c r="X32" s="159" t="s">
        <v>19</v>
      </c>
      <c r="Y32" s="161"/>
      <c r="Z32" s="158" t="s">
        <v>15</v>
      </c>
      <c r="AA32" s="159" t="s">
        <v>16</v>
      </c>
      <c r="AB32" s="159" t="s">
        <v>17</v>
      </c>
      <c r="AC32" s="159" t="s">
        <v>18</v>
      </c>
      <c r="AD32" s="159" t="s">
        <v>19</v>
      </c>
    </row>
    <row r="33" spans="1:30" ht="15.65" customHeight="1" x14ac:dyDescent="0.3">
      <c r="A33" s="162">
        <f t="shared" si="6"/>
        <v>2</v>
      </c>
      <c r="B33" s="52" t="s">
        <v>20</v>
      </c>
      <c r="C33" s="53"/>
      <c r="D33" s="163"/>
      <c r="E33" s="154"/>
      <c r="F33" s="164" t="s">
        <v>20</v>
      </c>
      <c r="G33" s="154"/>
      <c r="H33" s="165">
        <v>241.67448434312951</v>
      </c>
      <c r="I33" s="166">
        <v>243.40132924344641</v>
      </c>
      <c r="J33" s="166">
        <v>257.43257594775179</v>
      </c>
      <c r="K33" s="166">
        <v>270.5163677075285</v>
      </c>
      <c r="L33" s="167">
        <v>285.44452802401321</v>
      </c>
      <c r="M33" s="149"/>
      <c r="N33" s="168">
        <v>382.80423671622538</v>
      </c>
      <c r="O33" s="169">
        <v>427.31621219695711</v>
      </c>
      <c r="P33" s="169">
        <v>455.11794670306142</v>
      </c>
      <c r="Q33" s="169">
        <v>484.90856163360689</v>
      </c>
      <c r="R33" s="169">
        <v>513.27461168416983</v>
      </c>
      <c r="S33" s="161"/>
      <c r="T33" s="170">
        <v>382.80423671622538</v>
      </c>
      <c r="U33" s="171">
        <v>427.31621219695711</v>
      </c>
      <c r="V33" s="171">
        <v>455.11794670306142</v>
      </c>
      <c r="W33" s="171">
        <v>484.90856163360689</v>
      </c>
      <c r="X33" s="171">
        <v>513.27461168416983</v>
      </c>
      <c r="Y33" s="161"/>
      <c r="Z33" s="172">
        <v>0</v>
      </c>
      <c r="AA33" s="173">
        <v>0</v>
      </c>
      <c r="AB33" s="173">
        <v>0</v>
      </c>
      <c r="AC33" s="173">
        <v>0</v>
      </c>
      <c r="AD33" s="173">
        <v>0</v>
      </c>
    </row>
    <row r="34" spans="1:30" ht="13" x14ac:dyDescent="0.3">
      <c r="A34" s="162">
        <f t="shared" si="6"/>
        <v>2</v>
      </c>
      <c r="B34" s="52" t="s">
        <v>21</v>
      </c>
      <c r="C34" s="53"/>
      <c r="D34" s="174"/>
      <c r="E34" s="154"/>
      <c r="F34" s="175" t="s">
        <v>21</v>
      </c>
      <c r="G34" s="154"/>
      <c r="H34" s="165">
        <v>55.874875047539213</v>
      </c>
      <c r="I34" s="166">
        <v>50.894355232948129</v>
      </c>
      <c r="J34" s="166">
        <v>47.396935113190288</v>
      </c>
      <c r="K34" s="166">
        <v>49.139456678917227</v>
      </c>
      <c r="L34" s="167">
        <v>51.127256148293569</v>
      </c>
      <c r="M34" s="149"/>
      <c r="N34" s="176">
        <v>320.48651113261951</v>
      </c>
      <c r="O34" s="169">
        <v>411.31597915017852</v>
      </c>
      <c r="P34" s="169">
        <v>509.33522374161299</v>
      </c>
      <c r="Q34" s="169">
        <v>583.65580981546418</v>
      </c>
      <c r="R34" s="169">
        <v>668.34167187703531</v>
      </c>
      <c r="S34" s="161"/>
      <c r="T34" s="170">
        <v>320.48651113261951</v>
      </c>
      <c r="U34" s="171">
        <v>411.31597915017852</v>
      </c>
      <c r="V34" s="171">
        <v>509.33522374161299</v>
      </c>
      <c r="W34" s="171">
        <v>583.65580981546418</v>
      </c>
      <c r="X34" s="171">
        <v>668.34167187703531</v>
      </c>
      <c r="Y34" s="161"/>
      <c r="Z34" s="177">
        <v>0</v>
      </c>
      <c r="AA34" s="178">
        <v>0</v>
      </c>
      <c r="AB34" s="178">
        <v>0</v>
      </c>
      <c r="AC34" s="178">
        <v>0</v>
      </c>
      <c r="AD34" s="178">
        <v>0</v>
      </c>
    </row>
    <row r="35" spans="1:30" ht="13" x14ac:dyDescent="0.3">
      <c r="A35" s="162">
        <f t="shared" si="6"/>
        <v>2</v>
      </c>
      <c r="B35" s="52" t="s">
        <v>22</v>
      </c>
      <c r="C35" s="53"/>
      <c r="D35" s="174">
        <v>2</v>
      </c>
      <c r="E35" s="154"/>
      <c r="F35" s="179" t="s">
        <v>22</v>
      </c>
      <c r="G35" s="154"/>
      <c r="H35" s="165">
        <v>13.37265260258325</v>
      </c>
      <c r="I35" s="166">
        <v>14.49486207794668</v>
      </c>
      <c r="J35" s="166">
        <v>15.715055107426879</v>
      </c>
      <c r="K35" s="166">
        <v>17.04130744097775</v>
      </c>
      <c r="L35" s="167">
        <v>18.467054775922481</v>
      </c>
      <c r="M35" s="149"/>
      <c r="N35" s="176">
        <v>40.437443002851452</v>
      </c>
      <c r="O35" s="169">
        <v>40.977866364144298</v>
      </c>
      <c r="P35" s="169">
        <v>41.502810451349561</v>
      </c>
      <c r="Q35" s="169">
        <v>42.032589704359907</v>
      </c>
      <c r="R35" s="169">
        <v>42.593935346537052</v>
      </c>
      <c r="S35" s="161"/>
      <c r="T35" s="170">
        <v>40.437443002851452</v>
      </c>
      <c r="U35" s="171">
        <v>40.977866364144298</v>
      </c>
      <c r="V35" s="171">
        <v>41.502810451349561</v>
      </c>
      <c r="W35" s="171">
        <v>42.032589704359907</v>
      </c>
      <c r="X35" s="171">
        <v>42.593935346537052</v>
      </c>
      <c r="Y35" s="161"/>
      <c r="Z35" s="177">
        <v>0</v>
      </c>
      <c r="AA35" s="178">
        <v>0</v>
      </c>
      <c r="AB35" s="178">
        <v>0</v>
      </c>
      <c r="AC35" s="178">
        <v>0</v>
      </c>
      <c r="AD35" s="178">
        <v>0</v>
      </c>
    </row>
    <row r="36" spans="1:30" ht="13" x14ac:dyDescent="0.3">
      <c r="A36" s="162">
        <f t="shared" si="6"/>
        <v>2</v>
      </c>
      <c r="B36" s="52" t="s">
        <v>24</v>
      </c>
      <c r="C36" s="53"/>
      <c r="D36" s="174"/>
      <c r="E36" s="154"/>
      <c r="F36" s="180" t="s">
        <v>24</v>
      </c>
      <c r="G36" s="154"/>
      <c r="H36" s="181">
        <v>59.014886579784061</v>
      </c>
      <c r="I36" s="182">
        <v>64.797159644530808</v>
      </c>
      <c r="J36" s="182">
        <v>70.772067736568147</v>
      </c>
      <c r="K36" s="182">
        <v>77.910103481362569</v>
      </c>
      <c r="L36" s="183">
        <v>85.16257322633794</v>
      </c>
      <c r="M36" s="149"/>
      <c r="N36" s="184">
        <v>2589.243277979981</v>
      </c>
      <c r="O36" s="185">
        <v>2629.6443460102878</v>
      </c>
      <c r="P36" s="185">
        <v>2718.728568131296</v>
      </c>
      <c r="Q36" s="185">
        <v>2840.5646693442891</v>
      </c>
      <c r="R36" s="185">
        <v>2811.981402361921</v>
      </c>
      <c r="S36" s="161"/>
      <c r="T36" s="186">
        <v>2589.243277979981</v>
      </c>
      <c r="U36" s="187">
        <v>2629.6443460102878</v>
      </c>
      <c r="V36" s="187">
        <v>2718.728568131296</v>
      </c>
      <c r="W36" s="187">
        <v>2840.5646693442891</v>
      </c>
      <c r="X36" s="187">
        <v>2811.981402361921</v>
      </c>
      <c r="Y36" s="161"/>
      <c r="Z36" s="188">
        <v>0</v>
      </c>
      <c r="AA36" s="189">
        <v>0</v>
      </c>
      <c r="AB36" s="189">
        <v>0</v>
      </c>
      <c r="AC36" s="189">
        <v>0</v>
      </c>
      <c r="AD36" s="189">
        <v>0</v>
      </c>
    </row>
    <row r="37" spans="1:30" ht="13" x14ac:dyDescent="0.3">
      <c r="A37" s="162">
        <f t="shared" si="6"/>
        <v>2</v>
      </c>
      <c r="B37" s="56"/>
      <c r="C37" s="60"/>
      <c r="D37" s="190"/>
      <c r="E37" s="191"/>
      <c r="F37" s="192" t="s">
        <v>25</v>
      </c>
      <c r="G37" s="191"/>
      <c r="H37" s="193">
        <f>SUM(H33:H36)</f>
        <v>369.93689857303599</v>
      </c>
      <c r="I37" s="194">
        <f>SUM(I33:I36)</f>
        <v>373.58770619887196</v>
      </c>
      <c r="J37" s="194">
        <f>SUM(J33:J36)</f>
        <v>391.31663390493713</v>
      </c>
      <c r="K37" s="194">
        <f>SUM(K33:K36)</f>
        <v>414.60723530878602</v>
      </c>
      <c r="L37" s="195">
        <f>SUM(L33:L36)</f>
        <v>440.20141217456717</v>
      </c>
      <c r="M37" s="196"/>
      <c r="N37" s="197">
        <f>IF(H37=0,0,SUMPRODUCT(N33:N36,H33:H36)/H37)</f>
        <v>713.00217834180683</v>
      </c>
      <c r="O37" s="198">
        <f>IF(I37=0,0,SUMPRODUCT(O33:O36,I33:I36)/I37)</f>
        <v>792.13112133915251</v>
      </c>
      <c r="P37" s="198">
        <f>IF(J37=0,0,SUMPRODUCT(P33:P36,J33:J36)/J37)</f>
        <v>854.46246413864151</v>
      </c>
      <c r="Q37" s="198">
        <f>IF(K37=0,0,SUMPRODUCT(Q33:Q36,K33:K36)/K37)</f>
        <v>921.06740365644282</v>
      </c>
      <c r="R37" s="198">
        <f>IF(L37=0,0,SUMPRODUCT(R33:R36,L33:L36)/L37)</f>
        <v>956.25331976789801</v>
      </c>
      <c r="S37" s="199"/>
      <c r="T37" s="197">
        <f>IF(H37=0,0,SUMPRODUCT(T33:T36,H33:H36)/H37)</f>
        <v>713.00217834180683</v>
      </c>
      <c r="U37" s="198">
        <f>IF(I37=0,0,SUMPRODUCT(U33:U36,I33:I36)/I37)</f>
        <v>792.13112133915251</v>
      </c>
      <c r="V37" s="198">
        <f>IF(J37=0,0,SUMPRODUCT(V33:V36,J33:J36)/J37)</f>
        <v>854.46246413864151</v>
      </c>
      <c r="W37" s="198">
        <f>IF(K37=0,0,SUMPRODUCT(W33:W36,K33:K36)/K37)</f>
        <v>921.06740365644282</v>
      </c>
      <c r="X37" s="198">
        <f>IF(L37=0,0,SUMPRODUCT(X33:X36,L33:L36)/L37)</f>
        <v>956.25331976789801</v>
      </c>
      <c r="Y37" s="199"/>
      <c r="Z37" s="200">
        <f>SUM(Z33:Z36)</f>
        <v>0</v>
      </c>
      <c r="AA37" s="201">
        <f>SUM(AA33:AA36)</f>
        <v>0</v>
      </c>
      <c r="AB37" s="201">
        <f>SUM(AB33:AB36)</f>
        <v>0</v>
      </c>
      <c r="AC37" s="201">
        <f>SUM(AC33:AC36)</f>
        <v>0</v>
      </c>
      <c r="AD37" s="201">
        <f>SUM(AD33:AD36)</f>
        <v>0</v>
      </c>
    </row>
    <row r="38" spans="1:30" ht="15.65" customHeight="1" x14ac:dyDescent="0.3">
      <c r="A38" s="162">
        <f t="shared" si="6"/>
        <v>2</v>
      </c>
      <c r="B38" s="155"/>
      <c r="C38" s="148"/>
      <c r="D38" s="150"/>
      <c r="E38" s="202"/>
      <c r="F38" s="202"/>
      <c r="G38" s="202"/>
      <c r="H38" s="202"/>
      <c r="I38" s="202"/>
      <c r="J38" s="202"/>
      <c r="K38" s="202"/>
      <c r="L38" s="202"/>
      <c r="M38" s="202"/>
      <c r="N38" s="203">
        <f>SUM(N37*H37)</f>
        <v>263765.81453158672</v>
      </c>
      <c r="O38" s="203">
        <f>SUM(O37*I37)</f>
        <v>295930.44862983428</v>
      </c>
      <c r="P38" s="203">
        <f>SUM(P37*J37)</f>
        <v>334365.37526485126</v>
      </c>
      <c r="Q38" s="203">
        <f>SUM(Q37*K37)</f>
        <v>381881.20976303937</v>
      </c>
      <c r="R38" s="203">
        <f>SUM(R37*L37)</f>
        <v>420944.06175844662</v>
      </c>
      <c r="S38" s="204"/>
      <c r="T38" s="203">
        <f>SUM(T37*H37)</f>
        <v>263765.81453158672</v>
      </c>
      <c r="U38" s="203">
        <f>SUM(U37*I37)</f>
        <v>295930.44862983428</v>
      </c>
      <c r="V38" s="203">
        <f>SUM(V37*J37)</f>
        <v>334365.37526485126</v>
      </c>
      <c r="W38" s="203">
        <f>SUM(W37*K37)</f>
        <v>381881.20976303937</v>
      </c>
      <c r="X38" s="203">
        <f>SUM(X37*L37)</f>
        <v>420944.06175844662</v>
      </c>
      <c r="Y38" s="149"/>
      <c r="Z38" s="205">
        <f>IFERROR(Z37/SUMPRODUCT(N33:N36,H33:H36), 0)</f>
        <v>0</v>
      </c>
      <c r="AA38" s="205">
        <f>IFERROR(AA37/SUMPRODUCT(O33:O36,I33:I36), 0)</f>
        <v>0</v>
      </c>
      <c r="AB38" s="205">
        <f>IFERROR(AB37/SUMPRODUCT(P33:P36,J33:J36), 0)</f>
        <v>0</v>
      </c>
      <c r="AC38" s="205">
        <f>IFERROR(AC37/SUMPRODUCT(Q33:Q36,K33:K36), 0)</f>
        <v>0</v>
      </c>
      <c r="AD38" s="205">
        <f>IFERROR(AD37/SUMPRODUCT(R33:R36,L33:L36), 0)</f>
        <v>0</v>
      </c>
    </row>
    <row r="39" spans="1:30" ht="13" x14ac:dyDescent="0.3">
      <c r="A39" s="206">
        <f t="shared" si="6"/>
        <v>2</v>
      </c>
      <c r="B39" s="207"/>
      <c r="C39" s="148"/>
      <c r="D39" s="150"/>
      <c r="E39" s="202"/>
      <c r="F39" s="202"/>
      <c r="G39" s="202"/>
      <c r="H39" s="202"/>
      <c r="I39" s="202"/>
      <c r="J39" s="202"/>
      <c r="K39" s="202"/>
      <c r="L39" s="202"/>
      <c r="M39" s="202"/>
      <c r="N39" s="208"/>
      <c r="O39" s="202"/>
      <c r="P39" s="202"/>
      <c r="Q39" s="202"/>
      <c r="R39" s="209"/>
      <c r="S39" s="202"/>
      <c r="T39" s="202"/>
      <c r="U39" s="202"/>
      <c r="V39" s="202"/>
      <c r="W39" s="202"/>
      <c r="X39" s="202"/>
      <c r="Y39" s="149"/>
      <c r="Z39" s="210"/>
      <c r="AA39" s="210"/>
      <c r="AB39" s="210"/>
      <c r="AC39" s="210"/>
      <c r="AD39" s="211"/>
    </row>
    <row r="40" spans="1:30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</row>
    <row r="41" spans="1:30" ht="13" x14ac:dyDescent="0.3">
      <c r="A41" s="59">
        <f t="shared" ref="A41:A48" si="7">A40</f>
        <v>3</v>
      </c>
      <c r="B41" s="155"/>
      <c r="C41" s="148"/>
      <c r="D41" s="149"/>
      <c r="E41" s="156"/>
      <c r="F41" s="157" t="s">
        <v>29</v>
      </c>
      <c r="G41" s="154"/>
      <c r="H41" s="158" t="s">
        <v>15</v>
      </c>
      <c r="I41" s="159" t="s">
        <v>16</v>
      </c>
      <c r="J41" s="159" t="s">
        <v>17</v>
      </c>
      <c r="K41" s="159" t="s">
        <v>18</v>
      </c>
      <c r="L41" s="160" t="s">
        <v>19</v>
      </c>
      <c r="M41" s="149"/>
      <c r="N41" s="158" t="s">
        <v>15</v>
      </c>
      <c r="O41" s="159" t="s">
        <v>16</v>
      </c>
      <c r="P41" s="159" t="s">
        <v>17</v>
      </c>
      <c r="Q41" s="159" t="s">
        <v>18</v>
      </c>
      <c r="R41" s="159" t="s">
        <v>19</v>
      </c>
      <c r="S41" s="161"/>
      <c r="T41" s="158" t="s">
        <v>15</v>
      </c>
      <c r="U41" s="159" t="s">
        <v>16</v>
      </c>
      <c r="V41" s="159" t="s">
        <v>17</v>
      </c>
      <c r="W41" s="159" t="s">
        <v>18</v>
      </c>
      <c r="X41" s="159" t="s">
        <v>19</v>
      </c>
      <c r="Y41" s="161"/>
      <c r="Z41" s="158" t="s">
        <v>15</v>
      </c>
      <c r="AA41" s="159" t="s">
        <v>16</v>
      </c>
      <c r="AB41" s="159" t="s">
        <v>17</v>
      </c>
      <c r="AC41" s="159" t="s">
        <v>18</v>
      </c>
      <c r="AD41" s="159" t="s">
        <v>19</v>
      </c>
    </row>
    <row r="42" spans="1:30" ht="13" x14ac:dyDescent="0.3">
      <c r="A42" s="162">
        <f t="shared" si="7"/>
        <v>3</v>
      </c>
      <c r="B42" s="52" t="s">
        <v>20</v>
      </c>
      <c r="C42" s="53"/>
      <c r="D42" s="163"/>
      <c r="E42" s="154"/>
      <c r="F42" s="164" t="s">
        <v>20</v>
      </c>
      <c r="G42" s="154"/>
      <c r="H42" s="165">
        <v>209.08057823148519</v>
      </c>
      <c r="I42" s="166">
        <v>214.6483472194731</v>
      </c>
      <c r="J42" s="166">
        <v>228.4566422708848</v>
      </c>
      <c r="K42" s="166">
        <v>233.39685720992981</v>
      </c>
      <c r="L42" s="167">
        <v>245.638339490123</v>
      </c>
      <c r="M42" s="149"/>
      <c r="N42" s="168">
        <v>505.56240176654501</v>
      </c>
      <c r="O42" s="169">
        <v>557.54164964999347</v>
      </c>
      <c r="P42" s="169">
        <v>594.95444317627516</v>
      </c>
      <c r="Q42" s="169">
        <v>627.81745456636418</v>
      </c>
      <c r="R42" s="169">
        <v>666.93888557207742</v>
      </c>
      <c r="S42" s="161"/>
      <c r="T42" s="170">
        <v>505.56240176654501</v>
      </c>
      <c r="U42" s="171">
        <v>557.54164964999347</v>
      </c>
      <c r="V42" s="171">
        <v>594.95444317627516</v>
      </c>
      <c r="W42" s="171">
        <v>627.81745456636418</v>
      </c>
      <c r="X42" s="171">
        <v>666.93888557207742</v>
      </c>
      <c r="Y42" s="161"/>
      <c r="Z42" s="172">
        <v>0</v>
      </c>
      <c r="AA42" s="173">
        <v>0</v>
      </c>
      <c r="AB42" s="173">
        <v>0</v>
      </c>
      <c r="AC42" s="173">
        <v>0</v>
      </c>
      <c r="AD42" s="173">
        <v>0</v>
      </c>
    </row>
    <row r="43" spans="1:30" ht="13" x14ac:dyDescent="0.3">
      <c r="A43" s="162">
        <f t="shared" si="7"/>
        <v>3</v>
      </c>
      <c r="B43" s="52" t="s">
        <v>21</v>
      </c>
      <c r="C43" s="53"/>
      <c r="D43" s="174"/>
      <c r="E43" s="154"/>
      <c r="F43" s="175" t="s">
        <v>21</v>
      </c>
      <c r="G43" s="154"/>
      <c r="H43" s="165">
        <v>35.884806301537658</v>
      </c>
      <c r="I43" s="166">
        <v>33.513612129247043</v>
      </c>
      <c r="J43" s="166">
        <v>33.869098581226808</v>
      </c>
      <c r="K43" s="166">
        <v>35.868392734133032</v>
      </c>
      <c r="L43" s="167">
        <v>38.175544172766422</v>
      </c>
      <c r="M43" s="149"/>
      <c r="N43" s="176">
        <v>458.88915389620888</v>
      </c>
      <c r="O43" s="169">
        <v>516.14434330010681</v>
      </c>
      <c r="P43" s="169">
        <v>586.60746607958106</v>
      </c>
      <c r="Q43" s="169">
        <v>633.41564831686333</v>
      </c>
      <c r="R43" s="169">
        <v>679.60420717700902</v>
      </c>
      <c r="S43" s="161"/>
      <c r="T43" s="170">
        <v>458.88915389620888</v>
      </c>
      <c r="U43" s="171">
        <v>516.14434330010681</v>
      </c>
      <c r="V43" s="171">
        <v>586.60746607958106</v>
      </c>
      <c r="W43" s="171">
        <v>633.41564831686333</v>
      </c>
      <c r="X43" s="171">
        <v>679.60420717700902</v>
      </c>
      <c r="Y43" s="161"/>
      <c r="Z43" s="177">
        <v>0</v>
      </c>
      <c r="AA43" s="178">
        <v>0</v>
      </c>
      <c r="AB43" s="178">
        <v>0</v>
      </c>
      <c r="AC43" s="178">
        <v>0</v>
      </c>
      <c r="AD43" s="178">
        <v>0</v>
      </c>
    </row>
    <row r="44" spans="1:30" ht="13" x14ac:dyDescent="0.3">
      <c r="A44" s="162">
        <f t="shared" si="7"/>
        <v>3</v>
      </c>
      <c r="B44" s="52" t="s">
        <v>22</v>
      </c>
      <c r="C44" s="53"/>
      <c r="D44" s="174">
        <v>3</v>
      </c>
      <c r="E44" s="154"/>
      <c r="F44" s="179" t="s">
        <v>22</v>
      </c>
      <c r="G44" s="154"/>
      <c r="H44" s="165">
        <v>1.995099686400295</v>
      </c>
      <c r="I44" s="166">
        <v>1.9879890565673211</v>
      </c>
      <c r="J44" s="166">
        <v>1.974942917548645</v>
      </c>
      <c r="K44" s="166">
        <v>1.957299323095141</v>
      </c>
      <c r="L44" s="167">
        <v>1.9333500631772811</v>
      </c>
      <c r="M44" s="149"/>
      <c r="N44" s="176">
        <v>622.39692271227784</v>
      </c>
      <c r="O44" s="169">
        <v>666.31668963032848</v>
      </c>
      <c r="P44" s="169">
        <v>713.12999415141348</v>
      </c>
      <c r="Q44" s="169">
        <v>763.39950076570597</v>
      </c>
      <c r="R44" s="169">
        <v>817.15177502756944</v>
      </c>
      <c r="S44" s="161"/>
      <c r="T44" s="170">
        <v>622.39692271227784</v>
      </c>
      <c r="U44" s="171">
        <v>666.31668963032848</v>
      </c>
      <c r="V44" s="171">
        <v>713.12999415141348</v>
      </c>
      <c r="W44" s="171">
        <v>763.39950076570597</v>
      </c>
      <c r="X44" s="171">
        <v>817.15177502756944</v>
      </c>
      <c r="Y44" s="161"/>
      <c r="Z44" s="177">
        <v>0</v>
      </c>
      <c r="AA44" s="178">
        <v>0</v>
      </c>
      <c r="AB44" s="178">
        <v>0</v>
      </c>
      <c r="AC44" s="178">
        <v>0</v>
      </c>
      <c r="AD44" s="178">
        <v>0</v>
      </c>
    </row>
    <row r="45" spans="1:30" ht="13" x14ac:dyDescent="0.3">
      <c r="A45" s="162">
        <f t="shared" si="7"/>
        <v>3</v>
      </c>
      <c r="B45" s="52" t="s">
        <v>24</v>
      </c>
      <c r="C45" s="53"/>
      <c r="D45" s="174"/>
      <c r="E45" s="154"/>
      <c r="F45" s="180" t="s">
        <v>24</v>
      </c>
      <c r="G45" s="154"/>
      <c r="H45" s="181">
        <v>50.436817718602903</v>
      </c>
      <c r="I45" s="182">
        <v>58.16707959371535</v>
      </c>
      <c r="J45" s="182">
        <v>66.186988600449382</v>
      </c>
      <c r="K45" s="182">
        <v>75.277467954694075</v>
      </c>
      <c r="L45" s="183">
        <v>85.530625196457649</v>
      </c>
      <c r="M45" s="149"/>
      <c r="N45" s="184">
        <v>3370.672252846749</v>
      </c>
      <c r="O45" s="185">
        <v>3464.649369479228</v>
      </c>
      <c r="P45" s="185">
        <v>3653.7177924612629</v>
      </c>
      <c r="Q45" s="185">
        <v>3862.7577203815572</v>
      </c>
      <c r="R45" s="185">
        <v>4096.0513098174843</v>
      </c>
      <c r="S45" s="161"/>
      <c r="T45" s="186">
        <v>3370.672252846749</v>
      </c>
      <c r="U45" s="187">
        <v>3464.649369479228</v>
      </c>
      <c r="V45" s="187">
        <v>3653.7177924612629</v>
      </c>
      <c r="W45" s="187">
        <v>3862.7577203815572</v>
      </c>
      <c r="X45" s="187">
        <v>4096.0513098174843</v>
      </c>
      <c r="Y45" s="161"/>
      <c r="Z45" s="188">
        <v>0</v>
      </c>
      <c r="AA45" s="189">
        <v>0</v>
      </c>
      <c r="AB45" s="189">
        <v>0</v>
      </c>
      <c r="AC45" s="189">
        <v>0</v>
      </c>
      <c r="AD45" s="189">
        <v>0</v>
      </c>
    </row>
    <row r="46" spans="1:30" ht="13" x14ac:dyDescent="0.3">
      <c r="A46" s="162">
        <f t="shared" si="7"/>
        <v>3</v>
      </c>
      <c r="B46" s="56"/>
      <c r="C46" s="60"/>
      <c r="D46" s="190"/>
      <c r="E46" s="191"/>
      <c r="F46" s="192" t="s">
        <v>25</v>
      </c>
      <c r="G46" s="191"/>
      <c r="H46" s="193">
        <f>SUM(H42:H45)</f>
        <v>297.39730193802603</v>
      </c>
      <c r="I46" s="194">
        <f>SUM(I42:I45)</f>
        <v>308.31702799900279</v>
      </c>
      <c r="J46" s="194">
        <f>SUM(J42:J45)</f>
        <v>330.48767237010964</v>
      </c>
      <c r="K46" s="194">
        <f>SUM(K42:K45)</f>
        <v>346.50001722185203</v>
      </c>
      <c r="L46" s="195">
        <f>SUM(L42:L45)</f>
        <v>371.27785892252439</v>
      </c>
      <c r="M46" s="196"/>
      <c r="N46" s="197">
        <f>IF(H46=0,0,SUMPRODUCT(N42:N45,H42:H45)/H46)</f>
        <v>986.62009269787609</v>
      </c>
      <c r="O46" s="198">
        <f>IF(I46=0,0,SUMPRODUCT(O42:O45,I42:I45)/I46)</f>
        <v>1102.1980299270422</v>
      </c>
      <c r="P46" s="198">
        <f>IF(J46=0,0,SUMPRODUCT(P42:P45,J42:J45)/J46)</f>
        <v>1207.3858202874119</v>
      </c>
      <c r="Q46" s="198">
        <f>IF(K46=0,0,SUMPRODUCT(Q42:Q45,K42:K45)/K46)</f>
        <v>1331.9567703757843</v>
      </c>
      <c r="R46" s="198">
        <f>IF(L46=0,0,SUMPRODUCT(R42:R45,L42:L45)/L46)</f>
        <v>1458.9819392886859</v>
      </c>
      <c r="S46" s="199"/>
      <c r="T46" s="197">
        <f>IF(H46=0,0,SUMPRODUCT(T42:T45,H42:H45)/H46)</f>
        <v>986.62009269787609</v>
      </c>
      <c r="U46" s="198">
        <f>IF(I46=0,0,SUMPRODUCT(U42:U45,I42:I45)/I46)</f>
        <v>1102.1980299270422</v>
      </c>
      <c r="V46" s="198">
        <f>IF(J46=0,0,SUMPRODUCT(V42:V45,J42:J45)/J46)</f>
        <v>1207.3858202874119</v>
      </c>
      <c r="W46" s="198">
        <f>IF(K46=0,0,SUMPRODUCT(W42:W45,K42:K45)/K46)</f>
        <v>1331.9567703757843</v>
      </c>
      <c r="X46" s="198">
        <f>IF(L46=0,0,SUMPRODUCT(X42:X45,L42:L45)/L46)</f>
        <v>1458.9819392886859</v>
      </c>
      <c r="Y46" s="199"/>
      <c r="Z46" s="200">
        <f>SUM(Z42:Z45)</f>
        <v>0</v>
      </c>
      <c r="AA46" s="201">
        <f>SUM(AA42:AA45)</f>
        <v>0</v>
      </c>
      <c r="AB46" s="201">
        <f>SUM(AB42:AB45)</f>
        <v>0</v>
      </c>
      <c r="AC46" s="201">
        <f>SUM(AC42:AC45)</f>
        <v>0</v>
      </c>
      <c r="AD46" s="201">
        <f>SUM(AD42:AD45)</f>
        <v>0</v>
      </c>
    </row>
    <row r="47" spans="1:30" ht="15.65" customHeight="1" x14ac:dyDescent="0.3">
      <c r="A47" s="162">
        <f t="shared" si="7"/>
        <v>3</v>
      </c>
      <c r="B47" s="155"/>
      <c r="C47" s="148"/>
      <c r="D47" s="150"/>
      <c r="E47" s="202"/>
      <c r="F47" s="202"/>
      <c r="G47" s="202"/>
      <c r="H47" s="202"/>
      <c r="I47" s="202"/>
      <c r="J47" s="202"/>
      <c r="K47" s="202"/>
      <c r="L47" s="202"/>
      <c r="M47" s="202"/>
      <c r="N47" s="203">
        <f>SUM(N46*H46)</f>
        <v>293418.15360619349</v>
      </c>
      <c r="O47" s="203">
        <f>SUM(O46*I46)</f>
        <v>339826.42085346155</v>
      </c>
      <c r="P47" s="203">
        <f>SUM(P46*J46)</f>
        <v>399026.12939946225</v>
      </c>
      <c r="Q47" s="203">
        <f>SUM(Q46*K46)</f>
        <v>461523.04387397168</v>
      </c>
      <c r="R47" s="203">
        <f>SUM(R46*L46)</f>
        <v>541687.69062573579</v>
      </c>
      <c r="S47" s="204"/>
      <c r="T47" s="203">
        <f>SUM(T46*H46)</f>
        <v>293418.15360619349</v>
      </c>
      <c r="U47" s="203">
        <f>SUM(U46*I46)</f>
        <v>339826.42085346155</v>
      </c>
      <c r="V47" s="203">
        <f>SUM(V46*J46)</f>
        <v>399026.12939946225</v>
      </c>
      <c r="W47" s="203">
        <f>SUM(W46*K46)</f>
        <v>461523.04387397168</v>
      </c>
      <c r="X47" s="203">
        <f>SUM(X46*L46)</f>
        <v>541687.69062573579</v>
      </c>
      <c r="Y47" s="149"/>
      <c r="Z47" s="205">
        <f>IFERROR(Z46/SUMPRODUCT(N42:N45,H42:H45), 0)</f>
        <v>0</v>
      </c>
      <c r="AA47" s="205">
        <f>IFERROR(AA46/SUMPRODUCT(O42:O45,I42:I45), 0)</f>
        <v>0</v>
      </c>
      <c r="AB47" s="205">
        <f>IFERROR(AB46/SUMPRODUCT(P42:P45,J42:J45), 0)</f>
        <v>0</v>
      </c>
      <c r="AC47" s="205">
        <f>IFERROR(AC46/SUMPRODUCT(Q42:Q45,K42:K45), 0)</f>
        <v>0</v>
      </c>
      <c r="AD47" s="205">
        <f>IFERROR(AD46/SUMPRODUCT(R42:R45,L42:L45), 0)</f>
        <v>0</v>
      </c>
    </row>
    <row r="48" spans="1:30" ht="13" x14ac:dyDescent="0.3">
      <c r="A48" s="206">
        <f t="shared" si="7"/>
        <v>3</v>
      </c>
      <c r="B48" s="207"/>
      <c r="C48" s="148"/>
      <c r="D48" s="150"/>
      <c r="E48" s="202"/>
      <c r="F48" s="202"/>
      <c r="G48" s="202"/>
      <c r="H48" s="202"/>
      <c r="I48" s="202"/>
      <c r="J48" s="202"/>
      <c r="K48" s="202"/>
      <c r="L48" s="202"/>
      <c r="M48" s="202"/>
      <c r="N48" s="208"/>
      <c r="O48" s="202"/>
      <c r="P48" s="202"/>
      <c r="Q48" s="202"/>
      <c r="R48" s="209"/>
      <c r="S48" s="202"/>
      <c r="T48" s="202"/>
      <c r="U48" s="202"/>
      <c r="V48" s="202"/>
      <c r="W48" s="202"/>
      <c r="X48" s="202"/>
      <c r="Y48" s="149"/>
      <c r="Z48" s="210"/>
      <c r="AA48" s="210"/>
      <c r="AB48" s="210"/>
      <c r="AC48" s="210"/>
      <c r="AD48" s="211"/>
    </row>
    <row r="49" spans="1:32" ht="13" x14ac:dyDescent="0.3">
      <c r="A49" s="137" t="e">
        <f>#REF!+1</f>
        <v>#REF!</v>
      </c>
      <c r="B49" s="135"/>
      <c r="C49" s="124"/>
      <c r="D49" s="7"/>
      <c r="E49" s="120"/>
      <c r="F49" s="120"/>
      <c r="G49" s="120"/>
      <c r="H49" s="120"/>
      <c r="I49" s="120"/>
      <c r="J49" s="120"/>
      <c r="K49" s="120"/>
      <c r="L49" s="120"/>
      <c r="M49" s="120"/>
      <c r="N49" s="129"/>
      <c r="O49" s="120"/>
      <c r="P49" s="120"/>
      <c r="Q49" s="120"/>
      <c r="R49" s="25"/>
      <c r="S49" s="120"/>
      <c r="T49" s="120"/>
      <c r="U49" s="120"/>
      <c r="V49" s="120"/>
      <c r="W49" s="120"/>
      <c r="X49" s="120"/>
      <c r="Y49" s="126"/>
      <c r="Z49" s="5"/>
      <c r="AA49" s="5"/>
      <c r="AB49" s="5"/>
      <c r="AC49" s="5"/>
      <c r="AD49" s="3"/>
      <c r="AE49" s="5"/>
      <c r="AF49" s="132"/>
    </row>
    <row r="50" spans="1:32" x14ac:dyDescent="0.25">
      <c r="A50" s="130"/>
      <c r="B50" s="124"/>
      <c r="C50" s="124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</row>
    <row r="51" spans="1:32" ht="15.5" x14ac:dyDescent="0.35">
      <c r="A51" s="130"/>
      <c r="B51" s="124"/>
      <c r="C51" s="124"/>
      <c r="D51" s="91" t="s">
        <v>30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32"/>
    </row>
    <row r="52" spans="1:32" ht="13" x14ac:dyDescent="0.3">
      <c r="A52" s="130"/>
      <c r="B52" s="124"/>
      <c r="C52" s="124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07" t="s">
        <v>31</v>
      </c>
      <c r="U52" s="138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32"/>
    </row>
    <row r="53" spans="1:32" ht="13" x14ac:dyDescent="0.3">
      <c r="A53" s="130"/>
      <c r="B53" s="124"/>
      <c r="C53" s="124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2" t="s">
        <v>32</v>
      </c>
      <c r="U53" s="120"/>
      <c r="V53" s="108">
        <f>T15</f>
        <v>81.008446339733212</v>
      </c>
      <c r="W53" s="120"/>
      <c r="X53" s="120"/>
      <c r="Y53" s="120"/>
      <c r="Z53" s="120"/>
      <c r="AA53" s="120"/>
      <c r="AB53" s="120"/>
      <c r="AC53" s="120"/>
      <c r="AD53" s="120"/>
      <c r="AE53" s="120"/>
      <c r="AF53" s="132"/>
    </row>
    <row r="54" spans="1:32" ht="13" x14ac:dyDescent="0.3">
      <c r="A54" s="130"/>
      <c r="B54" s="124"/>
      <c r="C54" s="124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2" t="s">
        <v>33</v>
      </c>
      <c r="U54" s="120"/>
      <c r="V54" s="109">
        <f>U15</f>
        <v>81.357988076095197</v>
      </c>
      <c r="W54" s="120"/>
      <c r="X54" s="120"/>
      <c r="Y54" s="120"/>
      <c r="Z54" s="120"/>
      <c r="AA54" s="120"/>
      <c r="AB54" s="120"/>
      <c r="AC54" s="120"/>
      <c r="AD54" s="120"/>
      <c r="AE54" s="120"/>
      <c r="AF54" s="132"/>
    </row>
    <row r="55" spans="1:32" ht="13" x14ac:dyDescent="0.3">
      <c r="A55" s="130"/>
      <c r="B55" s="124"/>
      <c r="C55" s="124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2" t="s">
        <v>34</v>
      </c>
      <c r="U55" s="120"/>
      <c r="V55" s="109">
        <f>V15</f>
        <v>81.536508046783368</v>
      </c>
      <c r="W55" s="120"/>
      <c r="X55" s="120"/>
      <c r="Y55" s="120"/>
      <c r="Z55" s="120"/>
      <c r="AA55" s="120"/>
      <c r="AB55" s="120"/>
      <c r="AC55" s="120"/>
      <c r="AD55" s="120"/>
      <c r="AE55" s="120"/>
      <c r="AF55" s="132"/>
    </row>
    <row r="56" spans="1:32" ht="13" x14ac:dyDescent="0.3">
      <c r="A56" s="130"/>
      <c r="B56" s="124"/>
      <c r="C56" s="124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2" t="s">
        <v>35</v>
      </c>
      <c r="U56" s="120"/>
      <c r="V56" s="109">
        <f>W15</f>
        <v>81.615193928952536</v>
      </c>
      <c r="W56" s="120"/>
      <c r="X56" s="120"/>
      <c r="Y56" s="120"/>
      <c r="Z56" s="120"/>
      <c r="AA56" s="120"/>
      <c r="AB56" s="120"/>
      <c r="AC56" s="120"/>
      <c r="AD56" s="120"/>
      <c r="AE56" s="120"/>
      <c r="AF56" s="132"/>
    </row>
    <row r="57" spans="1:32" ht="13" x14ac:dyDescent="0.3">
      <c r="A57" s="130"/>
      <c r="B57" s="124"/>
      <c r="C57" s="124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2" t="s">
        <v>36</v>
      </c>
      <c r="U57" s="120"/>
      <c r="V57" s="109">
        <f>X15</f>
        <v>81.608764689034359</v>
      </c>
      <c r="W57" s="120"/>
      <c r="X57" s="120"/>
      <c r="Y57" s="120"/>
      <c r="Z57" s="120"/>
      <c r="AA57" s="120"/>
      <c r="AB57" s="120"/>
      <c r="AC57" s="120"/>
      <c r="AD57" s="120"/>
      <c r="AE57" s="120"/>
      <c r="AF57" s="132"/>
    </row>
    <row r="58" spans="1:32" ht="13" x14ac:dyDescent="0.3">
      <c r="A58" s="130"/>
      <c r="B58" s="124"/>
      <c r="C58" s="124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2"/>
      <c r="U58" s="120"/>
      <c r="V58" s="109"/>
      <c r="W58" s="120"/>
      <c r="X58" s="120"/>
      <c r="Y58" s="120"/>
      <c r="Z58" s="120"/>
      <c r="AA58" s="120"/>
      <c r="AB58" s="120"/>
      <c r="AC58" s="120"/>
      <c r="AD58" s="120"/>
      <c r="AE58" s="120"/>
      <c r="AF58" s="132"/>
    </row>
    <row r="59" spans="1:32" ht="13" x14ac:dyDescent="0.3">
      <c r="A59" s="130"/>
      <c r="B59" s="124"/>
      <c r="C59" s="124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" t="s">
        <v>37</v>
      </c>
      <c r="U59" s="120"/>
      <c r="V59" s="109">
        <f>T13</f>
        <v>421.00563775177761</v>
      </c>
      <c r="W59" s="120"/>
      <c r="X59" s="120"/>
      <c r="Y59" s="120"/>
      <c r="Z59" s="120"/>
      <c r="AA59" s="120"/>
      <c r="AB59" s="120"/>
      <c r="AC59" s="120"/>
      <c r="AD59" s="120"/>
      <c r="AE59" s="120"/>
      <c r="AF59" s="132"/>
    </row>
    <row r="60" spans="1:32" ht="13" x14ac:dyDescent="0.3">
      <c r="A60" s="130"/>
      <c r="B60" s="124"/>
      <c r="C60" s="124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2" t="s">
        <v>38</v>
      </c>
      <c r="U60" s="120"/>
      <c r="V60" s="109">
        <f>U13</f>
        <v>468.84298270771723</v>
      </c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2" t="s">
        <v>39</v>
      </c>
      <c r="U61" s="120"/>
      <c r="V61" s="109">
        <f>V13</f>
        <v>500.43669166214551</v>
      </c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40</v>
      </c>
      <c r="U62" s="120"/>
      <c r="V62" s="109">
        <f>W13</f>
        <v>531.11231390374132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41</v>
      </c>
      <c r="U63" s="120"/>
      <c r="V63" s="109">
        <f>X13</f>
        <v>563.45658576130108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/>
      <c r="U64" s="120"/>
      <c r="V64" s="109"/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42</v>
      </c>
      <c r="U65" s="120"/>
      <c r="V65" s="109">
        <f>T14</f>
        <v>348.29504419450359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43</v>
      </c>
      <c r="U66" s="120"/>
      <c r="V66" s="109">
        <f>U14</f>
        <v>434.09234982086679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 t="s">
        <v>44</v>
      </c>
      <c r="U67" s="120"/>
      <c r="V67" s="109">
        <f>V14</f>
        <v>533.15410347766669</v>
      </c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45</v>
      </c>
      <c r="U68" s="120"/>
      <c r="V68" s="109">
        <f>W14</f>
        <v>602.22075904798157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46</v>
      </c>
      <c r="U69" s="120"/>
      <c r="V69" s="109">
        <f>X14</f>
        <v>678.39621053720009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/>
      <c r="U70" s="120"/>
      <c r="V70" s="109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47</v>
      </c>
      <c r="U71" s="120"/>
      <c r="V71" s="110"/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48</v>
      </c>
      <c r="U72" s="120"/>
      <c r="V72" s="110"/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49</v>
      </c>
      <c r="U73" s="120"/>
      <c r="V73" s="110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50</v>
      </c>
      <c r="U74" s="120"/>
      <c r="V74" s="110"/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51</v>
      </c>
      <c r="U75" s="120"/>
      <c r="V75" s="110"/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52</v>
      </c>
      <c r="U77" s="120"/>
      <c r="V77" s="110"/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53</v>
      </c>
      <c r="U78" s="120"/>
      <c r="V78" s="110"/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54</v>
      </c>
      <c r="U79" s="120"/>
      <c r="V79" s="110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55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56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57</v>
      </c>
      <c r="U83" s="120"/>
      <c r="V83" s="109">
        <f>T16</f>
        <v>2823.7493518166798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58</v>
      </c>
      <c r="U84" s="120"/>
      <c r="V84" s="109">
        <f>U16</f>
        <v>2890.325564340792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59</v>
      </c>
      <c r="U85" s="120"/>
      <c r="V85" s="109">
        <f>V16</f>
        <v>3022.2676810154276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60</v>
      </c>
      <c r="U86" s="120"/>
      <c r="V86" s="109">
        <f>W16</f>
        <v>3182.9590951637006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61</v>
      </c>
      <c r="U87" s="120"/>
      <c r="V87" s="111">
        <f>X16</f>
        <v>3253.8844345455368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x14ac:dyDescent="0.25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x14ac:dyDescent="0.25">
      <c r="A89" s="130"/>
      <c r="B89" s="124"/>
      <c r="C89" s="124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90"/>
    </row>
    <row r="90" spans="1:32" x14ac:dyDescent="0.25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9"/>
      <c r="B91" s="121"/>
      <c r="C91" s="121"/>
      <c r="D91" s="61" t="s">
        <v>5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</row>
    <row r="92" spans="1:32" ht="13" x14ac:dyDescent="0.3">
      <c r="A92" s="140"/>
      <c r="B92" s="122"/>
      <c r="C92" s="122"/>
      <c r="D92" s="1" t="s">
        <v>6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25">
      <c r="A93" s="140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25">
      <c r="A94" s="140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25">
      <c r="A95" s="140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25">
      <c r="A96" s="140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25">
      <c r="A97" s="140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</row>
    <row r="98" spans="1:32" x14ac:dyDescent="0.25">
      <c r="A98" s="140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</row>
    <row r="99" spans="1:32" x14ac:dyDescent="0.25">
      <c r="A99" s="140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</row>
    <row r="100" spans="1:32" x14ac:dyDescent="0.25">
      <c r="A100" s="140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</row>
    <row r="101" spans="1:32" x14ac:dyDescent="0.25">
      <c r="A101" s="140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J105" s="122"/>
      <c r="K105" s="122"/>
      <c r="L105" s="122"/>
      <c r="M105" s="122"/>
    </row>
    <row r="106" spans="1:32" x14ac:dyDescent="0.25">
      <c r="J106" s="122"/>
      <c r="K106" s="122"/>
      <c r="L106" s="122"/>
      <c r="M106" s="122"/>
    </row>
    <row r="107" spans="1:32" x14ac:dyDescent="0.25">
      <c r="J107" s="122"/>
      <c r="K107" s="122"/>
      <c r="L107" s="122"/>
      <c r="M107" s="122"/>
    </row>
    <row r="108" spans="1:32" x14ac:dyDescent="0.25">
      <c r="J108" s="122"/>
      <c r="K108" s="122"/>
      <c r="L108" s="122"/>
      <c r="M108" s="122"/>
    </row>
    <row r="109" spans="1:32" x14ac:dyDescent="0.25">
      <c r="J109" s="122"/>
      <c r="K109" s="122"/>
      <c r="L109" s="122"/>
      <c r="M109" s="122"/>
    </row>
    <row r="110" spans="1:32" x14ac:dyDescent="0.25">
      <c r="J110" s="122"/>
      <c r="K110" s="122"/>
      <c r="L110" s="122"/>
      <c r="M110" s="122"/>
    </row>
    <row r="111" spans="1:32" x14ac:dyDescent="0.25">
      <c r="J111" s="122"/>
      <c r="K111" s="122"/>
      <c r="L111" s="122"/>
      <c r="M111" s="122"/>
    </row>
    <row r="112" spans="1:32" x14ac:dyDescent="0.25">
      <c r="J112" s="122"/>
      <c r="K112" s="122"/>
      <c r="L112" s="122"/>
      <c r="M112" s="122"/>
    </row>
    <row r="113" spans="10:13" x14ac:dyDescent="0.25">
      <c r="J113" s="122"/>
      <c r="K113" s="122"/>
      <c r="L113" s="122"/>
      <c r="M113" s="122"/>
    </row>
    <row r="114" spans="10:13" x14ac:dyDescent="0.25">
      <c r="J114" s="122"/>
      <c r="K114" s="122"/>
      <c r="L114" s="122"/>
      <c r="M114" s="122"/>
    </row>
    <row r="115" spans="10:13" x14ac:dyDescent="0.25">
      <c r="J115" s="122"/>
      <c r="K115" s="122"/>
      <c r="L115" s="122"/>
      <c r="M115" s="122"/>
    </row>
    <row r="116" spans="10:13" x14ac:dyDescent="0.25">
      <c r="J116" s="122"/>
      <c r="K116" s="122"/>
      <c r="L116" s="122"/>
      <c r="M116" s="122"/>
    </row>
    <row r="117" spans="10:13" x14ac:dyDescent="0.25">
      <c r="J117" s="122"/>
      <c r="K117" s="122"/>
      <c r="L117" s="122"/>
      <c r="M117" s="122"/>
    </row>
    <row r="118" spans="10:13" x14ac:dyDescent="0.25">
      <c r="J118" s="122"/>
      <c r="K118" s="122"/>
      <c r="L118" s="122"/>
      <c r="M118" s="122"/>
    </row>
    <row r="119" spans="10:13" x14ac:dyDescent="0.25">
      <c r="J119" s="122"/>
      <c r="K119" s="122"/>
      <c r="L119" s="122"/>
      <c r="M119" s="122"/>
    </row>
    <row r="120" spans="10:13" x14ac:dyDescent="0.25">
      <c r="J120" s="122"/>
      <c r="K120" s="122"/>
      <c r="L120" s="122"/>
      <c r="M120" s="122"/>
    </row>
    <row r="121" spans="10:13" x14ac:dyDescent="0.25">
      <c r="J121" s="122"/>
      <c r="K121" s="122"/>
      <c r="L121" s="122"/>
      <c r="M121" s="122"/>
    </row>
    <row r="122" spans="10:13" x14ac:dyDescent="0.25">
      <c r="J122" s="122"/>
      <c r="K122" s="122"/>
      <c r="L122" s="122"/>
      <c r="M122" s="122"/>
    </row>
    <row r="123" spans="10:13" x14ac:dyDescent="0.25">
      <c r="J123" s="122"/>
      <c r="K123" s="122"/>
      <c r="L123" s="122"/>
      <c r="M123" s="122"/>
    </row>
    <row r="124" spans="10:13" x14ac:dyDescent="0.25">
      <c r="J124" s="122"/>
      <c r="K124" s="122"/>
      <c r="L124" s="122"/>
      <c r="M124" s="122"/>
    </row>
    <row r="125" spans="10:13" x14ac:dyDescent="0.25">
      <c r="J125" s="122"/>
      <c r="K125" s="122"/>
      <c r="L125" s="122"/>
      <c r="M125" s="122"/>
    </row>
    <row r="126" spans="10:13" x14ac:dyDescent="0.25">
      <c r="J126" s="122"/>
      <c r="K126" s="122"/>
      <c r="L126" s="122"/>
      <c r="M126" s="122"/>
    </row>
    <row r="127" spans="10:13" x14ac:dyDescent="0.25">
      <c r="J127" s="122"/>
      <c r="K127" s="122"/>
      <c r="L127" s="122"/>
      <c r="M127" s="122"/>
    </row>
    <row r="128" spans="10:13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2026-09-01T10:53:28Z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