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template" sheetId="1" state="visible" r:id="rId1"/>
    <sheet name="_CombineConfig" sheetId="2" state="hidden" r:id="rId2"/>
    <sheet name="Output| Specialty RPT" sheetId="3" state="hidden" r:id="rId3"/>
    <sheet name="RPT1" sheetId="4" state="hidden" r:id="rId4"/>
    <sheet name="RPT2" sheetId="5" state="hidden" r:id="rId5"/>
    <sheet name="RPT3" sheetId="6" state="hidden" r:id="rId6"/>
  </sheets>
  <definedNames>
    <definedName name="Combine">'_CombineConfig'!$A$1</definedName>
    <definedName name="rng_pasteID">'_CombineConfig'!$A$2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#,##0.000_);[Red]\(#,##0.000\)"/>
    <numFmt numFmtId="166" formatCode="&quot;$&quot;#,##0_);[Red]\(&quot;$&quot;#,##0\)"/>
    <numFmt numFmtId="167" formatCode="yyyy-mm-dd h:mm:ss"/>
    <numFmt numFmtId="168" formatCode="m/d/yyyy"/>
  </numFmts>
  <fonts count="8">
    <font>
      <name val="Aptos Narrow"/>
      <family val="2"/>
      <color theme="1"/>
      <sz val="11"/>
      <scheme val="minor"/>
    </font>
    <font>
      <name val="Arial"/>
      <family val="2"/>
      <b val="1"/>
      <color theme="1"/>
      <sz val="14"/>
    </font>
    <font>
      <name val="Arial"/>
      <family val="2"/>
      <color theme="1"/>
      <sz val="10"/>
    </font>
    <font>
      <name val="Arial"/>
      <family val="2"/>
      <b val="1"/>
      <i val="1"/>
      <color rgb="FFFF0000"/>
      <sz val="10"/>
    </font>
    <font>
      <name val="Arial"/>
      <family val="2"/>
      <sz val="10"/>
    </font>
    <font>
      <name val="Arial"/>
      <family val="2"/>
      <b val="1"/>
      <i val="1"/>
      <color theme="1"/>
      <sz val="10"/>
    </font>
    <font>
      <name val="Arial"/>
      <family val="2"/>
      <i val="1"/>
      <color rgb="FFFF0000"/>
      <sz val="10"/>
    </font>
    <font>
      <name val="Arial"/>
      <family val="2"/>
      <b val="1"/>
      <color theme="1"/>
      <sz val="10"/>
    </font>
  </fonts>
  <fills count="10">
    <fill>
      <patternFill/>
    </fill>
    <fill>
      <patternFill patternType="gray125"/>
    </fill>
    <fill>
      <patternFill patternType="gray0625"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pivotButton="0" quotePrefix="0" xfId="0"/>
    <xf numFmtId="0" fontId="2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4" fillId="2" borderId="0" pivotButton="0" quotePrefix="0" xfId="0"/>
    <xf numFmtId="0" fontId="3" fillId="3" borderId="0" pivotButton="0" quotePrefix="0" xfId="0"/>
    <xf numFmtId="0" fontId="5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center"/>
    </xf>
    <xf numFmtId="0" fontId="7" fillId="4" borderId="1" applyAlignment="1" pivotButton="0" quotePrefix="0" xfId="0">
      <alignment horizontal="center" wrapText="1"/>
    </xf>
    <xf numFmtId="0" fontId="7" fillId="4" borderId="2" applyAlignment="1" pivotButton="0" quotePrefix="0" xfId="0">
      <alignment horizontal="center" wrapText="1"/>
    </xf>
    <xf numFmtId="0" fontId="7" fillId="5" borderId="3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7" fillId="4" borderId="0" pivotButton="0" quotePrefix="0" xfId="0"/>
    <xf numFmtId="0" fontId="2" fillId="6" borderId="1" applyAlignment="1" pivotButton="0" quotePrefix="0" xfId="0">
      <alignment horizontal="right"/>
    </xf>
    <xf numFmtId="0" fontId="2" fillId="6" borderId="4" applyAlignment="1" pivotButton="0" quotePrefix="0" xfId="0">
      <alignment horizontal="right"/>
    </xf>
    <xf numFmtId="0" fontId="4" fillId="5" borderId="4" applyAlignment="1" pivotButton="0" quotePrefix="0" xfId="0">
      <alignment horizontal="right"/>
    </xf>
    <xf numFmtId="0" fontId="7" fillId="0" borderId="0" applyAlignment="1" pivotButton="0" quotePrefix="0" xfId="0">
      <alignment horizontal="left" indent="1"/>
    </xf>
    <xf numFmtId="0" fontId="4" fillId="6" borderId="4" applyAlignment="1" pivotButton="0" quotePrefix="0" xfId="0">
      <alignment horizontal="right"/>
    </xf>
    <xf numFmtId="14" fontId="2" fillId="6" borderId="4" applyAlignment="1" pivotButton="0" quotePrefix="0" xfId="0">
      <alignment horizontal="right"/>
    </xf>
    <xf numFmtId="14" fontId="4" fillId="5" borderId="4" applyAlignment="1" pivotButton="0" quotePrefix="0" xfId="0">
      <alignment horizontal="right"/>
    </xf>
    <xf numFmtId="0" fontId="2" fillId="7" borderId="4" applyAlignment="1" pivotButton="0" quotePrefix="0" xfId="0">
      <alignment horizontal="right"/>
    </xf>
    <xf numFmtId="0" fontId="4" fillId="7" borderId="4" applyAlignment="1" pivotButton="0" quotePrefix="0" xfId="0">
      <alignment horizontal="right"/>
    </xf>
    <xf numFmtId="0" fontId="2" fillId="8" borderId="0" applyProtection="1" pivotButton="0" quotePrefix="0" xfId="0">
      <protection locked="0" hidden="0"/>
    </xf>
    <xf numFmtId="0" fontId="6" fillId="8" borderId="0" applyAlignment="1" pivotButton="0" quotePrefix="0" xfId="0">
      <alignment horizontal="center"/>
    </xf>
    <xf numFmtId="0" fontId="7" fillId="8" borderId="1" applyAlignment="1" pivotButton="0" quotePrefix="0" xfId="0">
      <alignment horizontal="center" wrapText="1"/>
    </xf>
    <xf numFmtId="0" fontId="7" fillId="8" borderId="2" applyAlignment="1" pivotButton="0" quotePrefix="0" xfId="0">
      <alignment horizontal="center" wrapText="1"/>
    </xf>
    <xf numFmtId="0" fontId="7" fillId="8" borderId="3" applyAlignment="1" pivotButton="0" quotePrefix="0" xfId="0">
      <alignment horizontal="center"/>
    </xf>
    <xf numFmtId="0" fontId="4" fillId="8" borderId="4" applyAlignment="1" pivotButton="0" quotePrefix="0" xfId="0">
      <alignment horizontal="right"/>
    </xf>
    <xf numFmtId="14" fontId="4" fillId="8" borderId="4" applyAlignment="1" pivotButton="0" quotePrefix="0" xfId="0">
      <alignment horizontal="right"/>
    </xf>
    <xf numFmtId="0" fontId="0" fillId="8" borderId="0" pivotButton="0" quotePrefix="0" xfId="0"/>
    <xf numFmtId="14" fontId="2" fillId="9" borderId="4" applyAlignment="1" applyProtection="1" pivotButton="0" quotePrefix="0" xfId="0">
      <alignment horizontal="right"/>
      <protection locked="0" hidden="0"/>
    </xf>
    <xf numFmtId="0" fontId="7" fillId="0" borderId="0" applyAlignment="1" applyProtection="1" pivotButton="0" quotePrefix="0" xfId="0">
      <alignment horizontal="left" indent="1"/>
      <protection locked="0" hidden="0"/>
    </xf>
    <xf numFmtId="0" fontId="2" fillId="5" borderId="4" applyAlignment="1" pivotButton="0" quotePrefix="0" xfId="0">
      <alignment horizontal="right"/>
    </xf>
    <xf numFmtId="38" fontId="2" fillId="6" borderId="4" applyAlignment="1" pivotButton="0" quotePrefix="0" xfId="0">
      <alignment horizontal="right"/>
    </xf>
    <xf numFmtId="38" fontId="2" fillId="5" borderId="4" applyAlignment="1" pivotButton="0" quotePrefix="0" xfId="0">
      <alignment horizontal="right"/>
    </xf>
    <xf numFmtId="164" fontId="2" fillId="6" borderId="4" applyAlignment="1" pivotButton="0" quotePrefix="0" xfId="0">
      <alignment horizontal="right"/>
    </xf>
    <xf numFmtId="164" fontId="2" fillId="5" borderId="4" applyAlignment="1" pivotButton="0" quotePrefix="0" xfId="0">
      <alignment horizontal="right"/>
    </xf>
    <xf numFmtId="0" fontId="7" fillId="4" borderId="0" applyAlignment="1" pivotButton="0" quotePrefix="0" xfId="0">
      <alignment horizontal="left"/>
    </xf>
    <xf numFmtId="165" fontId="2" fillId="6" borderId="4" applyAlignment="1" pivotButton="0" quotePrefix="0" xfId="0">
      <alignment horizontal="right"/>
    </xf>
    <xf numFmtId="165" fontId="2" fillId="5" borderId="4" applyAlignment="1" pivotButton="0" quotePrefix="0" xfId="0">
      <alignment horizontal="right"/>
    </xf>
    <xf numFmtId="166" fontId="2" fillId="6" borderId="4" applyAlignment="1" pivotButton="0" quotePrefix="0" xfId="0">
      <alignment horizontal="right"/>
    </xf>
    <xf numFmtId="166" fontId="2" fillId="5" borderId="4" applyAlignment="1" pivotButton="0" quotePrefix="0" xfId="0">
      <alignment horizontal="right"/>
    </xf>
    <xf numFmtId="164" fontId="2" fillId="6" borderId="2" applyAlignment="1" pivotButton="0" quotePrefix="0" xfId="0">
      <alignment horizontal="right"/>
    </xf>
    <xf numFmtId="164" fontId="2" fillId="6" borderId="4" applyAlignment="1" pivotButton="0" quotePrefix="0" xfId="0">
      <alignment horizontal="right"/>
    </xf>
    <xf numFmtId="164" fontId="2" fillId="5" borderId="4" applyAlignment="1" pivotButton="0" quotePrefix="0" xfId="0">
      <alignment horizontal="right"/>
    </xf>
    <xf numFmtId="165" fontId="2" fillId="6" borderId="4" applyAlignment="1" pivotButton="0" quotePrefix="0" xfId="0">
      <alignment horizontal="right"/>
    </xf>
    <xf numFmtId="165" fontId="2" fillId="5" borderId="4" applyAlignment="1" pivotButton="0" quotePrefix="0" xfId="0">
      <alignment horizontal="right"/>
    </xf>
    <xf numFmtId="166" fontId="2" fillId="6" borderId="4" applyAlignment="1" pivotButton="0" quotePrefix="0" xfId="0">
      <alignment horizontal="right"/>
    </xf>
    <xf numFmtId="166" fontId="2" fillId="5" borderId="4" applyAlignment="1" pivotButton="0" quotePrefix="0" xfId="0">
      <alignment horizontal="right"/>
    </xf>
    <xf numFmtId="164" fontId="2" fillId="6" borderId="2" applyAlignment="1" pivotButton="0" quotePrefix="0" xfId="0">
      <alignment horizontal="right"/>
    </xf>
    <xf numFmtId="168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43"/>
  <sheetViews>
    <sheetView tabSelected="1" workbookViewId="0">
      <selection activeCell="C17" sqref="C17"/>
    </sheetView>
  </sheetViews>
  <sheetFormatPr baseColWidth="8" defaultRowHeight="14.4"/>
  <cols>
    <col width="47.109375" bestFit="1" customWidth="1" min="1" max="1"/>
    <col width="10.109375" bestFit="1" customWidth="1" min="3" max="3"/>
    <col width="22" bestFit="1" customWidth="1" min="7" max="7"/>
    <col width="49.77734375" bestFit="1" customWidth="1" min="11" max="11"/>
    <col width="49.77734375" bestFit="1" customWidth="1" style="29" min="12" max="13"/>
    <col width="49.77734375" customWidth="1" min="13" max="13"/>
    <col width="53.77734375" bestFit="1" customWidth="1" style="29" min="14" max="14"/>
    <col width="8.6640625" bestFit="1" customWidth="1" style="29" min="15" max="30"/>
  </cols>
  <sheetData>
    <row r="1" ht="17.4" customHeight="1">
      <c r="A1" s="1" t="inlineStr">
        <is>
          <t>Master PL Combine RPT Tool</t>
        </is>
      </c>
      <c r="B1" s="2" t="n"/>
      <c r="C1" s="3" t="n"/>
      <c r="D1" s="2" t="n"/>
      <c r="E1" s="4" t="n"/>
      <c r="F1" s="2" t="n"/>
      <c r="G1" s="5" t="inlineStr">
        <is>
          <t>Initial Combined RPT</t>
        </is>
      </c>
      <c r="H1" s="2" t="n"/>
      <c r="I1" s="4" t="n"/>
      <c r="J1" s="2" t="n"/>
      <c r="K1" s="5" t="inlineStr">
        <is>
          <t>Individual RPT's</t>
        </is>
      </c>
      <c r="L1" s="5" t="n"/>
      <c r="M1" s="5" t="n"/>
    </row>
    <row r="2">
      <c r="A2" s="6" t="inlineStr">
        <is>
          <t>Output| RPT</t>
        </is>
      </c>
      <c r="B2" s="2" t="n"/>
      <c r="C2" s="2" t="n"/>
      <c r="D2" s="2" t="n"/>
      <c r="E2" s="4" t="n"/>
      <c r="F2" s="2" t="n"/>
      <c r="G2" s="2" t="n"/>
      <c r="H2" s="2" t="n"/>
      <c r="I2" s="4" t="n"/>
      <c r="J2" s="2" t="n"/>
      <c r="K2" s="7" t="inlineStr">
        <is>
          <t>RPT1</t>
        </is>
      </c>
      <c r="L2" s="7" t="inlineStr">
        <is>
          <t>RPT2</t>
        </is>
      </c>
      <c r="M2" s="7" t="inlineStr">
        <is>
          <t>RPT3</t>
        </is>
      </c>
    </row>
    <row r="3" ht="27" customHeight="1">
      <c r="A3" s="2" t="n"/>
      <c r="B3" s="2" t="n"/>
      <c r="C3" s="8" t="inlineStr">
        <is>
          <t>OUTPUT VECTOR</t>
        </is>
      </c>
      <c r="D3" s="2" t="n"/>
      <c r="E3" s="4" t="n"/>
      <c r="F3" s="2" t="n"/>
      <c r="G3" s="8" t="inlineStr">
        <is>
          <t>OUTPUT VECTOR</t>
        </is>
      </c>
      <c r="H3" s="2" t="n"/>
      <c r="I3" s="4" t="n"/>
      <c r="J3" s="2" t="n"/>
      <c r="K3" s="8" t="inlineStr">
        <is>
          <t>INPUT VECTOR</t>
        </is>
      </c>
      <c r="L3" s="8" t="inlineStr">
        <is>
          <t>INPUT VECTOR</t>
        </is>
      </c>
      <c r="M3" s="8" t="inlineStr">
        <is>
          <t>INPUT VECTOR</t>
        </is>
      </c>
    </row>
    <row r="4">
      <c r="A4" s="2" t="n"/>
      <c r="B4" s="2" t="n"/>
      <c r="C4" s="9" t="n"/>
      <c r="D4" s="2" t="n"/>
      <c r="E4" s="4" t="n"/>
      <c r="F4" s="2" t="n"/>
      <c r="G4" s="9" t="n"/>
      <c r="H4" s="2" t="n"/>
      <c r="I4" s="4" t="n"/>
      <c r="J4" s="2" t="n"/>
      <c r="K4" s="9" t="n"/>
      <c r="L4" s="9" t="n"/>
      <c r="M4" s="9" t="n"/>
    </row>
    <row r="5">
      <c r="A5" s="2" t="n"/>
      <c r="B5" s="2" t="n"/>
      <c r="C5" s="10" t="inlineStr">
        <is>
          <t>Combined</t>
        </is>
      </c>
      <c r="D5" s="2" t="n"/>
      <c r="E5" s="4" t="n"/>
      <c r="F5" s="2" t="n"/>
      <c r="G5" s="11" t="inlineStr">
        <is>
          <t>Combined-Initial</t>
        </is>
      </c>
      <c r="H5" s="2" t="n"/>
      <c r="I5" s="4" t="n"/>
      <c r="J5" s="2" t="n"/>
      <c r="K5" s="11" t="n">
        <v>1</v>
      </c>
      <c r="L5" s="11" t="n">
        <v>2</v>
      </c>
      <c r="M5" s="11" t="n">
        <v>3</v>
      </c>
    </row>
    <row r="6">
      <c r="A6" s="12" t="inlineStr">
        <is>
          <t>RPT Information</t>
        </is>
      </c>
      <c r="B6" s="2" t="n"/>
      <c r="C6" s="13" t="n"/>
      <c r="D6" s="2" t="n"/>
      <c r="E6" s="4" t="n"/>
      <c r="F6" s="2" t="n"/>
      <c r="G6" s="14" t="n"/>
      <c r="H6" s="2" t="n"/>
      <c r="I6" s="4" t="n"/>
      <c r="J6" s="2" t="n"/>
      <c r="K6" s="15">
        <f>IF('RPT1'!$J6="","",'RPT1'!$J6)</f>
        <v/>
      </c>
      <c r="L6" s="15">
        <f>IF('RPT2'!$J6="","",'RPT2'!$J6)</f>
        <v/>
      </c>
      <c r="M6" s="15">
        <f>IF('RPT3'!$J6="","",'RPT3'!$J6)</f>
        <v/>
      </c>
    </row>
    <row r="7">
      <c r="A7" s="16" t="inlineStr">
        <is>
          <t>RPT Version</t>
        </is>
      </c>
      <c r="B7" s="2" t="n"/>
      <c r="C7" s="17" t="n"/>
      <c r="D7" s="2" t="n"/>
      <c r="E7" s="4" t="n"/>
      <c r="F7" s="2" t="n"/>
      <c r="G7" s="17" t="n"/>
      <c r="H7" s="2" t="n"/>
      <c r="I7" s="4" t="n"/>
      <c r="J7" s="2" t="n"/>
      <c r="K7" s="15">
        <f>IF('RPT1'!$J7="","",'RPT1'!$J7)</f>
        <v/>
      </c>
      <c r="L7" s="15">
        <f>IF('RPT2'!$J7="","",'RPT2'!$J7)</f>
        <v/>
      </c>
      <c r="M7" s="15">
        <f>IF('RPT3'!$J7="","",'RPT3'!$J7)</f>
        <v/>
      </c>
    </row>
    <row r="8">
      <c r="A8" s="16" t="inlineStr">
        <is>
          <t>RPT ID</t>
        </is>
      </c>
      <c r="B8" s="2" t="n"/>
      <c r="C8" s="14">
        <f>IF(Combine="Y", $G8, 0)</f>
        <v/>
      </c>
      <c r="D8" s="2" t="n"/>
      <c r="E8" s="4" t="n"/>
      <c r="F8" s="2" t="n"/>
      <c r="G8" s="14">
        <f>rng_pasteID</f>
        <v/>
      </c>
      <c r="H8" s="2" t="n"/>
      <c r="I8" s="4" t="n"/>
      <c r="J8" s="2" t="n"/>
      <c r="K8" s="15">
        <f>IF('RPT1'!$J8="","",'RPT1'!$J8)</f>
        <v/>
      </c>
      <c r="L8" s="15">
        <f>IF('RPT2'!$J8="","",'RPT2'!$J8)</f>
        <v/>
      </c>
      <c r="M8" s="15">
        <f>IF('RPT3'!$J8="","",'RPT3'!$J8)</f>
        <v/>
      </c>
    </row>
    <row r="9">
      <c r="A9" s="16" t="inlineStr">
        <is>
          <t>RPT Run Date</t>
        </is>
      </c>
      <c r="B9" s="2" t="n"/>
      <c r="C9" s="18">
        <f>IF(Combine="Y", $G9, 0)</f>
        <v/>
      </c>
      <c r="D9" s="2" t="n"/>
      <c r="E9" s="4" t="n"/>
      <c r="F9" s="2" t="n"/>
      <c r="G9" s="18">
        <f>'Output| Specialty RPT'!$B$5</f>
        <v/>
      </c>
      <c r="H9" s="2" t="n"/>
      <c r="I9" s="4" t="n"/>
      <c r="J9" s="2" t="n"/>
      <c r="K9" s="19">
        <f>IF('RPT1'!$J9="","",'RPT1'!$J9)</f>
        <v/>
      </c>
      <c r="L9" s="19">
        <f>IF('RPT2'!$J9="","",'RPT2'!$J9)</f>
        <v/>
      </c>
      <c r="M9" s="19">
        <f>IF('RPT3'!$J9="","",'RPT3'!$J9)</f>
        <v/>
      </c>
    </row>
    <row r="10">
      <c r="A10" s="16" t="inlineStr">
        <is>
          <t>RPT Repository Location</t>
        </is>
      </c>
      <c r="B10" s="2" t="n"/>
      <c r="C10" s="20">
        <f>IF(Combine="Y", $G10, 0)</f>
        <v/>
      </c>
      <c r="D10" s="2" t="n"/>
      <c r="E10" s="4" t="n"/>
      <c r="F10" s="2" t="n"/>
      <c r="G10" s="20">
        <f>IF($K10="[blank]", "[blank]", IF(AND(
IF($L10="[blank]",TRUE,$K10=$L10),
IF($M10="[blank]",TRUE,$K10=$M10)), $K10, "Combined RPT"))</f>
        <v/>
      </c>
      <c r="H10" s="2" t="n"/>
      <c r="I10" s="4" t="n"/>
      <c r="J10" s="2" t="n"/>
      <c r="K10" s="15">
        <f>IF('RPT1'!$J10="","",'RPT1'!$J10)</f>
        <v/>
      </c>
      <c r="L10" s="15">
        <f>IF('RPT2'!$J10="","",'RPT2'!$J10)</f>
        <v/>
      </c>
      <c r="M10" s="15">
        <f>IF('RPT3'!$J10="","",'RPT3'!$J10)</f>
        <v/>
      </c>
    </row>
    <row r="11">
      <c r="A11" s="16" t="inlineStr">
        <is>
          <t>RPT Model Year 1</t>
        </is>
      </c>
      <c r="B11" s="2" t="n"/>
      <c r="C11" s="17">
        <f>IF(Combine="Y", $G11, 0)</f>
        <v/>
      </c>
      <c r="D11" s="2" t="n"/>
      <c r="E11" s="4" t="n"/>
      <c r="F11" s="2" t="n"/>
      <c r="G11" s="17">
        <f>IF($K11="[blank]", "[blank]", IF(AND(
IF($L11="[blank]",TRUE,$K11=$L11),
IF($M11="[blank]",TRUE,$K11=$M11)), $K11, "Combined RPT"))</f>
        <v/>
      </c>
      <c r="H11" s="2" t="n"/>
      <c r="I11" s="4" t="n"/>
      <c r="J11" s="2" t="n"/>
      <c r="K11" s="15">
        <f>IF('RPT1'!$J11="","",'RPT1'!$J11)</f>
        <v/>
      </c>
      <c r="L11" s="15">
        <f>IF('RPT2'!$J11="","",'RPT2'!$J11)</f>
        <v/>
      </c>
      <c r="M11" s="15">
        <f>IF('RPT3'!$J11="","",'RPT3'!$J11)</f>
        <v/>
      </c>
    </row>
    <row r="12">
      <c r="A12" s="16" t="inlineStr">
        <is>
          <t>RPT Model Year 2</t>
        </is>
      </c>
      <c r="B12" s="2" t="n"/>
      <c r="C12" s="17">
        <f>IF(Combine="Y", $G12, 0)</f>
        <v/>
      </c>
      <c r="D12" s="2" t="n"/>
      <c r="E12" s="4" t="n"/>
      <c r="F12" s="2" t="n"/>
      <c r="G12" s="17">
        <f>IF($K12="[blank]", "[blank]", IF(AND(
IF($L12="[blank]",TRUE,$K12=$L12),
IF($M12="[blank]",TRUE,$K12=$M12)), $K12, "Combined RPT"))</f>
        <v/>
      </c>
      <c r="H12" s="2" t="n"/>
      <c r="I12" s="4" t="n"/>
      <c r="J12" s="2" t="n"/>
      <c r="K12" s="15">
        <f>IF('RPT1'!$J12="","",'RPT1'!$J12)</f>
        <v/>
      </c>
      <c r="L12" s="15">
        <f>IF('RPT2'!$J12="","",'RPT2'!$J12)</f>
        <v/>
      </c>
      <c r="M12" s="15">
        <f>IF('RPT3'!$J12="","",'RPT3'!$J12)</f>
        <v/>
      </c>
    </row>
    <row r="13">
      <c r="A13" s="16" t="inlineStr">
        <is>
          <t>RPT Model Year 3</t>
        </is>
      </c>
      <c r="B13" s="2" t="n"/>
      <c r="C13" s="17">
        <f>IF(Combine="Y", $G13, 0)</f>
        <v/>
      </c>
      <c r="D13" s="2" t="n"/>
      <c r="E13" s="4" t="n"/>
      <c r="F13" s="2" t="n"/>
      <c r="G13" s="17">
        <f>IF($K13="[blank]", "[blank]", IF(AND(
IF($L13="[blank]",TRUE,$K13=$L13),
IF($M13="[blank]",TRUE,$K13=$M13)), $K13, "Combined RPT"))</f>
        <v/>
      </c>
      <c r="H13" s="2" t="n"/>
      <c r="I13" s="4" t="n"/>
      <c r="J13" s="2" t="n"/>
      <c r="K13" s="15">
        <f>IF('RPT1'!$J13="","",'RPT1'!$J13)</f>
        <v/>
      </c>
      <c r="L13" s="15">
        <f>IF('RPT2'!$J13="","",'RPT2'!$J13)</f>
        <v/>
      </c>
      <c r="M13" s="15">
        <f>IF('RPT3'!$J13="","",'RPT3'!$J13)</f>
        <v/>
      </c>
    </row>
    <row r="14">
      <c r="A14" s="16" t="inlineStr">
        <is>
          <t>RPT Model Year 4</t>
        </is>
      </c>
      <c r="B14" s="2" t="n"/>
      <c r="C14" s="17">
        <f>IF(Combine="Y", $G14, 0)</f>
        <v/>
      </c>
      <c r="D14" s="2" t="n"/>
      <c r="E14" s="4" t="n"/>
      <c r="F14" s="2" t="n"/>
      <c r="G14" s="17">
        <f>IF($K14="[blank]", "[blank]", IF(AND(
IF($L14="[blank]",TRUE,$K14=$L14),
IF($M14="[blank]",TRUE,$K14=$M14)), $K14, "Combined RPT"))</f>
        <v/>
      </c>
      <c r="H14" s="2" t="n"/>
      <c r="I14" s="4" t="n"/>
      <c r="J14" s="2" t="n"/>
      <c r="K14" s="15">
        <f>IF('RPT1'!$J14="","",'RPT1'!$J14)</f>
        <v/>
      </c>
      <c r="L14" s="15">
        <f>IF('RPT2'!$J14="","",'RPT2'!$J14)</f>
        <v/>
      </c>
      <c r="M14" s="15">
        <f>IF('RPT3'!$J14="","",'RPT3'!$J14)</f>
        <v/>
      </c>
    </row>
    <row r="15">
      <c r="A15" s="16" t="inlineStr">
        <is>
          <t>RPT Model Year 5</t>
        </is>
      </c>
      <c r="B15" s="2" t="n"/>
      <c r="C15" s="17">
        <f>IF(Combine="Y", $G15, 0)</f>
        <v/>
      </c>
      <c r="D15" s="2" t="n"/>
      <c r="E15" s="4" t="n"/>
      <c r="F15" s="2" t="n"/>
      <c r="G15" s="17">
        <f>IF($K15="[blank]", "[blank]", IF(AND(
IF($L15="[blank]",TRUE,$K15=$L15),
IF($M15="[blank]",TRUE,$K15=$M15)), $K15, "Combined RPT"))</f>
        <v/>
      </c>
      <c r="H15" s="2" t="n"/>
      <c r="I15" s="4" t="n"/>
      <c r="J15" s="2" t="n"/>
      <c r="K15" s="15">
        <f>IF('RPT1'!$J15="","",'RPT1'!$J15)</f>
        <v/>
      </c>
      <c r="L15" s="15">
        <f>IF('RPT2'!$J15="","",'RPT2'!$J15)</f>
        <v/>
      </c>
      <c r="M15" s="15">
        <f>IF('RPT3'!$J15="","",'RPT3'!$J15)</f>
        <v/>
      </c>
    </row>
    <row r="16">
      <c r="A16" s="16" t="inlineStr">
        <is>
          <t>Base Start Date</t>
        </is>
      </c>
      <c r="B16" s="2" t="n"/>
      <c r="C16" s="30">
        <f>IF(Combine="Y", $G16, 0)</f>
        <v/>
      </c>
      <c r="D16" s="2" t="n"/>
      <c r="E16" s="4" t="n"/>
      <c r="F16" s="2" t="n"/>
      <c r="G16" s="18">
        <f>IF($K16="[blank]", "[blank]", IF(AND(
IF($L16="[blank]",TRUE,$K16=$L16),
IF($M16="[blank]",TRUE,$K16=$M16)), $K16, "Combined RPT"))</f>
        <v/>
      </c>
      <c r="H16" s="2" t="n"/>
      <c r="I16" s="4" t="n"/>
      <c r="J16" s="2" t="n"/>
      <c r="K16" s="19">
        <f>IF('RPT1'!$J16="","",'RPT1'!$J16)</f>
        <v/>
      </c>
      <c r="L16" s="19">
        <f>IF('RPT2'!$J16="","",'RPT2'!$J16)</f>
        <v/>
      </c>
      <c r="M16" s="19">
        <f>IF('RPT3'!$J16="","",'RPT3'!$J16)</f>
        <v/>
      </c>
    </row>
    <row r="17">
      <c r="A17" s="16" t="inlineStr">
        <is>
          <t>Base End Date</t>
        </is>
      </c>
      <c r="B17" s="2" t="n"/>
      <c r="C17" s="30">
        <f>IF(Combine="Y", $G17, 0)</f>
        <v/>
      </c>
      <c r="D17" s="2" t="n"/>
      <c r="E17" s="4" t="n"/>
      <c r="F17" s="2" t="n"/>
      <c r="G17" s="18">
        <f>IF($K17="[blank]", "[blank]", IF(AND(
IF($L17="[blank]",TRUE,$K17=$L17),
IF($M17="[blank]",TRUE,$K17=$M17)), $K17, "Combined RPT"))</f>
        <v/>
      </c>
      <c r="H17" s="2" t="n"/>
      <c r="I17" s="4" t="n"/>
      <c r="J17" s="2" t="n"/>
      <c r="K17" s="19">
        <f>IF('RPT1'!$J17="","",'RPT1'!$J17)</f>
        <v/>
      </c>
      <c r="L17" s="19">
        <f>IF('RPT2'!$J17="","",'RPT2'!$J17)</f>
        <v/>
      </c>
      <c r="M17" s="19">
        <f>IF('RPT3'!$J17="","",'RPT3'!$J17)</f>
        <v/>
      </c>
    </row>
    <row r="18">
      <c r="A18" s="16" t="inlineStr">
        <is>
          <t>Client Name</t>
        </is>
      </c>
      <c r="B18" s="2" t="n"/>
      <c r="C18" s="17">
        <f>IF(Combine="Y", $G18, 0)</f>
        <v/>
      </c>
      <c r="D18" s="2" t="n"/>
      <c r="E18" s="4" t="n"/>
      <c r="F18" s="2" t="n"/>
      <c r="G18" s="17">
        <f>IF($K18="[blank]", "[blank]", IF(AND(
IF($L18="[blank]",TRUE,$K18=$L18),
IF($M18="[blank]",TRUE,$K18=$M18)), $K18, "Combined RPT"))</f>
        <v/>
      </c>
      <c r="H18" s="2" t="n"/>
      <c r="I18" s="4" t="n"/>
      <c r="J18" s="2" t="n"/>
      <c r="K18" s="15">
        <f>IF('RPT1'!$J18="","",'RPT1'!$J18)</f>
        <v/>
      </c>
      <c r="L18" s="15">
        <f>IF('RPT2'!$J18="","",'RPT2'!$J18)</f>
        <v/>
      </c>
      <c r="M18" s="15">
        <f>IF('RPT3'!$J18="","",'RPT3'!$J18)</f>
        <v/>
      </c>
    </row>
    <row r="19">
      <c r="A19" s="16" t="inlineStr">
        <is>
          <t>Line of Business</t>
        </is>
      </c>
      <c r="B19" s="2" t="n"/>
      <c r="C19" s="17">
        <f>IF(Combine="Y", $G19, 0)</f>
        <v/>
      </c>
      <c r="D19" s="2" t="n"/>
      <c r="E19" s="4" t="n"/>
      <c r="F19" s="2" t="n"/>
      <c r="G19" s="17">
        <f>IF($K19="[blank]", "[blank]", IF(AND(
IF($L19="[blank]",TRUE,$K19=$L19),
IF($M19="[blank]",TRUE,$K19=$M19)), $K19, "Combined RPT"))</f>
        <v/>
      </c>
      <c r="H19" s="2" t="n"/>
      <c r="I19" s="4" t="n"/>
      <c r="J19" s="2" t="n"/>
      <c r="K19" s="15">
        <f>IF('RPT1'!$J19="","",'RPT1'!$J19)</f>
        <v/>
      </c>
      <c r="L19" s="15">
        <f>IF('RPT2'!$J19="","",'RPT2'!$J19)</f>
        <v/>
      </c>
      <c r="M19" s="15">
        <f>IF('RPT3'!$J19="","",'RPT3'!$J19)</f>
        <v/>
      </c>
    </row>
    <row r="20">
      <c r="A20" s="16" t="inlineStr">
        <is>
          <t>Formulary</t>
        </is>
      </c>
      <c r="B20" s="2" t="n"/>
      <c r="C20" s="17">
        <f>IF(Combine="Y", $G20, 0)</f>
        <v/>
      </c>
      <c r="D20" s="2" t="n"/>
      <c r="E20" s="4" t="n"/>
      <c r="F20" s="2" t="n"/>
      <c r="G20" s="17">
        <f>IF($K20="[blank]", "[blank]", IF(AND(
IF($L20="[blank]",TRUE,$K20=$L20),
IF($M20="[blank]",TRUE,$K20=$M20)), $K20, "Combined RPT"))</f>
        <v/>
      </c>
      <c r="H20" s="2" t="n"/>
      <c r="I20" s="4" t="n"/>
      <c r="J20" s="2" t="n"/>
      <c r="K20" s="15">
        <f>IF('RPT1'!$J20="","",'RPT1'!$J20)</f>
        <v/>
      </c>
      <c r="L20" s="15">
        <f>IF('RPT2'!$J20="","",'RPT2'!$J20)</f>
        <v/>
      </c>
      <c r="M20" s="15">
        <f>IF('RPT3'!$J20="","",'RPT3'!$J20)</f>
        <v/>
      </c>
    </row>
    <row r="21">
      <c r="A21" s="16" t="inlineStr">
        <is>
          <t>Exclusions</t>
        </is>
      </c>
      <c r="B21" s="2" t="n"/>
      <c r="C21" s="17">
        <f>IF(Combine="Y", $G21, 0)</f>
        <v/>
      </c>
      <c r="D21" s="2" t="n"/>
      <c r="E21" s="4" t="n"/>
      <c r="F21" s="2" t="n"/>
      <c r="G21" s="17">
        <f>IF($K21="[blank]", "[blank]", IF(AND(
IF($L21="[blank]",TRUE,$K21=$L21),
IF($M21="[blank]",TRUE,$K21=$M21)), $K21, "Combined RPT"))</f>
        <v/>
      </c>
      <c r="H21" s="2" t="n"/>
      <c r="I21" s="4" t="n"/>
      <c r="J21" s="2" t="n"/>
      <c r="K21" s="15">
        <f>IF('RPT1'!$J21="","",'RPT1'!$J21)</f>
        <v/>
      </c>
      <c r="L21" s="15">
        <f>IF('RPT2'!$J21="","",'RPT2'!$J21)</f>
        <v/>
      </c>
      <c r="M21" s="15">
        <f>IF('RPT3'!$J21="","",'RPT3'!$J21)</f>
        <v/>
      </c>
    </row>
    <row r="22">
      <c r="A22" s="16" t="inlineStr">
        <is>
          <t>Exclusions - OTCs</t>
        </is>
      </c>
      <c r="B22" s="2" t="n"/>
      <c r="C22" s="17">
        <f>IF(Combine="Y", $G22, 0)</f>
        <v/>
      </c>
      <c r="D22" s="2" t="n"/>
      <c r="E22" s="4" t="n"/>
      <c r="F22" s="2" t="n"/>
      <c r="G22" s="17">
        <f>IF($K22="[blank]", "[blank]", IF(AND(
IF($L22="[blank]",TRUE,$K22=$L22),
IF($M22="[blank]",TRUE,$K22=$M22)), $K22, "Combined RPT"))</f>
        <v/>
      </c>
      <c r="H22" s="2" t="n"/>
      <c r="I22" s="4" t="n"/>
      <c r="J22" s="2" t="n"/>
      <c r="K22" s="15">
        <f>IF('RPT1'!$J22="","",'RPT1'!$J22)</f>
        <v/>
      </c>
      <c r="L22" s="15">
        <f>IF('RPT2'!$J22="","",'RPT2'!$J22)</f>
        <v/>
      </c>
      <c r="M22" s="15">
        <f>IF('RPT3'!$J22="","",'RPT3'!$J22)</f>
        <v/>
      </c>
    </row>
    <row r="23">
      <c r="A23" s="16" t="inlineStr">
        <is>
          <t>Exclusions - Devices</t>
        </is>
      </c>
      <c r="B23" s="2" t="n"/>
      <c r="C23" s="17">
        <f>IF(Combine="Y", $G23, 0)</f>
        <v/>
      </c>
      <c r="D23" s="2" t="n"/>
      <c r="E23" s="4" t="n"/>
      <c r="F23" s="2" t="n"/>
      <c r="G23" s="17">
        <f>IF($K23="[blank]", "[blank]", IF(AND(
IF($L23="[blank]",TRUE,$K23=$L23),
IF($M23="[blank]",TRUE,$K23=$M23)), $K23, "Combined RPT"))</f>
        <v/>
      </c>
      <c r="H23" s="2" t="n"/>
      <c r="I23" s="4" t="n"/>
      <c r="J23" s="2" t="n"/>
      <c r="K23" s="15">
        <f>IF('RPT1'!$J23="","",'RPT1'!$J23)</f>
        <v/>
      </c>
      <c r="L23" s="15">
        <f>IF('RPT2'!$J23="","",'RPT2'!$J23)</f>
        <v/>
      </c>
      <c r="M23" s="15">
        <f>IF('RPT3'!$J23="","",'RPT3'!$J23)</f>
        <v/>
      </c>
    </row>
    <row r="24">
      <c r="A24" s="16" t="inlineStr">
        <is>
          <t>Exclusions - Vaccines</t>
        </is>
      </c>
      <c r="B24" s="2" t="n"/>
      <c r="C24" s="17">
        <f>IF(Combine="Y", $G24, 0)</f>
        <v/>
      </c>
      <c r="D24" s="2" t="n"/>
      <c r="E24" s="4" t="n"/>
      <c r="F24" s="2" t="n"/>
      <c r="G24" s="17">
        <f>IF($K24="[blank]", "[blank]", IF(AND(
IF($L24="[blank]",TRUE,$K24=$L24),
IF($M24="[blank]",TRUE,$K24=$M24)), $K24, "Combined RPT"))</f>
        <v/>
      </c>
      <c r="H24" s="2" t="n"/>
      <c r="I24" s="4" t="n"/>
      <c r="J24" s="2" t="n"/>
      <c r="K24" s="15">
        <f>IF('RPT1'!$J24="","",'RPT1'!$J24)</f>
        <v/>
      </c>
      <c r="L24" s="15">
        <f>IF('RPT2'!$J24="","",'RPT2'!$J24)</f>
        <v/>
      </c>
      <c r="M24" s="15">
        <f>IF('RPT3'!$J24="","",'RPT3'!$J24)</f>
        <v/>
      </c>
    </row>
    <row r="25">
      <c r="A25" s="16" t="inlineStr">
        <is>
          <t>Exclusions - Repackaged</t>
        </is>
      </c>
      <c r="B25" s="2" t="n"/>
      <c r="C25" s="17">
        <f>IF(Combine="Y", $G25, 0)</f>
        <v/>
      </c>
      <c r="D25" s="2" t="n"/>
      <c r="E25" s="4" t="n"/>
      <c r="F25" s="2" t="n"/>
      <c r="G25" s="17">
        <f>IF($K25="[blank]", "[blank]", IF(AND(
IF($L25="[blank]",TRUE,$K25=$L25),
IF($M25="[blank]",TRUE,$K25=$M25)), $K25, "Combined RPT"))</f>
        <v/>
      </c>
      <c r="H25" s="2" t="n"/>
      <c r="I25" s="4" t="n"/>
      <c r="J25" s="2" t="n"/>
      <c r="K25" s="15">
        <f>IF('RPT1'!$J25="","",'RPT1'!$J25)</f>
        <v/>
      </c>
      <c r="L25" s="15">
        <f>IF('RPT2'!$J25="","",'RPT2'!$J25)</f>
        <v/>
      </c>
      <c r="M25" s="15">
        <f>IF('RPT3'!$J25="","",'RPT3'!$J25)</f>
        <v/>
      </c>
    </row>
    <row r="26">
      <c r="A26" s="16" t="inlineStr">
        <is>
          <t>Exclusions - MSBs</t>
        </is>
      </c>
      <c r="B26" s="2" t="n"/>
      <c r="C26" s="17">
        <f>IF(Combine="Y", $G26, 0)</f>
        <v/>
      </c>
      <c r="D26" s="2" t="n"/>
      <c r="E26" s="4" t="n"/>
      <c r="F26" s="2" t="n"/>
      <c r="G26" s="17">
        <f>IF($K26="[blank]", "[blank]", IF(AND(
IF($L26="[blank]",TRUE,$K26=$L26),
IF($M26="[blank]",TRUE,$K26=$M26)), $K26, "Combined RPT"))</f>
        <v/>
      </c>
      <c r="H26" s="2" t="n"/>
      <c r="I26" s="4" t="n"/>
      <c r="J26" s="2" t="n"/>
      <c r="K26" s="15">
        <f>IF('RPT1'!$J26="","",'RPT1'!$J26)</f>
        <v/>
      </c>
      <c r="L26" s="15">
        <f>IF('RPT2'!$J26="","",'RPT2'!$J26)</f>
        <v/>
      </c>
      <c r="M26" s="15">
        <f>IF('RPT3'!$J26="","",'RPT3'!$J26)</f>
        <v/>
      </c>
    </row>
    <row r="27">
      <c r="A27" s="16" t="inlineStr">
        <is>
          <t>Exclusions - Test Strips</t>
        </is>
      </c>
      <c r="B27" s="2" t="n"/>
      <c r="C27" s="17">
        <f>IF(Combine="Y", $G27, 0)</f>
        <v/>
      </c>
      <c r="D27" s="2" t="n"/>
      <c r="E27" s="4" t="n"/>
      <c r="F27" s="2" t="n"/>
      <c r="G27" s="17">
        <f>IF($K27="[blank]", "[blank]", IF(AND(
IF($L27="[blank]",TRUE,$K27=$L27),
IF($M27="[blank]",TRUE,$K27=$M27)), $K27, "Combined RPT"))</f>
        <v/>
      </c>
      <c r="H27" s="2" t="n"/>
      <c r="I27" s="4" t="n"/>
      <c r="J27" s="2" t="n"/>
      <c r="K27" s="15">
        <f>IF('RPT1'!$J27="","",'RPT1'!$J27)</f>
        <v/>
      </c>
      <c r="L27" s="15">
        <f>IF('RPT2'!$J27="","",'RPT2'!$J27)</f>
        <v/>
      </c>
      <c r="M27" s="15">
        <f>IF('RPT3'!$J27="","",'RPT3'!$J27)</f>
        <v/>
      </c>
    </row>
    <row r="28">
      <c r="A28" s="16" t="inlineStr">
        <is>
          <t>Exclusions - Insulin</t>
        </is>
      </c>
      <c r="B28" s="2" t="n"/>
      <c r="C28" s="17">
        <f>IF(Combine="Y", $G28, 0)</f>
        <v/>
      </c>
      <c r="D28" s="2" t="n"/>
      <c r="E28" s="4" t="n"/>
      <c r="F28" s="2" t="n"/>
      <c r="G28" s="17">
        <f>IF($K28="[blank]", "[blank]", IF(AND(
IF($L28="[blank]",TRUE,$K28=$L28),
IF($M28="[blank]",TRUE,$K28=$M28)), $K28, "Combined RPT"))</f>
        <v/>
      </c>
      <c r="H28" s="2" t="n"/>
      <c r="I28" s="4" t="n"/>
      <c r="J28" s="2" t="n"/>
      <c r="K28" s="15">
        <f>IF('RPT1'!$J28="","",'RPT1'!$J28)</f>
        <v/>
      </c>
      <c r="L28" s="15">
        <f>IF('RPT2'!$J28="","",'RPT2'!$J28)</f>
        <v/>
      </c>
      <c r="M28" s="15">
        <f>IF('RPT3'!$J28="","",'RPT3'!$J28)</f>
        <v/>
      </c>
    </row>
    <row r="29">
      <c r="A29" s="16" t="inlineStr">
        <is>
          <t>Exclusions - Non FDA Approved</t>
        </is>
      </c>
      <c r="B29" s="2" t="n"/>
      <c r="C29" s="17">
        <f>IF(Combine="Y", $G29, 0)</f>
        <v/>
      </c>
      <c r="D29" s="2" t="n"/>
      <c r="E29" s="4" t="n"/>
      <c r="F29" s="2" t="n"/>
      <c r="G29" s="17">
        <f>IF($K29="[blank]", "[blank]", IF(AND(
IF($L29="[blank]",TRUE,$K29=$L29),
IF($M29="[blank]",TRUE,$K29=$M29)), $K29, "Combined RPT"))</f>
        <v/>
      </c>
      <c r="H29" s="2" t="n"/>
      <c r="I29" s="4" t="n"/>
      <c r="J29" s="2" t="n"/>
      <c r="K29" s="15">
        <f>IF('RPT1'!$J29="","",'RPT1'!$J29)</f>
        <v/>
      </c>
      <c r="L29" s="15">
        <f>IF('RPT2'!$J29="","",'RPT2'!$J29)</f>
        <v/>
      </c>
      <c r="M29" s="15">
        <f>IF('RPT3'!$J29="","",'RPT3'!$J29)</f>
        <v/>
      </c>
    </row>
    <row r="30">
      <c r="A30" s="16" t="inlineStr">
        <is>
          <t>Exclusions - LDD</t>
        </is>
      </c>
      <c r="B30" s="2" t="n"/>
      <c r="C30" s="17">
        <f>IF(Combine="Y", $G30, 0)</f>
        <v/>
      </c>
      <c r="D30" s="2" t="n"/>
      <c r="E30" s="4" t="n"/>
      <c r="F30" s="2" t="n"/>
      <c r="G30" s="17">
        <f>IF($K30="[blank]", "[blank]", IF(AND(
IF($L30="[blank]",TRUE,$K30=$L30),
IF($M30="[blank]",TRUE,$K30=$M30)), $K30, "Combined RPT"))</f>
        <v/>
      </c>
      <c r="H30" s="2" t="n"/>
      <c r="I30" s="4" t="n"/>
      <c r="J30" s="2" t="n"/>
      <c r="K30" s="15">
        <f>IF('RPT1'!$J30="","",'RPT1'!$J30)</f>
        <v/>
      </c>
      <c r="L30" s="15">
        <f>IF('RPT2'!$J30="","",'RPT2'!$J30)</f>
        <v/>
      </c>
      <c r="M30" s="15">
        <f>IF('RPT3'!$J30="","",'RPT3'!$J30)</f>
        <v/>
      </c>
    </row>
    <row r="31">
      <c r="A31" s="16" t="inlineStr">
        <is>
          <t>Exclusions - Institutional NDCs</t>
        </is>
      </c>
      <c r="B31" s="2" t="n"/>
      <c r="C31" s="17">
        <f>IF(Combine="Y", $G31, 0)</f>
        <v/>
      </c>
      <c r="D31" s="2" t="n"/>
      <c r="E31" s="4" t="n"/>
      <c r="F31" s="2" t="n"/>
      <c r="G31" s="17">
        <f>IF($K31="[blank]", "[blank]", IF(AND(
IF($L31="[blank]",TRUE,$K31=$L31),
IF($M31="[blank]",TRUE,$K31=$M31)), $K31, "Combined RPT"))</f>
        <v/>
      </c>
      <c r="H31" s="2" t="n"/>
      <c r="I31" s="4" t="n"/>
      <c r="J31" s="2" t="n"/>
      <c r="K31" s="15">
        <f>IF('RPT1'!$J31="","",'RPT1'!$J31)</f>
        <v/>
      </c>
      <c r="L31" s="15">
        <f>IF('RPT2'!$J31="","",'RPT2'!$J31)</f>
        <v/>
      </c>
      <c r="M31" s="15">
        <f>IF('RPT3'!$J31="","",'RPT3'!$J31)</f>
        <v/>
      </c>
    </row>
    <row r="32">
      <c r="A32" s="16" t="inlineStr">
        <is>
          <t>Exclusions - Formulary Exclusions</t>
        </is>
      </c>
      <c r="B32" s="2" t="n"/>
      <c r="C32" s="17">
        <f>IF(Combine="Y", $G32, 0)</f>
        <v/>
      </c>
      <c r="D32" s="2" t="n"/>
      <c r="E32" s="4" t="n"/>
      <c r="F32" s="2" t="n"/>
      <c r="G32" s="17">
        <f>IF($K32="[blank]", "[blank]", IF(AND(
IF($L32="[blank]",TRUE,$K32=$L32),
IF($M32="[blank]",TRUE,$K32=$M32)), $K32, "Combined RPT"))</f>
        <v/>
      </c>
      <c r="H32" s="2" t="n"/>
      <c r="I32" s="4" t="n"/>
      <c r="J32" s="2" t="n"/>
      <c r="K32" s="15">
        <f>IF('RPT1'!$J32="","",'RPT1'!$J32)</f>
        <v/>
      </c>
      <c r="L32" s="15">
        <f>IF('RPT2'!$J32="","",'RPT2'!$J32)</f>
        <v/>
      </c>
      <c r="M32" s="15">
        <f>IF('RPT3'!$J32="","",'RPT3'!$J32)</f>
        <v/>
      </c>
    </row>
    <row r="33">
      <c r="A33" s="16" t="inlineStr">
        <is>
          <t>Exclusions - Synthroid</t>
        </is>
      </c>
      <c r="B33" s="2" t="n"/>
      <c r="C33" s="17">
        <f>IF(Combine="Y", $G33, 0)</f>
        <v/>
      </c>
      <c r="D33" s="2" t="n"/>
      <c r="E33" s="4" t="n"/>
      <c r="F33" s="2" t="n"/>
      <c r="G33" s="17">
        <f>IF($K33="[blank]", "[blank]", IF(AND(
IF($L33="[blank]",TRUE,$K33=$L33),
IF($M33="[blank]",TRUE,$K33=$M33)), $K33, "Combined RPT"))</f>
        <v/>
      </c>
      <c r="H33" s="2" t="n"/>
      <c r="I33" s="4" t="n"/>
      <c r="J33" s="2" t="n"/>
      <c r="K33" s="15">
        <f>IF('RPT1'!$J33="","",'RPT1'!$J33)</f>
        <v/>
      </c>
      <c r="L33" s="15">
        <f>IF('RPT2'!$J33="","",'RPT2'!$J33)</f>
        <v/>
      </c>
      <c r="M33" s="15">
        <f>IF('RPT3'!$J33="","",'RPT3'!$J33)</f>
        <v/>
      </c>
    </row>
    <row r="34">
      <c r="A34" s="16" t="inlineStr">
        <is>
          <t>Exclusions - PCSK9</t>
        </is>
      </c>
      <c r="B34" s="2" t="n"/>
      <c r="C34" s="17">
        <f>IF(Combine="Y", $G34, 0)</f>
        <v/>
      </c>
      <c r="D34" s="2" t="n"/>
      <c r="E34" s="4" t="n"/>
      <c r="F34" s="2" t="n"/>
      <c r="G34" s="17">
        <f>IF($K34="[blank]", "[blank]", IF(AND(
IF($L34="[blank]",TRUE,$K34=$L34),
IF($M34="[blank]",TRUE,$K34=$M34)), $K34, "Combined RPT"))</f>
        <v/>
      </c>
      <c r="H34" s="2" t="n"/>
      <c r="I34" s="4" t="n"/>
      <c r="J34" s="2" t="n"/>
      <c r="K34" s="15">
        <f>IF('RPT1'!$J34="","",'RPT1'!$J34)</f>
        <v/>
      </c>
      <c r="L34" s="15">
        <f>IF('RPT2'!$J34="","",'RPT2'!$J34)</f>
        <v/>
      </c>
      <c r="M34" s="15">
        <f>IF('RPT3'!$J34="","",'RPT3'!$J34)</f>
        <v/>
      </c>
    </row>
    <row r="35">
      <c r="A35" s="16" t="inlineStr">
        <is>
          <t>Exclusions - HIV</t>
        </is>
      </c>
      <c r="B35" s="2" t="n"/>
      <c r="C35" s="17">
        <f>IF(Combine="Y", $G35, 0)</f>
        <v/>
      </c>
      <c r="D35" s="2" t="n"/>
      <c r="E35" s="4" t="n"/>
      <c r="F35" s="2" t="n"/>
      <c r="G35" s="17">
        <f>IF($K35="[blank]", "[blank]", IF(AND(
IF($L35="[blank]",TRUE,$K35=$L35),
IF($M35="[blank]",TRUE,$K35=$M35)), $K35, "Combined RPT"))</f>
        <v/>
      </c>
      <c r="H35" s="2" t="n"/>
      <c r="I35" s="4" t="n"/>
      <c r="J35" s="2" t="n"/>
      <c r="K35" s="15">
        <f>IF('RPT1'!$J35="","",'RPT1'!$J35)</f>
        <v/>
      </c>
      <c r="L35" s="15">
        <f>IF('RPT2'!$J35="","",'RPT2'!$J35)</f>
        <v/>
      </c>
      <c r="M35" s="15">
        <f>IF('RPT3'!$J35="","",'RPT3'!$J35)</f>
        <v/>
      </c>
    </row>
    <row r="36">
      <c r="A36" s="16" t="inlineStr">
        <is>
          <t>Exclusions - Non-Rebatable</t>
        </is>
      </c>
      <c r="B36" s="2" t="n"/>
      <c r="C36" s="17">
        <f>IF(Combine="Y", $G36, 0)</f>
        <v/>
      </c>
      <c r="D36" s="2" t="n"/>
      <c r="E36" s="4" t="n"/>
      <c r="F36" s="2" t="n"/>
      <c r="G36" s="17">
        <f>IF($K36="[blank]", "[blank]", IF(AND(
IF($L36="[blank]",TRUE,$K36=$L36),
IF($M36="[blank]",TRUE,$K36=$M36)), $K36, "Combined RPT"))</f>
        <v/>
      </c>
      <c r="H36" s="2" t="n"/>
      <c r="I36" s="4" t="n"/>
      <c r="J36" s="2" t="n"/>
      <c r="K36" s="15">
        <f>IF('RPT1'!$J36="","",'RPT1'!$J36)</f>
        <v/>
      </c>
      <c r="L36" s="15">
        <f>IF('RPT2'!$J36="","",'RPT2'!$J36)</f>
        <v/>
      </c>
      <c r="M36" s="15">
        <f>IF('RPT3'!$J36="","",'RPT3'!$J36)</f>
        <v/>
      </c>
    </row>
    <row r="37">
      <c r="A37" s="16" t="inlineStr">
        <is>
          <t>Exclusions - Custom NDC List</t>
        </is>
      </c>
      <c r="B37" s="2" t="n"/>
      <c r="C37" s="17">
        <f>IF(Combine="Y", $G37, 0)</f>
        <v/>
      </c>
      <c r="D37" s="2" t="n"/>
      <c r="E37" s="4" t="n"/>
      <c r="F37" s="2" t="n"/>
      <c r="G37" s="17">
        <f>IF($K37="[blank]", "[blank]", IF(AND(
IF($L37="[blank]",TRUE,$K37=$L37),
IF($M37="[blank]",TRUE,$K37=$M37)), $K37, "Combined RPT"))</f>
        <v/>
      </c>
      <c r="H37" s="2" t="n"/>
      <c r="I37" s="4" t="n"/>
      <c r="J37" s="2" t="n"/>
      <c r="K37" s="15">
        <f>IF('RPT1'!$J37="","",'RPT1'!$J37)</f>
        <v/>
      </c>
      <c r="L37" s="15">
        <f>IF('RPT2'!$J37="","",'RPT2'!$J37)</f>
        <v/>
      </c>
      <c r="M37" s="15">
        <f>IF('RPT3'!$J37="","",'RPT3'!$J37)</f>
        <v/>
      </c>
    </row>
    <row r="38">
      <c r="A38" s="16" t="inlineStr">
        <is>
          <t>Exclusions - Custom NDC List Desc</t>
        </is>
      </c>
      <c r="B38" s="2" t="n"/>
      <c r="C38" s="17">
        <f>IF(Combine="Y", $G38, 0)</f>
        <v/>
      </c>
      <c r="D38" s="2" t="n"/>
      <c r="E38" s="4" t="n"/>
      <c r="F38" s="2" t="n"/>
      <c r="G38" s="17">
        <f>IF($K38="[blank]", "[blank]", IF(AND(
IF($L38="[blank]",TRUE,$K38=$L38),
IF($M38="[blank]",TRUE,$K38=$M38)), $K38, "Combined RPT"))</f>
        <v/>
      </c>
      <c r="H38" s="2" t="n"/>
      <c r="I38" s="4" t="n"/>
      <c r="J38" s="2" t="n"/>
      <c r="K38" s="15">
        <f>IF('RPT1'!$J38="","",'RPT1'!$J38)</f>
        <v/>
      </c>
      <c r="L38" s="15">
        <f>IF('RPT2'!$J38="","",'RPT2'!$J38)</f>
        <v/>
      </c>
      <c r="M38" s="15">
        <f>IF('RPT3'!$J38="","",'RPT3'!$J38)</f>
        <v/>
      </c>
    </row>
    <row r="39">
      <c r="A39" s="16" t="inlineStr">
        <is>
          <t>Exclusions - [Placeholder]</t>
        </is>
      </c>
      <c r="B39" s="2" t="n"/>
      <c r="C39" s="21">
        <f>IF(Combine="Y", $G39, 0)</f>
        <v/>
      </c>
      <c r="D39" s="2" t="n"/>
      <c r="E39" s="4" t="n"/>
      <c r="F39" s="2" t="n"/>
      <c r="G39" s="21">
        <f>IF($K39="[blank]", "[blank]", IF(AND(
IF($L39="[blank]",TRUE,$K39=$L39),
IF($M39="[blank]",TRUE,$K39=$M39)), $K39, "Combined RPT"))</f>
        <v/>
      </c>
      <c r="H39" s="2" t="n"/>
      <c r="I39" s="4" t="n"/>
      <c r="J39" s="2" t="n"/>
      <c r="K39" s="15">
        <f>IF('RPT1'!$J39="","",'RPT1'!$J39)</f>
        <v/>
      </c>
      <c r="L39" s="15">
        <f>IF('RPT2'!$J39="","",'RPT2'!$J39)</f>
        <v/>
      </c>
      <c r="M39" s="15">
        <f>IF('RPT3'!$J39="","",'RPT3'!$J39)</f>
        <v/>
      </c>
    </row>
    <row r="40">
      <c r="A40" s="16" t="inlineStr">
        <is>
          <t>Specialty Rebucketing</t>
        </is>
      </c>
      <c r="B40" s="2" t="n"/>
      <c r="C40" s="17">
        <f>IF(Combine="Y", $G40, 0)</f>
        <v/>
      </c>
      <c r="D40" s="2" t="n"/>
      <c r="E40" s="4" t="n"/>
      <c r="F40" s="2" t="n"/>
      <c r="G40" s="17">
        <f>IF($K40="[blank]", "[blank]", IF(AND(
IF($L40="[blank]",TRUE,$K40=$L40),
IF($M40="[blank]",TRUE,$K40=$M40)), $K40, "Combined RPT"))</f>
        <v/>
      </c>
      <c r="H40" s="2" t="n"/>
      <c r="I40" s="4" t="n"/>
      <c r="J40" s="2" t="n"/>
      <c r="K40" s="15">
        <f>IF('RPT1'!$J40="","",'RPT1'!$J40)</f>
        <v/>
      </c>
      <c r="L40" s="15">
        <f>IF('RPT2'!$J40="","",'RPT2'!$J40)</f>
        <v/>
      </c>
      <c r="M40" s="15">
        <f>IF('RPT3'!$J40="","",'RPT3'!$J40)</f>
        <v/>
      </c>
    </row>
    <row r="41">
      <c r="A41" s="16" t="inlineStr">
        <is>
          <t>Specialty Rebucketing - Hep B</t>
        </is>
      </c>
      <c r="B41" s="2" t="n"/>
      <c r="C41" s="17">
        <f>IF(Combine="Y", $G41, 0)</f>
        <v/>
      </c>
      <c r="D41" s="2" t="n"/>
      <c r="E41" s="4" t="n"/>
      <c r="F41" s="2" t="n"/>
      <c r="G41" s="17">
        <f>IF($K41="[blank]", "[blank]", IF(AND(
IF($L41="[blank]",TRUE,$K41=$L41),
IF($M41="[blank]",TRUE,$K41=$M41)), $K41, "Combined RPT"))</f>
        <v/>
      </c>
      <c r="H41" s="2" t="n"/>
      <c r="I41" s="4" t="n"/>
      <c r="J41" s="2" t="n"/>
      <c r="K41" s="15">
        <f>IF('RPT1'!$J41="","",'RPT1'!$J41)</f>
        <v/>
      </c>
      <c r="L41" s="15">
        <f>IF('RPT2'!$J41="","",'RPT2'!$J41)</f>
        <v/>
      </c>
      <c r="M41" s="15">
        <f>IF('RPT3'!$J41="","",'RPT3'!$J41)</f>
        <v/>
      </c>
    </row>
    <row r="42">
      <c r="A42" s="16" t="inlineStr">
        <is>
          <t>Specialty Rebucketing - HIV</t>
        </is>
      </c>
      <c r="B42" s="2" t="n"/>
      <c r="C42" s="17">
        <f>IF(Combine="Y", $G42, 0)</f>
        <v/>
      </c>
      <c r="D42" s="2" t="n"/>
      <c r="E42" s="4" t="n"/>
      <c r="F42" s="2" t="n"/>
      <c r="G42" s="17">
        <f>IF($K42="[blank]", "[blank]", IF(AND(
IF($L42="[blank]",TRUE,$K42=$L42),
IF($M42="[blank]",TRUE,$K42=$M42)), $K42, "Combined RPT"))</f>
        <v/>
      </c>
      <c r="H42" s="2" t="n"/>
      <c r="I42" s="4" t="n"/>
      <c r="J42" s="2" t="n"/>
      <c r="K42" s="15">
        <f>IF('RPT1'!$J42="","",'RPT1'!$J42)</f>
        <v/>
      </c>
      <c r="L42" s="15">
        <f>IF('RPT2'!$J42="","",'RPT2'!$J42)</f>
        <v/>
      </c>
      <c r="M42" s="15">
        <f>IF('RPT3'!$J42="","",'RPT3'!$J42)</f>
        <v/>
      </c>
    </row>
    <row r="43">
      <c r="A43" s="16" t="inlineStr">
        <is>
          <t>Specialty Rebucketing - IVIG</t>
        </is>
      </c>
      <c r="B43" s="2" t="n"/>
      <c r="C43" s="17">
        <f>IF(Combine="Y", $G43, 0)</f>
        <v/>
      </c>
      <c r="D43" s="2" t="n"/>
      <c r="E43" s="4" t="n"/>
      <c r="F43" s="2" t="n"/>
      <c r="G43" s="17">
        <f>IF($K43="[blank]", "[blank]", IF(AND(
IF($L43="[blank]",TRUE,$K43=$L43),
IF($M43="[blank]",TRUE,$K43=$M43)), $K43, "Combined RPT"))</f>
        <v/>
      </c>
      <c r="H43" s="2" t="n"/>
      <c r="I43" s="4" t="n"/>
      <c r="J43" s="2" t="n"/>
      <c r="K43" s="15">
        <f>IF('RPT1'!$J43="","",'RPT1'!$J43)</f>
        <v/>
      </c>
      <c r="L43" s="15">
        <f>IF('RPT2'!$J43="","",'RPT2'!$J43)</f>
        <v/>
      </c>
      <c r="M43" s="15">
        <f>IF('RPT3'!$J43="","",'RPT3'!$J43)</f>
        <v/>
      </c>
    </row>
    <row r="44">
      <c r="A44" s="16" t="inlineStr">
        <is>
          <t>Specialty Rebucketing - Narcolepsy</t>
        </is>
      </c>
      <c r="B44" s="2" t="n"/>
      <c r="C44" s="17">
        <f>IF(Combine="Y", $G44, 0)</f>
        <v/>
      </c>
      <c r="D44" s="2" t="n"/>
      <c r="E44" s="4" t="n"/>
      <c r="F44" s="2" t="n"/>
      <c r="G44" s="17">
        <f>IF($K44="[blank]", "[blank]", IF(AND(
IF($L44="[blank]",TRUE,$K44=$L44),
IF($M44="[blank]",TRUE,$K44=$M44)), $K44, "Combined RPT"))</f>
        <v/>
      </c>
      <c r="H44" s="2" t="n"/>
      <c r="I44" s="4" t="n"/>
      <c r="J44" s="2" t="n"/>
      <c r="K44" s="15">
        <f>IF('RPT1'!$J44="","",'RPT1'!$J44)</f>
        <v/>
      </c>
      <c r="L44" s="15">
        <f>IF('RPT2'!$J44="","",'RPT2'!$J44)</f>
        <v/>
      </c>
      <c r="M44" s="15">
        <f>IF('RPT3'!$J44="","",'RPT3'!$J44)</f>
        <v/>
      </c>
    </row>
    <row r="45">
      <c r="A45" s="16" t="inlineStr">
        <is>
          <t>Specialty Rebucketing - Nausea</t>
        </is>
      </c>
      <c r="B45" s="2" t="n"/>
      <c r="C45" s="17">
        <f>IF(Combine="Y", $G45, 0)</f>
        <v/>
      </c>
      <c r="D45" s="2" t="n"/>
      <c r="E45" s="4" t="n"/>
      <c r="F45" s="2" t="n"/>
      <c r="G45" s="17">
        <f>IF($K45="[blank]", "[blank]", IF(AND(
IF($L45="[blank]",TRUE,$K45=$L45),
IF($M45="[blank]",TRUE,$K45=$M45)), $K45, "Combined RPT"))</f>
        <v/>
      </c>
      <c r="H45" s="2" t="n"/>
      <c r="I45" s="4" t="n"/>
      <c r="J45" s="2" t="n"/>
      <c r="K45" s="15">
        <f>IF('RPT1'!$J45="","",'RPT1'!$J45)</f>
        <v/>
      </c>
      <c r="L45" s="15">
        <f>IF('RPT2'!$J45="","",'RPT2'!$J45)</f>
        <v/>
      </c>
      <c r="M45" s="15">
        <f>IF('RPT3'!$J45="","",'RPT3'!$J45)</f>
        <v/>
      </c>
    </row>
    <row r="46">
      <c r="A46" s="16" t="inlineStr">
        <is>
          <t>Specialty Rebucketing - Transplant</t>
        </is>
      </c>
      <c r="B46" s="2" t="n"/>
      <c r="C46" s="17">
        <f>IF(Combine="Y", $G46, 0)</f>
        <v/>
      </c>
      <c r="D46" s="2" t="n"/>
      <c r="E46" s="4" t="n"/>
      <c r="F46" s="2" t="n"/>
      <c r="G46" s="17">
        <f>IF($K46="[blank]", "[blank]", IF(AND(
IF($L46="[blank]",TRUE,$K46=$L46),
IF($M46="[blank]",TRUE,$K46=$M46)), $K46, "Combined RPT"))</f>
        <v/>
      </c>
      <c r="H46" s="2" t="n"/>
      <c r="I46" s="4" t="n"/>
      <c r="J46" s="2" t="n"/>
      <c r="K46" s="15">
        <f>IF('RPT1'!$J46="","",'RPT1'!$J46)</f>
        <v/>
      </c>
      <c r="L46" s="15">
        <f>IF('RPT2'!$J46="","",'RPT2'!$J46)</f>
        <v/>
      </c>
      <c r="M46" s="15">
        <f>IF('RPT3'!$J46="","",'RPT3'!$J46)</f>
        <v/>
      </c>
    </row>
    <row r="47">
      <c r="A47" s="16" t="inlineStr">
        <is>
          <t>Specialty Rebucketing - PCSK9</t>
        </is>
      </c>
      <c r="B47" s="2" t="n"/>
      <c r="C47" s="17">
        <f>IF(Combine="Y", $G47, 0)</f>
        <v/>
      </c>
      <c r="D47" s="2" t="n"/>
      <c r="E47" s="4" t="n"/>
      <c r="F47" s="2" t="n"/>
      <c r="G47" s="17">
        <f>IF($K47="[blank]", "[blank]", IF(AND(
IF($L47="[blank]",TRUE,$K47=$L47),
IF($M47="[blank]",TRUE,$K47=$M47)), $K47, "Combined RPT"))</f>
        <v/>
      </c>
      <c r="H47" s="2" t="n"/>
      <c r="I47" s="4" t="n"/>
      <c r="J47" s="2" t="n"/>
      <c r="K47" s="15">
        <f>IF('RPT1'!$J47="","",'RPT1'!$J47)</f>
        <v/>
      </c>
      <c r="L47" s="15">
        <f>IF('RPT2'!$J47="","",'RPT2'!$J47)</f>
        <v/>
      </c>
      <c r="M47" s="15">
        <f>IF('RPT3'!$J47="","",'RPT3'!$J47)</f>
        <v/>
      </c>
    </row>
    <row r="48">
      <c r="A48" s="16" t="inlineStr">
        <is>
          <t>Specialty Rebucketing - [Placeholder]</t>
        </is>
      </c>
      <c r="B48" s="2" t="n"/>
      <c r="C48" s="21">
        <f>IF(Combine="Y", $G48, 0)</f>
        <v/>
      </c>
      <c r="D48" s="2" t="n"/>
      <c r="E48" s="4" t="n"/>
      <c r="F48" s="2" t="n"/>
      <c r="G48" s="21">
        <f>IF($K48="[blank]", "[blank]", IF(AND(
IF($L48="[blank]",TRUE,$K48=$L48),
IF($M48="[blank]",TRUE,$K48=$M48)), $K48, "Combined RPT"))</f>
        <v/>
      </c>
      <c r="H48" s="2" t="n"/>
      <c r="I48" s="4" t="n"/>
      <c r="J48" s="2" t="n"/>
      <c r="K48" s="15">
        <f>IF('RPT1'!$J48="","",'RPT1'!$J48)</f>
        <v/>
      </c>
      <c r="L48" s="15">
        <f>IF('RPT2'!$J48="","",'RPT2'!$J48)</f>
        <v/>
      </c>
      <c r="M48" s="15">
        <f>IF('RPT3'!$J48="","",'RPT3'!$J48)</f>
        <v/>
      </c>
    </row>
    <row r="49">
      <c r="A49" s="16" t="inlineStr">
        <is>
          <t>Specialty Rebucketing - [Placeholder]</t>
        </is>
      </c>
      <c r="B49" s="2" t="n"/>
      <c r="C49" s="21">
        <f>IF(Combine="Y", $G49, 0)</f>
        <v/>
      </c>
      <c r="D49" s="2" t="n"/>
      <c r="E49" s="4" t="n"/>
      <c r="F49" s="2" t="n"/>
      <c r="G49" s="21">
        <f>IF($K49="[blank]", "[blank]", IF(AND(
IF($L49="[blank]",TRUE,$K49=$L49),
IF($M49="[blank]",TRUE,$K49=$M49)), $K49, "Combined RPT"))</f>
        <v/>
      </c>
      <c r="H49" s="2" t="n"/>
      <c r="I49" s="4" t="n"/>
      <c r="J49" s="2" t="n"/>
      <c r="K49" s="15">
        <f>IF('RPT1'!$J49="","",'RPT1'!$J49)</f>
        <v/>
      </c>
      <c r="L49" s="15">
        <f>IF('RPT2'!$J49="","",'RPT2'!$J49)</f>
        <v/>
      </c>
      <c r="M49" s="15">
        <f>IF('RPT3'!$J49="","",'RPT3'!$J49)</f>
        <v/>
      </c>
    </row>
    <row r="50">
      <c r="A50" s="16" t="inlineStr">
        <is>
          <t>Specialty Rebucketing - [Placeholder]</t>
        </is>
      </c>
      <c r="B50" s="2" t="n"/>
      <c r="C50" s="21">
        <f>IF(Combine="Y", $G50, 0)</f>
        <v/>
      </c>
      <c r="D50" s="2" t="n"/>
      <c r="E50" s="4" t="n"/>
      <c r="F50" s="2" t="n"/>
      <c r="G50" s="21">
        <f>IF($K50="[blank]", "[blank]", IF(AND(
IF($L50="[blank]",TRUE,$K50=$L50),
IF($M50="[blank]",TRUE,$K50=$M50)), $K50, "Combined RPT"))</f>
        <v/>
      </c>
      <c r="H50" s="2" t="n"/>
      <c r="I50" s="4" t="n"/>
      <c r="J50" s="2" t="n"/>
      <c r="K50" s="15">
        <f>IF('RPT1'!$J50="","",'RPT1'!$J50)</f>
        <v/>
      </c>
      <c r="L50" s="15">
        <f>IF('RPT2'!$J50="","",'RPT2'!$J50)</f>
        <v/>
      </c>
      <c r="M50" s="15">
        <f>IF('RPT3'!$J50="","",'RPT3'!$J50)</f>
        <v/>
      </c>
    </row>
    <row r="51">
      <c r="A51" s="16" t="inlineStr">
        <is>
          <t>Data Filters</t>
        </is>
      </c>
      <c r="B51" s="2" t="n"/>
      <c r="C51" s="17">
        <f>IF(Combine="Y", $G51, 0)</f>
        <v/>
      </c>
      <c r="D51" s="2" t="n"/>
      <c r="E51" s="4" t="n"/>
      <c r="F51" s="2" t="n"/>
      <c r="G51" s="17">
        <f>IF($K51="[blank]", "[blank]", IF(AND(
IF($L51="[blank]",TRUE,$K51=$L51),
IF($M51="[blank]",TRUE,$K51=$M51)), $K51, "Combined RPT"))</f>
        <v/>
      </c>
      <c r="H51" s="2" t="n"/>
      <c r="I51" s="4" t="n"/>
      <c r="J51" s="2" t="n"/>
      <c r="K51" s="15">
        <f>IF('RPT1'!$J51="","",'RPT1'!$J51)</f>
        <v/>
      </c>
      <c r="L51" s="15">
        <f>IF('RPT2'!$J51="","",'RPT2'!$J51)</f>
        <v/>
      </c>
      <c r="M51" s="15">
        <f>IF('RPT3'!$J51="","",'RPT3'!$J51)</f>
        <v/>
      </c>
    </row>
    <row r="52">
      <c r="A52" s="16" t="inlineStr">
        <is>
          <t>Mail 30 DS Script Distribution</t>
        </is>
      </c>
      <c r="B52" s="2" t="n"/>
      <c r="C52" s="17">
        <f>IF(Combine="Y", $G52, 0)</f>
        <v/>
      </c>
      <c r="D52" s="2" t="n"/>
      <c r="E52" s="4" t="n"/>
      <c r="F52" s="2" t="n"/>
      <c r="G52" s="17">
        <f>IF(G122=0, 0, SUMPRODUCT($K122:$M122,$K52:$M52) / G122)</f>
        <v/>
      </c>
      <c r="H52" s="2" t="n"/>
      <c r="I52" s="4" t="n"/>
      <c r="J52" s="2" t="n"/>
      <c r="K52" s="15">
        <f>IF('RPT1'!$J52="","",'RPT1'!$J52)</f>
        <v/>
      </c>
      <c r="L52" s="15">
        <f>IF('RPT2'!$J52="","",'RPT2'!$J52)</f>
        <v/>
      </c>
      <c r="M52" s="15">
        <f>IF('RPT3'!$J52="","",'RPT3'!$J52)</f>
        <v/>
      </c>
    </row>
    <row r="53">
      <c r="A53" s="16" t="inlineStr">
        <is>
          <t>Mail 30 DS Rebate Distribution</t>
        </is>
      </c>
      <c r="B53" s="2" t="n"/>
      <c r="C53" s="17">
        <f>IF(Combine="Y", $G53, 0)</f>
        <v/>
      </c>
      <c r="D53" s="2" t="n"/>
      <c r="E53" s="4" t="n"/>
      <c r="F53" s="2" t="n"/>
      <c r="G53" s="17">
        <f>IF($K53="[blank]", "[blank]", IF(AND(
IF($L53="[blank]",TRUE,$K53=$L53),
IF($M53="[blank]",TRUE,$K53=$M53)), $K53, "Combined RPT"))</f>
        <v/>
      </c>
      <c r="H53" s="2" t="n"/>
      <c r="I53" s="4" t="n"/>
      <c r="J53" s="2" t="n"/>
      <c r="K53" s="15">
        <f>IF('RPT1'!$J53="","",'RPT1'!$J53)</f>
        <v/>
      </c>
      <c r="L53" s="15">
        <f>IF('RPT2'!$J53="","",'RPT2'!$J53)</f>
        <v/>
      </c>
      <c r="M53" s="15">
        <f>IF('RPT3'!$J53="","",'RPT3'!$J53)</f>
        <v/>
      </c>
    </row>
    <row r="54">
      <c r="A54" s="16" t="inlineStr">
        <is>
          <t>B/G Selected URL</t>
        </is>
      </c>
      <c r="B54" s="2" t="n"/>
      <c r="C54" s="17">
        <f>IF(Combine="Y", $G54, 0)</f>
        <v/>
      </c>
      <c r="D54" s="2" t="n"/>
      <c r="E54" s="4" t="n"/>
      <c r="F54" s="2" t="n"/>
      <c r="G54" s="17">
        <f>IF($K54="[blank]", "[blank]", IF(AND(
IF($L54="[blank]",TRUE,$K54=$L54),
IF($M54="[blank]",TRUE,$K54=$M54)), $K54, "Combined RPT"))</f>
        <v/>
      </c>
      <c r="H54" s="2" t="n"/>
      <c r="I54" s="4" t="n"/>
      <c r="J54" s="2" t="n"/>
      <c r="K54" s="15">
        <f>IF('RPT1'!$J54="","",'RPT1'!$J54)</f>
        <v/>
      </c>
      <c r="L54" s="15">
        <f>IF('RPT2'!$J54="","",'RPT2'!$J54)</f>
        <v/>
      </c>
      <c r="M54" s="15">
        <f>IF('RPT3'!$J54="","",'RPT3'!$J54)</f>
        <v/>
      </c>
    </row>
    <row r="55">
      <c r="A55" s="16" t="inlineStr">
        <is>
          <t>oGLP-1 Scenario for New Coverage</t>
        </is>
      </c>
      <c r="B55" s="2" t="n"/>
      <c r="C55" s="21">
        <f>IF(Combine="Y", $G55, 0)</f>
        <v/>
      </c>
      <c r="D55" s="2" t="n"/>
      <c r="E55" s="4" t="n"/>
      <c r="F55" s="2" t="n"/>
      <c r="G55" s="21">
        <f>IF($K55="[blank]", "[blank]", IF(AND(
IF($L55="[blank]",TRUE,$K55=$L55),
IF($M55="[blank]",TRUE,$K55=$M55)), $K55, "Combined RPT"))</f>
        <v/>
      </c>
      <c r="H55" s="2" t="n"/>
      <c r="I55" s="4" t="n"/>
      <c r="J55" s="2" t="n"/>
      <c r="K55" s="15">
        <f>IF('RPT1'!$J55="","",'RPT1'!$J55)</f>
        <v/>
      </c>
      <c r="L55" s="15">
        <f>IF('RPT2'!$J55="","",'RPT2'!$J55)</f>
        <v/>
      </c>
      <c r="M55" s="15">
        <f>IF('RPT3'!$J55="","",'RPT3'!$J55)</f>
        <v/>
      </c>
    </row>
    <row r="56">
      <c r="A56" s="16" t="inlineStr">
        <is>
          <t>[Placeholder]</t>
        </is>
      </c>
      <c r="B56" s="2" t="n"/>
      <c r="C56" s="21">
        <f>IF(Combine="Y", $G56, 0)</f>
        <v/>
      </c>
      <c r="D56" s="2" t="n"/>
      <c r="E56" s="4" t="n"/>
      <c r="F56" s="2" t="n"/>
      <c r="G56" s="21">
        <f>IF($K56="[blank]", "[blank]", IF(AND(
IF($L56="[blank]",TRUE,$K56=$L56),
IF($M56="[blank]",TRUE,$K56=$M56)), $K56, "Combined RPT"))</f>
        <v/>
      </c>
      <c r="H56" s="2" t="n"/>
      <c r="I56" s="4" t="n"/>
      <c r="J56" s="2" t="n"/>
      <c r="K56" s="15">
        <f>IF('RPT1'!$J56="","",'RPT1'!$J56)</f>
        <v/>
      </c>
      <c r="L56" s="15">
        <f>IF('RPT2'!$J56="","",'RPT2'!$J56)</f>
        <v/>
      </c>
      <c r="M56" s="15">
        <f>IF('RPT3'!$J56="","",'RPT3'!$J56)</f>
        <v/>
      </c>
    </row>
    <row r="57">
      <c r="A57" s="16" t="inlineStr">
        <is>
          <t>[Placeholder]</t>
        </is>
      </c>
      <c r="B57" s="2" t="n"/>
      <c r="C57" s="21">
        <f>IF(Combine="Y", $G57, 0)</f>
        <v/>
      </c>
      <c r="D57" s="2" t="n"/>
      <c r="E57" s="4" t="n"/>
      <c r="F57" s="2" t="n"/>
      <c r="G57" s="21">
        <f>IF($K57="[blank]", "[blank]", IF(AND(
IF($L57="[blank]",TRUE,$K57=$L57),
IF($M57="[blank]",TRUE,$K57=$M57)), $K57, "Combined RPT"))</f>
        <v/>
      </c>
      <c r="H57" s="2" t="n"/>
      <c r="I57" s="4" t="n"/>
      <c r="J57" s="2" t="n"/>
      <c r="K57" s="15">
        <f>IF('RPT1'!$J57="","",'RPT1'!$J57)</f>
        <v/>
      </c>
      <c r="L57" s="15">
        <f>IF('RPT2'!$J57="","",'RPT2'!$J57)</f>
        <v/>
      </c>
      <c r="M57" s="15">
        <f>IF('RPT3'!$J57="","",'RPT3'!$J57)</f>
        <v/>
      </c>
    </row>
    <row r="58">
      <c r="A58" s="16" t="inlineStr">
        <is>
          <t>Specialty List</t>
        </is>
      </c>
      <c r="B58" s="2" t="n"/>
      <c r="C58" s="17">
        <f>IF(Combine="Y", $G58, 0)</f>
        <v/>
      </c>
      <c r="D58" s="2" t="n"/>
      <c r="E58" s="4" t="n"/>
      <c r="F58" s="2" t="n"/>
      <c r="G58" s="17">
        <f>IF($K58="[blank]", "[blank]", IF(AND(
IF($L58="[blank]",TRUE,$K58=$L58),
IF($M58="[blank]",TRUE,$K58=$M58)), $K58, "Combined RPT"))</f>
        <v/>
      </c>
      <c r="H58" s="2" t="n"/>
      <c r="I58" s="4" t="n"/>
      <c r="J58" s="2" t="n"/>
      <c r="K58" s="15">
        <f>IF('RPT1'!$J58="","",'RPT1'!$J58)</f>
        <v/>
      </c>
      <c r="L58" s="15">
        <f>IF('RPT2'!$J58="","",'RPT2'!$J58)</f>
        <v/>
      </c>
      <c r="M58" s="15">
        <f>IF('RPT3'!$J58="","",'RPT3'!$J58)</f>
        <v/>
      </c>
    </row>
    <row r="59">
      <c r="A59" s="16" t="inlineStr">
        <is>
          <t>B/G Definition</t>
        </is>
      </c>
      <c r="B59" s="2" t="n"/>
      <c r="C59" s="17">
        <f>IF(Combine="Y", $G59, 0)</f>
        <v/>
      </c>
      <c r="D59" s="2" t="n"/>
      <c r="E59" s="4" t="n"/>
      <c r="F59" s="2" t="n"/>
      <c r="G59" s="17">
        <f>IF($K59="[blank]", "[blank]", IF(AND(
IF($L59="[blank]",TRUE,$K59=$L59),
IF($M59="[blank]",TRUE,$K59=$M59)), $K59, "Combined RPT"))</f>
        <v/>
      </c>
      <c r="H59" s="2" t="n"/>
      <c r="I59" s="4" t="n"/>
      <c r="J59" s="2" t="n"/>
      <c r="K59" s="15">
        <f>IF('RPT1'!$J59="","",'RPT1'!$J59)</f>
        <v/>
      </c>
      <c r="L59" s="15">
        <f>IF('RPT2'!$J59="","",'RPT2'!$J59)</f>
        <v/>
      </c>
      <c r="M59" s="15">
        <f>IF('RPT3'!$J59="","",'RPT3'!$J59)</f>
        <v/>
      </c>
    </row>
    <row r="60">
      <c r="A60" s="16" t="inlineStr">
        <is>
          <t>Lift Type</t>
        </is>
      </c>
      <c r="B60" s="2" t="n"/>
      <c r="C60" s="17">
        <f>IF(Combine="Y", $G60, 0)</f>
        <v/>
      </c>
      <c r="D60" s="2" t="n"/>
      <c r="E60" s="4" t="n"/>
      <c r="F60" s="2" t="n"/>
      <c r="G60" s="17">
        <f>IF($K60="[blank]", "[blank]", IF(AND(
IF($L60="[blank]",TRUE,$K60=$L60),
IF($M60="[blank]",TRUE,$K60=$M60)), $K60, "Combined RPT"))</f>
        <v/>
      </c>
      <c r="H60" s="2" t="n"/>
      <c r="I60" s="4" t="n"/>
      <c r="J60" s="2" t="n"/>
      <c r="K60" s="15">
        <f>IF('RPT1'!$J60="","",'RPT1'!$J60)</f>
        <v/>
      </c>
      <c r="L60" s="15">
        <f>IF('RPT2'!$J60="","",'RPT2'!$J60)</f>
        <v/>
      </c>
      <c r="M60" s="15">
        <f>IF('RPT3'!$J60="","",'RPT3'!$J60)</f>
        <v/>
      </c>
    </row>
    <row r="61">
      <c r="A61" s="16" t="inlineStr">
        <is>
          <t>Shifting</t>
        </is>
      </c>
      <c r="B61" s="2" t="n"/>
      <c r="C61" s="17">
        <f>IF(Combine="Y", $G61, 0)</f>
        <v/>
      </c>
      <c r="D61" s="2" t="n"/>
      <c r="E61" s="4" t="n"/>
      <c r="F61" s="2" t="n"/>
      <c r="G61" s="17">
        <f>IF($K61="[blank]", "[blank]", IF(AND(
IF($L61="[blank]",TRUE,$K61=$L61),
IF($M61="[blank]",TRUE,$K61=$M61)), $K61, "Combined RPT"))</f>
        <v/>
      </c>
      <c r="H61" s="2" t="n"/>
      <c r="I61" s="4" t="n"/>
      <c r="J61" s="2" t="n"/>
      <c r="K61" s="15">
        <f>IF('RPT1'!$J61="","",'RPT1'!$J61)</f>
        <v/>
      </c>
      <c r="L61" s="15">
        <f>IF('RPT2'!$J61="","",'RPT2'!$J61)</f>
        <v/>
      </c>
      <c r="M61" s="15">
        <f>IF('RPT3'!$J61="","",'RPT3'!$J61)</f>
        <v/>
      </c>
    </row>
    <row r="62">
      <c r="A62" s="16" t="inlineStr">
        <is>
          <t>Patent List</t>
        </is>
      </c>
      <c r="B62" s="2" t="n"/>
      <c r="C62" s="17">
        <f>IF(Combine="Y", $G62, 0)</f>
        <v/>
      </c>
      <c r="D62" s="2" t="n"/>
      <c r="E62" s="4" t="n"/>
      <c r="F62" s="2" t="n"/>
      <c r="G62" s="17">
        <f>IF($K62="[blank]", "[blank]", IF(AND(
IF($L62="[blank]",TRUE,$K62=$L62),
IF($M62="[blank]",TRUE,$K62=$M62)), $K62, "Combined RPT"))</f>
        <v/>
      </c>
      <c r="H62" s="2" t="n"/>
      <c r="I62" s="4" t="n"/>
      <c r="J62" s="2" t="n"/>
      <c r="K62" s="15">
        <f>IF('RPT1'!$J62="","",'RPT1'!$J62)</f>
        <v/>
      </c>
      <c r="L62" s="15">
        <f>IF('RPT2'!$J62="","",'RPT2'!$J62)</f>
        <v/>
      </c>
      <c r="M62" s="15">
        <f>IF('RPT3'!$J62="","",'RPT3'!$J62)</f>
        <v/>
      </c>
    </row>
    <row r="63">
      <c r="A63" s="16" t="inlineStr">
        <is>
          <t>Rebate Credit</t>
        </is>
      </c>
      <c r="B63" s="2" t="n"/>
      <c r="C63" s="17">
        <f>IF(Combine="Y", $G63, 0)</f>
        <v/>
      </c>
      <c r="D63" s="2" t="n"/>
      <c r="E63" s="4" t="n"/>
      <c r="F63" s="2" t="n"/>
      <c r="G63" s="17">
        <f>IF($K63="[blank]", "[blank]", IF(AND(
IF($L63="[blank]",TRUE,$K63=$L63),
IF($M63="[blank]",TRUE,$K63=$M63)), $K63, "Combined RPT"))</f>
        <v/>
      </c>
      <c r="H63" s="2" t="n"/>
      <c r="I63" s="4" t="n"/>
      <c r="J63" s="2" t="n"/>
      <c r="K63" s="15">
        <f>IF('RPT1'!$J63="","",'RPT1'!$J63)</f>
        <v/>
      </c>
      <c r="L63" s="15">
        <f>IF('RPT2'!$J63="","",'RPT2'!$J63)</f>
        <v/>
      </c>
      <c r="M63" s="15">
        <f>IF('RPT3'!$J63="","",'RPT3'!$J63)</f>
        <v/>
      </c>
    </row>
    <row r="64">
      <c r="A64" s="16" t="inlineStr">
        <is>
          <t>Continuation of Therapy - Non-Specialty - Applied</t>
        </is>
      </c>
      <c r="B64" s="2" t="n"/>
      <c r="C64" s="17">
        <f>IF(Combine="Y", $G64, 0)</f>
        <v/>
      </c>
      <c r="D64" s="2" t="n"/>
      <c r="E64" s="4" t="n"/>
      <c r="F64" s="2" t="n"/>
      <c r="G64" s="17">
        <f>IF($K64="[blank]", "[blank]", IF(AND(
IF($L64="[blank]",TRUE,$K64=$L64),
IF($M64="[blank]",TRUE,$K64=$M64)), $K64, "Combined RPT"))</f>
        <v/>
      </c>
      <c r="H64" s="2" t="n"/>
      <c r="I64" s="4" t="n"/>
      <c r="J64" s="2" t="n"/>
      <c r="K64" s="15">
        <f>IF('RPT1'!$J64="","",'RPT1'!$J64)</f>
        <v/>
      </c>
      <c r="L64" s="15">
        <f>IF('RPT2'!$J64="","",'RPT2'!$J64)</f>
        <v/>
      </c>
      <c r="M64" s="15">
        <f>IF('RPT3'!$J64="","",'RPT3'!$J64)</f>
        <v/>
      </c>
    </row>
    <row r="65">
      <c r="A65" s="16" t="inlineStr">
        <is>
          <t>Continuation of Therapy - Non-Specialty - Months</t>
        </is>
      </c>
      <c r="B65" s="2" t="n"/>
      <c r="C65" s="17">
        <f>IF(Combine="Y", $G65, 0)</f>
        <v/>
      </c>
      <c r="D65" s="2" t="n"/>
      <c r="E65" s="4" t="n"/>
      <c r="F65" s="2" t="n"/>
      <c r="G65" s="17">
        <f>IF($K65="[blank]", "[blank]", IF(AND(
IF($L65="[blank]",TRUE,$K65=$L65),
IF($M65="[blank]",TRUE,$K65=$M65)), $K65, "Combined RPT"))</f>
        <v/>
      </c>
      <c r="H65" s="2" t="n"/>
      <c r="I65" s="4" t="n"/>
      <c r="J65" s="2" t="n"/>
      <c r="K65" s="15">
        <f>IF('RPT1'!$J65="","",'RPT1'!$J65)</f>
        <v/>
      </c>
      <c r="L65" s="15">
        <f>IF('RPT2'!$J65="","",'RPT2'!$J65)</f>
        <v/>
      </c>
      <c r="M65" s="15">
        <f>IF('RPT3'!$J65="","",'RPT3'!$J65)</f>
        <v/>
      </c>
    </row>
    <row r="66">
      <c r="A66" s="16" t="inlineStr">
        <is>
          <t>Continuation of Therapy - Specialty - Applied</t>
        </is>
      </c>
      <c r="B66" s="2" t="n"/>
      <c r="C66" s="17">
        <f>IF(Combine="Y", $G66, 0)</f>
        <v/>
      </c>
      <c r="D66" s="2" t="n"/>
      <c r="E66" s="4" t="n"/>
      <c r="F66" s="2" t="n"/>
      <c r="G66" s="17">
        <f>IF($K66="[blank]", "[blank]", IF(AND(
IF($L66="[blank]",TRUE,$K66=$L66),
IF($M66="[blank]",TRUE,$K66=$M66)), $K66, "Combined RPT"))</f>
        <v/>
      </c>
      <c r="H66" s="2" t="n"/>
      <c r="I66" s="4" t="n"/>
      <c r="J66" s="2" t="n"/>
      <c r="K66" s="15">
        <f>IF('RPT1'!$J66="","",'RPT1'!$J66)</f>
        <v/>
      </c>
      <c r="L66" s="15">
        <f>IF('RPT2'!$J66="","",'RPT2'!$J66)</f>
        <v/>
      </c>
      <c r="M66" s="15">
        <f>IF('RPT3'!$J66="","",'RPT3'!$J66)</f>
        <v/>
      </c>
    </row>
    <row r="67">
      <c r="A67" s="16" t="inlineStr">
        <is>
          <t>Continuation of Therapy - Specialty - Months</t>
        </is>
      </c>
      <c r="B67" s="2" t="n"/>
      <c r="C67" s="17">
        <f>IF(Combine="Y", $G67, 0)</f>
        <v/>
      </c>
      <c r="D67" s="2" t="n"/>
      <c r="E67" s="4" t="n"/>
      <c r="F67" s="2" t="n"/>
      <c r="G67" s="17">
        <f>IF($K67="[blank]", "[blank]", IF(AND(
IF($L67="[blank]",TRUE,$K67=$L67),
IF($M67="[blank]",TRUE,$K67=$M67)), $K67, "Combined RPT"))</f>
        <v/>
      </c>
      <c r="H67" s="2" t="n"/>
      <c r="I67" s="4" t="n"/>
      <c r="J67" s="2" t="n"/>
      <c r="K67" s="15">
        <f>IF('RPT1'!$J67="","",'RPT1'!$J67)</f>
        <v/>
      </c>
      <c r="L67" s="15">
        <f>IF('RPT2'!$J67="","",'RPT2'!$J67)</f>
        <v/>
      </c>
      <c r="M67" s="15">
        <f>IF('RPT3'!$J67="","",'RPT3'!$J67)</f>
        <v/>
      </c>
    </row>
    <row r="68">
      <c r="A68" s="16" t="inlineStr">
        <is>
          <t>AMP Cap</t>
        </is>
      </c>
      <c r="B68" s="2" t="n"/>
      <c r="C68" s="17">
        <f>IF(Combine="Y", $G68, 0)</f>
        <v/>
      </c>
      <c r="D68" s="2" t="n"/>
      <c r="E68" s="4" t="n"/>
      <c r="F68" s="2" t="n"/>
      <c r="G68" s="17">
        <f>IF($K68="[blank]", "[blank]", IF(AND(
IF($L68="[blank]",TRUE,$K68=$L68),
IF($M68="[blank]",TRUE,$K68=$M68)), $K68, "Combined RPT"))</f>
        <v/>
      </c>
      <c r="H68" s="2" t="n"/>
      <c r="I68" s="4" t="n"/>
      <c r="J68" s="2" t="n"/>
      <c r="K68" s="15">
        <f>IF('RPT1'!$J68="","",'RPT1'!$J68)</f>
        <v/>
      </c>
      <c r="L68" s="15">
        <f>IF('RPT2'!$J68="","",'RPT2'!$J68)</f>
        <v/>
      </c>
      <c r="M68" s="15">
        <f>IF('RPT3'!$J68="","",'RPT3'!$J68)</f>
        <v/>
      </c>
    </row>
    <row r="69">
      <c r="A69" s="16" t="inlineStr">
        <is>
          <t>Apply Annualization</t>
        </is>
      </c>
      <c r="B69" s="2" t="n"/>
      <c r="C69" s="17">
        <f>IF(Combine="Y", $G69, 0)</f>
        <v/>
      </c>
      <c r="D69" s="2" t="n"/>
      <c r="E69" s="4" t="n"/>
      <c r="F69" s="2" t="n"/>
      <c r="G69" s="17">
        <f>IF($K69="[blank]", "[blank]", IF(AND(
IF($L69="[blank]",TRUE,$K69=$L69),
IF($M69="[blank]",TRUE,$K69=$M69)), $K69, "Combined RPT"))</f>
        <v/>
      </c>
      <c r="H69" s="2" t="n"/>
      <c r="I69" s="4" t="n"/>
      <c r="J69" s="2" t="n"/>
      <c r="K69" s="15">
        <f>IF('RPT1'!$J69="","",'RPT1'!$J69)</f>
        <v/>
      </c>
      <c r="L69" s="15">
        <f>IF('RPT2'!$J69="","",'RPT2'!$J69)</f>
        <v/>
      </c>
      <c r="M69" s="15">
        <f>IF('RPT3'!$J69="","",'RPT3'!$J69)</f>
        <v/>
      </c>
    </row>
    <row r="70">
      <c r="A70" s="16" t="inlineStr">
        <is>
          <t>Apply Enhanced UM</t>
        </is>
      </c>
      <c r="B70" s="2" t="n"/>
      <c r="C70" s="17">
        <f>IF(Combine="Y", $G70, 0)</f>
        <v/>
      </c>
      <c r="D70" s="2" t="n"/>
      <c r="E70" s="4" t="n"/>
      <c r="F70" s="2" t="n"/>
      <c r="G70" s="17">
        <f>IF($K70="[blank]", "[blank]", IF(AND(
IF($L70="[blank]",TRUE,$K70=$L70),
IF($M70="[blank]",TRUE,$K70=$M70)), $K70, "Combined RPT"))</f>
        <v/>
      </c>
      <c r="H70" s="2" t="n"/>
      <c r="I70" s="4" t="n"/>
      <c r="J70" s="2" t="n"/>
      <c r="K70" s="15">
        <f>IF('RPT1'!$J70="","",'RPT1'!$J70)</f>
        <v/>
      </c>
      <c r="L70" s="15">
        <f>IF('RPT2'!$J70="","",'RPT2'!$J70)</f>
        <v/>
      </c>
      <c r="M70" s="15">
        <f>IF('RPT3'!$J70="","",'RPT3'!$J70)</f>
        <v/>
      </c>
    </row>
    <row r="71">
      <c r="A71" s="16" t="inlineStr">
        <is>
          <t>Weight Loss Coverage</t>
        </is>
      </c>
      <c r="B71" s="2" t="n"/>
      <c r="C71" s="17">
        <f>IF(Combine="Y", $G71, 0)</f>
        <v/>
      </c>
      <c r="D71" s="2" t="n"/>
      <c r="E71" s="4" t="n"/>
      <c r="F71" s="2" t="n"/>
      <c r="G71" s="17">
        <f>IF($K71="[blank]", "[blank]", IF(AND(
IF($L71="[blank]",TRUE,$K71=$L71),
IF($M71="[blank]",TRUE,$K71=$M71)), $K71, "Combined RPT"))</f>
        <v/>
      </c>
      <c r="H71" s="2" t="n"/>
      <c r="I71" s="4" t="n"/>
      <c r="J71" s="2" t="n"/>
      <c r="K71" s="15">
        <f>IF('RPT1'!$J71="","",'RPT1'!$J71)</f>
        <v/>
      </c>
      <c r="L71" s="15">
        <f>IF('RPT2'!$J71="","",'RPT2'!$J71)</f>
        <v/>
      </c>
      <c r="M71" s="15">
        <f>IF('RPT3'!$J71="","",'RPT3'!$J71)</f>
        <v/>
      </c>
    </row>
    <row r="72">
      <c r="A72" s="16" t="inlineStr">
        <is>
          <t>Medicare Part B Coverage</t>
        </is>
      </c>
      <c r="B72" s="2" t="n"/>
      <c r="C72" s="17">
        <f>IF(Combine="Y", $G72, 0)</f>
        <v/>
      </c>
      <c r="D72" s="2" t="n"/>
      <c r="E72" s="4" t="n"/>
      <c r="F72" s="2" t="n"/>
      <c r="G72" s="17">
        <f>IF($K72="[blank]", "[blank]", IF(AND(
IF($L72="[blank]",TRUE,$K72=$L72),
IF($M72="[blank]",TRUE,$K72=$M72)), $K72, "Combined RPT"))</f>
        <v/>
      </c>
      <c r="H72" s="2" t="n"/>
      <c r="I72" s="4" t="n"/>
      <c r="J72" s="2" t="n"/>
      <c r="K72" s="15">
        <f>IF('RPT1'!$J72="","",'RPT1'!$J72)</f>
        <v/>
      </c>
      <c r="L72" s="15">
        <f>IF('RPT2'!$J72="","",'RPT2'!$J72)</f>
        <v/>
      </c>
      <c r="M72" s="15">
        <f>IF('RPT3'!$J72="","",'RPT3'!$J72)</f>
        <v/>
      </c>
    </row>
    <row r="73">
      <c r="A73" s="16" t="inlineStr">
        <is>
          <t>Strategy for Humira</t>
        </is>
      </c>
      <c r="B73" s="2" t="n"/>
      <c r="C73" s="17">
        <f>IF(Combine="Y", $G73, 0)</f>
        <v/>
      </c>
      <c r="D73" s="2" t="n"/>
      <c r="E73" s="4" t="n"/>
      <c r="F73" s="2" t="n"/>
      <c r="G73" s="17">
        <f>IF($K73="[blank]", "[blank]", IF(AND(
IF($L73="[blank]",TRUE,$K73=$L73),
IF($M73="[blank]",TRUE,$K73=$M73)), $K73, "Combined RPT"))</f>
        <v/>
      </c>
      <c r="H73" s="2" t="n"/>
      <c r="I73" s="4" t="n"/>
      <c r="J73" s="2" t="n"/>
      <c r="K73" s="15">
        <f>IF('RPT1'!$J73="","",'RPT1'!$J73)</f>
        <v/>
      </c>
      <c r="L73" s="15">
        <f>IF('RPT2'!$J73="","",'RPT2'!$J73)</f>
        <v/>
      </c>
      <c r="M73" s="15">
        <f>IF('RPT3'!$J73="","",'RPT3'!$J73)</f>
        <v/>
      </c>
    </row>
    <row r="74">
      <c r="A74" s="16" t="inlineStr">
        <is>
          <t>MFP Year(s)</t>
        </is>
      </c>
      <c r="B74" s="2" t="n"/>
      <c r="C74" s="17">
        <f>IF(Combine="Y", $G74, 0)</f>
        <v/>
      </c>
      <c r="D74" s="2" t="n"/>
      <c r="E74" s="4" t="n"/>
      <c r="F74" s="2" t="n"/>
      <c r="G74" s="17">
        <f>IF($K74="[blank]", "[blank]", IF(AND(
IF($L74="[blank]",TRUE,$K74=$L74),
IF($M74="[blank]",TRUE,$K74=$M74)), $K74, "Combined RPT"))</f>
        <v/>
      </c>
      <c r="H74" s="2" t="n"/>
      <c r="I74" s="4" t="n"/>
      <c r="J74" s="2" t="n"/>
      <c r="K74" s="15">
        <f>IF('RPT1'!$J74="","",'RPT1'!$J74)</f>
        <v/>
      </c>
      <c r="L74" s="15">
        <f>IF('RPT2'!$J74="","",'RPT2'!$J74)</f>
        <v/>
      </c>
      <c r="M74" s="15">
        <f>IF('RPT3'!$J74="","",'RPT3'!$J74)</f>
        <v/>
      </c>
    </row>
    <row r="75">
      <c r="A75" s="16" t="inlineStr">
        <is>
          <t>Strategy for Stelara</t>
        </is>
      </c>
      <c r="B75" s="2" t="n"/>
      <c r="C75" s="17">
        <f>IF(Combine="Y", $G75, 0)</f>
        <v/>
      </c>
      <c r="D75" s="2" t="n"/>
      <c r="E75" s="4" t="n"/>
      <c r="F75" s="2" t="n"/>
      <c r="G75" s="17">
        <f>IF($K75="[blank]", "[blank]", IF(AND(
IF($L75="[blank]",TRUE,$K75=$L75),
IF($M75="[blank]",TRUE,$K75=$M75)), $K75, "Combined RPT"))</f>
        <v/>
      </c>
      <c r="H75" s="2" t="n"/>
      <c r="I75" s="4" t="n"/>
      <c r="J75" s="2" t="n"/>
      <c r="K75" s="15">
        <f>IF('RPT1'!$J75="","",'RPT1'!$J75)</f>
        <v/>
      </c>
      <c r="L75" s="15">
        <f>IF('RPT2'!$J75="","",'RPT2'!$J75)</f>
        <v/>
      </c>
      <c r="M75" s="15">
        <f>IF('RPT3'!$J75="","",'RPT3'!$J75)</f>
        <v/>
      </c>
    </row>
    <row r="76">
      <c r="A76" s="16" t="inlineStr">
        <is>
          <t>Is Weight Loss Covered Today</t>
        </is>
      </c>
      <c r="B76" s="2" t="n"/>
      <c r="C76" s="17">
        <f>IF(Combine="Y", $G76, 0)</f>
        <v/>
      </c>
      <c r="D76" s="2" t="n"/>
      <c r="E76" s="4" t="n"/>
      <c r="F76" s="2" t="n"/>
      <c r="G76" s="17">
        <f>IF($K76="[blank]", "[blank]", IF(AND(
IF($L76="[blank]",TRUE,$K76=$L76),
IF($M76="[blank]",TRUE,$K76=$M76)), $K76, "Combined RPT"))</f>
        <v/>
      </c>
      <c r="H76" s="2" t="n"/>
      <c r="I76" s="4" t="n"/>
      <c r="J76" s="2" t="n"/>
      <c r="K76" s="15">
        <f>IF('RPT1'!$J76="","",'RPT1'!$J76)</f>
        <v/>
      </c>
      <c r="L76" s="15">
        <f>IF('RPT2'!$J76="","",'RPT2'!$J76)</f>
        <v/>
      </c>
      <c r="M76" s="15">
        <f>IF('RPT3'!$J76="","",'RPT3'!$J76)</f>
        <v/>
      </c>
    </row>
    <row r="77">
      <c r="A77" s="16" t="inlineStr">
        <is>
          <t>[Placeholder]</t>
        </is>
      </c>
      <c r="B77" s="2" t="n"/>
      <c r="C77" s="20">
        <f>IF(Combine="Y", $G77, 0)</f>
        <v/>
      </c>
      <c r="D77" s="2" t="n"/>
      <c r="E77" s="4" t="n"/>
      <c r="F77" s="2" t="n"/>
      <c r="G77" s="20">
        <f>IF($K77="[blank]", "[blank]", IF(AND(
IF($L77="[blank]",TRUE,$K77=$L77),
IF($M77="[blank]",TRUE,$K77=$M77)), $K77, "Combined RPT"))</f>
        <v/>
      </c>
      <c r="H77" s="2" t="n"/>
      <c r="I77" s="4" t="n"/>
      <c r="J77" s="2" t="n"/>
      <c r="K77" s="15">
        <f>IF('RPT1'!$J77="","",'RPT1'!$J77)</f>
        <v/>
      </c>
      <c r="L77" s="15">
        <f>IF('RPT2'!$J77="","",'RPT2'!$J77)</f>
        <v/>
      </c>
      <c r="M77" s="15">
        <f>IF('RPT3'!$J77="","",'RPT3'!$J77)</f>
        <v/>
      </c>
    </row>
    <row r="78">
      <c r="A78" s="31" t="n"/>
      <c r="B78" s="2" t="n"/>
      <c r="C78" s="14" t="n"/>
      <c r="D78" s="2" t="n"/>
      <c r="E78" s="4" t="n"/>
      <c r="F78" s="2" t="n"/>
      <c r="G78" s="14" t="n"/>
      <c r="H78" s="2" t="n"/>
      <c r="I78" s="4" t="n"/>
      <c r="J78" s="2" t="n"/>
      <c r="K78" s="32" t="n"/>
      <c r="L78" s="32" t="n"/>
      <c r="M78" s="32" t="n"/>
    </row>
    <row r="79">
      <c r="A79" s="12" t="inlineStr">
        <is>
          <t>Projected Scripts - w/o Exclusions</t>
        </is>
      </c>
      <c r="B79" s="2" t="n"/>
      <c r="C79" s="14" t="n"/>
      <c r="D79" s="2" t="n"/>
      <c r="E79" s="4" t="n"/>
      <c r="F79" s="2" t="n"/>
      <c r="G79" s="14" t="n"/>
      <c r="H79" s="2" t="n"/>
      <c r="I79" s="4" t="n"/>
      <c r="J79" s="2" t="n"/>
      <c r="K79" s="32">
        <f>IF('RPT1'!$J79="","",'RPT1'!$J79)</f>
        <v/>
      </c>
      <c r="L79" s="32">
        <f>IF('RPT2'!$J79="","",'RPT2'!$J79)</f>
        <v/>
      </c>
      <c r="M79" s="32">
        <f>IF('RPT3'!$J79="","",'RPT3'!$J79)</f>
        <v/>
      </c>
    </row>
    <row r="80">
      <c r="A80" s="16" t="inlineStr">
        <is>
          <t>Projected Scripts - w/o Exclusions - Mail - Brand - Year 1</t>
        </is>
      </c>
      <c r="B80" s="2" t="n"/>
      <c r="C80" s="33">
        <f>IF(Combine="Y", $G80, 0)</f>
        <v/>
      </c>
      <c r="D80" s="2" t="n"/>
      <c r="E80" s="4" t="n"/>
      <c r="F80" s="2" t="n"/>
      <c r="G80" s="33">
        <f>SUM($K80:$M80)</f>
        <v/>
      </c>
      <c r="H80" s="2" t="n"/>
      <c r="I80" s="4" t="n"/>
      <c r="J80" s="2" t="n"/>
      <c r="K80" s="34">
        <f>IF('RPT1'!$J80="","",'RPT1'!$J80)</f>
        <v/>
      </c>
      <c r="L80" s="34">
        <f>IF('RPT2'!$J80="","",'RPT2'!$J80)</f>
        <v/>
      </c>
      <c r="M80" s="34">
        <f>IF('RPT3'!$J80="","",'RPT3'!$J80)</f>
        <v/>
      </c>
    </row>
    <row r="81">
      <c r="A81" s="16" t="inlineStr">
        <is>
          <t>Projected Scripts - w/o Exclusions - Mail - Brand - Year 2</t>
        </is>
      </c>
      <c r="B81" s="2" t="n"/>
      <c r="C81" s="33">
        <f>IF(Combine="Y", $G81, 0)</f>
        <v/>
      </c>
      <c r="D81" s="2" t="n"/>
      <c r="E81" s="4" t="n"/>
      <c r="F81" s="2" t="n"/>
      <c r="G81" s="33">
        <f>SUM($K81:$M81)</f>
        <v/>
      </c>
      <c r="H81" s="2" t="n"/>
      <c r="I81" s="4" t="n"/>
      <c r="J81" s="2" t="n"/>
      <c r="K81" s="34">
        <f>IF('RPT1'!$J81="","",'RPT1'!$J81)</f>
        <v/>
      </c>
      <c r="L81" s="34">
        <f>IF('RPT2'!$J81="","",'RPT2'!$J81)</f>
        <v/>
      </c>
      <c r="M81" s="34">
        <f>IF('RPT3'!$J81="","",'RPT3'!$J81)</f>
        <v/>
      </c>
    </row>
    <row r="82">
      <c r="A82" s="16" t="inlineStr">
        <is>
          <t>Projected Scripts - w/o Exclusions - Mail - Brand - Year 3</t>
        </is>
      </c>
      <c r="B82" s="2" t="n"/>
      <c r="C82" s="33">
        <f>IF(Combine="Y", $G82, 0)</f>
        <v/>
      </c>
      <c r="D82" s="2" t="n"/>
      <c r="E82" s="4" t="n"/>
      <c r="F82" s="2" t="n"/>
      <c r="G82" s="33">
        <f>SUM($K82:$M82)</f>
        <v/>
      </c>
      <c r="H82" s="2" t="n"/>
      <c r="I82" s="4" t="n"/>
      <c r="J82" s="2" t="n"/>
      <c r="K82" s="34">
        <f>IF('RPT1'!$J82="","",'RPT1'!$J82)</f>
        <v/>
      </c>
      <c r="L82" s="34">
        <f>IF('RPT2'!$J82="","",'RPT2'!$J82)</f>
        <v/>
      </c>
      <c r="M82" s="34">
        <f>IF('RPT3'!$J82="","",'RPT3'!$J82)</f>
        <v/>
      </c>
    </row>
    <row r="83">
      <c r="A83" s="16" t="inlineStr">
        <is>
          <t>Projected Scripts - w/o Exclusions - Mail - Brand - Year 4</t>
        </is>
      </c>
      <c r="B83" s="2" t="n"/>
      <c r="C83" s="33">
        <f>IF(Combine="Y", $G83, 0)</f>
        <v/>
      </c>
      <c r="D83" s="2" t="n"/>
      <c r="E83" s="4" t="n"/>
      <c r="F83" s="2" t="n"/>
      <c r="G83" s="33">
        <f>SUM($K83:$M83)</f>
        <v/>
      </c>
      <c r="H83" s="2" t="n"/>
      <c r="I83" s="4" t="n"/>
      <c r="J83" s="2" t="n"/>
      <c r="K83" s="34">
        <f>IF('RPT1'!$J83="","",'RPT1'!$J83)</f>
        <v/>
      </c>
      <c r="L83" s="34">
        <f>IF('RPT2'!$J83="","",'RPT2'!$J83)</f>
        <v/>
      </c>
      <c r="M83" s="34">
        <f>IF('RPT3'!$J83="","",'RPT3'!$J83)</f>
        <v/>
      </c>
    </row>
    <row r="84">
      <c r="A84" s="16" t="inlineStr">
        <is>
          <t>Projected Scripts - w/o Exclusions - Mail - Brand - Year 5</t>
        </is>
      </c>
      <c r="B84" s="2" t="n"/>
      <c r="C84" s="33">
        <f>IF(Combine="Y", $G84, 0)</f>
        <v/>
      </c>
      <c r="D84" s="2" t="n"/>
      <c r="E84" s="4" t="n"/>
      <c r="F84" s="2" t="n"/>
      <c r="G84" s="33">
        <f>SUM($K84:$M84)</f>
        <v/>
      </c>
      <c r="H84" s="2" t="n"/>
      <c r="I84" s="4" t="n"/>
      <c r="J84" s="2" t="n"/>
      <c r="K84" s="34">
        <f>IF('RPT1'!$J84="","",'RPT1'!$J84)</f>
        <v/>
      </c>
      <c r="L84" s="34">
        <f>IF('RPT2'!$J84="","",'RPT2'!$J84)</f>
        <v/>
      </c>
      <c r="M84" s="34">
        <f>IF('RPT3'!$J84="","",'RPT3'!$J84)</f>
        <v/>
      </c>
    </row>
    <row r="85">
      <c r="A85" s="16" t="inlineStr">
        <is>
          <t>Projected Scripts - w/o Exclusions - Mail - Generic - Year 1</t>
        </is>
      </c>
      <c r="B85" s="2" t="n"/>
      <c r="C85" s="33">
        <f>IF(Combine="Y", $G85, 0)</f>
        <v/>
      </c>
      <c r="D85" s="2" t="n"/>
      <c r="E85" s="4" t="n"/>
      <c r="F85" s="2" t="n"/>
      <c r="G85" s="33">
        <f>SUM($K85:$M85)</f>
        <v/>
      </c>
      <c r="H85" s="2" t="n"/>
      <c r="I85" s="4" t="n"/>
      <c r="J85" s="2" t="n"/>
      <c r="K85" s="34">
        <f>IF('RPT1'!$J85="","",'RPT1'!$J85)</f>
        <v/>
      </c>
      <c r="L85" s="34">
        <f>IF('RPT2'!$J85="","",'RPT2'!$J85)</f>
        <v/>
      </c>
      <c r="M85" s="34">
        <f>IF('RPT3'!$J85="","",'RPT3'!$J85)</f>
        <v/>
      </c>
    </row>
    <row r="86">
      <c r="A86" s="16" t="inlineStr">
        <is>
          <t>Projected Scripts - w/o Exclusions - Mail - Generic - Year 2</t>
        </is>
      </c>
      <c r="B86" s="2" t="n"/>
      <c r="C86" s="33">
        <f>IF(Combine="Y", $G86, 0)</f>
        <v/>
      </c>
      <c r="D86" s="2" t="n"/>
      <c r="E86" s="4" t="n"/>
      <c r="F86" s="2" t="n"/>
      <c r="G86" s="33">
        <f>SUM($K86:$M86)</f>
        <v/>
      </c>
      <c r="H86" s="2" t="n"/>
      <c r="I86" s="4" t="n"/>
      <c r="J86" s="2" t="n"/>
      <c r="K86" s="34">
        <f>IF('RPT1'!$J86="","",'RPT1'!$J86)</f>
        <v/>
      </c>
      <c r="L86" s="34">
        <f>IF('RPT2'!$J86="","",'RPT2'!$J86)</f>
        <v/>
      </c>
      <c r="M86" s="34">
        <f>IF('RPT3'!$J86="","",'RPT3'!$J86)</f>
        <v/>
      </c>
    </row>
    <row r="87">
      <c r="A87" s="16" t="inlineStr">
        <is>
          <t>Projected Scripts - w/o Exclusions - Mail - Generic - Year 3</t>
        </is>
      </c>
      <c r="B87" s="2" t="n"/>
      <c r="C87" s="33">
        <f>IF(Combine="Y", $G87, 0)</f>
        <v/>
      </c>
      <c r="D87" s="2" t="n"/>
      <c r="E87" s="4" t="n"/>
      <c r="F87" s="2" t="n"/>
      <c r="G87" s="33">
        <f>SUM($K87:$M87)</f>
        <v/>
      </c>
      <c r="H87" s="2" t="n"/>
      <c r="I87" s="4" t="n"/>
      <c r="J87" s="2" t="n"/>
      <c r="K87" s="34">
        <f>IF('RPT1'!$J87="","",'RPT1'!$J87)</f>
        <v/>
      </c>
      <c r="L87" s="34">
        <f>IF('RPT2'!$J87="","",'RPT2'!$J87)</f>
        <v/>
      </c>
      <c r="M87" s="34">
        <f>IF('RPT3'!$J87="","",'RPT3'!$J87)</f>
        <v/>
      </c>
    </row>
    <row r="88">
      <c r="A88" s="16" t="inlineStr">
        <is>
          <t>Projected Scripts - w/o Exclusions - Mail - Generic - Year 4</t>
        </is>
      </c>
      <c r="B88" s="2" t="n"/>
      <c r="C88" s="33">
        <f>IF(Combine="Y", $G88, 0)</f>
        <v/>
      </c>
      <c r="D88" s="2" t="n"/>
      <c r="E88" s="4" t="n"/>
      <c r="F88" s="2" t="n"/>
      <c r="G88" s="33">
        <f>SUM($K88:$M88)</f>
        <v/>
      </c>
      <c r="H88" s="2" t="n"/>
      <c r="I88" s="4" t="n"/>
      <c r="J88" s="2" t="n"/>
      <c r="K88" s="34">
        <f>IF('RPT1'!$J88="","",'RPT1'!$J88)</f>
        <v/>
      </c>
      <c r="L88" s="34">
        <f>IF('RPT2'!$J88="","",'RPT2'!$J88)</f>
        <v/>
      </c>
      <c r="M88" s="34">
        <f>IF('RPT3'!$J88="","",'RPT3'!$J88)</f>
        <v/>
      </c>
    </row>
    <row r="89">
      <c r="A89" s="16" t="inlineStr">
        <is>
          <t>Projected Scripts - w/o Exclusions - Mail - Generic - Year 5</t>
        </is>
      </c>
      <c r="B89" s="2" t="n"/>
      <c r="C89" s="33">
        <f>IF(Combine="Y", $G89, 0)</f>
        <v/>
      </c>
      <c r="D89" s="2" t="n"/>
      <c r="E89" s="4" t="n"/>
      <c r="F89" s="2" t="n"/>
      <c r="G89" s="33">
        <f>SUM($K89:$M89)</f>
        <v/>
      </c>
      <c r="H89" s="2" t="n"/>
      <c r="I89" s="4" t="n"/>
      <c r="J89" s="2" t="n"/>
      <c r="K89" s="34">
        <f>IF('RPT1'!$J89="","",'RPT1'!$J89)</f>
        <v/>
      </c>
      <c r="L89" s="34">
        <f>IF('RPT2'!$J89="","",'RPT2'!$J89)</f>
        <v/>
      </c>
      <c r="M89" s="34">
        <f>IF('RPT3'!$J89="","",'RPT3'!$J89)</f>
        <v/>
      </c>
    </row>
    <row r="90">
      <c r="A90" s="16" t="inlineStr">
        <is>
          <t>Projected Scripts - w/o Exclusions - Retail 30 - Brand - Year 1</t>
        </is>
      </c>
      <c r="B90" s="2" t="n"/>
      <c r="C90" s="33">
        <f>IF(Combine="Y", $G90, 0)</f>
        <v/>
      </c>
      <c r="D90" s="2" t="n"/>
      <c r="E90" s="4" t="n"/>
      <c r="F90" s="2" t="n"/>
      <c r="G90" s="33">
        <f>SUM($K90:$M90)</f>
        <v/>
      </c>
      <c r="H90" s="2" t="n"/>
      <c r="I90" s="4" t="n"/>
      <c r="J90" s="2" t="n"/>
      <c r="K90" s="34">
        <f>IF('RPT1'!$J90="","",'RPT1'!$J90)</f>
        <v/>
      </c>
      <c r="L90" s="34">
        <f>IF('RPT2'!$J90="","",'RPT2'!$J90)</f>
        <v/>
      </c>
      <c r="M90" s="34">
        <f>IF('RPT3'!$J90="","",'RPT3'!$J90)</f>
        <v/>
      </c>
    </row>
    <row r="91">
      <c r="A91" s="16" t="inlineStr">
        <is>
          <t>Projected Scripts - w/o Exclusions - Retail 30 - Brand - Year 2</t>
        </is>
      </c>
      <c r="B91" s="2" t="n"/>
      <c r="C91" s="33">
        <f>IF(Combine="Y", $G91, 0)</f>
        <v/>
      </c>
      <c r="D91" s="2" t="n"/>
      <c r="E91" s="4" t="n"/>
      <c r="F91" s="2" t="n"/>
      <c r="G91" s="33">
        <f>SUM($K91:$M91)</f>
        <v/>
      </c>
      <c r="H91" s="2" t="n"/>
      <c r="I91" s="4" t="n"/>
      <c r="J91" s="2" t="n"/>
      <c r="K91" s="34">
        <f>IF('RPT1'!$J91="","",'RPT1'!$J91)</f>
        <v/>
      </c>
      <c r="L91" s="34">
        <f>IF('RPT2'!$J91="","",'RPT2'!$J91)</f>
        <v/>
      </c>
      <c r="M91" s="34">
        <f>IF('RPT3'!$J91="","",'RPT3'!$J91)</f>
        <v/>
      </c>
    </row>
    <row r="92">
      <c r="A92" s="16" t="inlineStr">
        <is>
          <t>Projected Scripts - w/o Exclusions - Retail 30 - Brand - Year 3</t>
        </is>
      </c>
      <c r="B92" s="2" t="n"/>
      <c r="C92" s="33">
        <f>IF(Combine="Y", $G92, 0)</f>
        <v/>
      </c>
      <c r="D92" s="2" t="n"/>
      <c r="E92" s="4" t="n"/>
      <c r="F92" s="2" t="n"/>
      <c r="G92" s="33">
        <f>SUM($K92:$M92)</f>
        <v/>
      </c>
      <c r="H92" s="2" t="n"/>
      <c r="I92" s="4" t="n"/>
      <c r="J92" s="2" t="n"/>
      <c r="K92" s="34">
        <f>IF('RPT1'!$J92="","",'RPT1'!$J92)</f>
        <v/>
      </c>
      <c r="L92" s="34">
        <f>IF('RPT2'!$J92="","",'RPT2'!$J92)</f>
        <v/>
      </c>
      <c r="M92" s="34">
        <f>IF('RPT3'!$J92="","",'RPT3'!$J92)</f>
        <v/>
      </c>
    </row>
    <row r="93">
      <c r="A93" s="16" t="inlineStr">
        <is>
          <t>Projected Scripts - w/o Exclusions - Retail 30 - Brand - Year 4</t>
        </is>
      </c>
      <c r="B93" s="2" t="n"/>
      <c r="C93" s="33">
        <f>IF(Combine="Y", $G93, 0)</f>
        <v/>
      </c>
      <c r="D93" s="2" t="n"/>
      <c r="E93" s="4" t="n"/>
      <c r="F93" s="2" t="n"/>
      <c r="G93" s="33">
        <f>SUM($K93:$M93)</f>
        <v/>
      </c>
      <c r="H93" s="2" t="n"/>
      <c r="I93" s="4" t="n"/>
      <c r="J93" s="2" t="n"/>
      <c r="K93" s="34">
        <f>IF('RPT1'!$J93="","",'RPT1'!$J93)</f>
        <v/>
      </c>
      <c r="L93" s="34">
        <f>IF('RPT2'!$J93="","",'RPT2'!$J93)</f>
        <v/>
      </c>
      <c r="M93" s="34">
        <f>IF('RPT3'!$J93="","",'RPT3'!$J93)</f>
        <v/>
      </c>
    </row>
    <row r="94">
      <c r="A94" s="16" t="inlineStr">
        <is>
          <t>Projected Scripts - w/o Exclusions - Retail 30 - Brand - Year 5</t>
        </is>
      </c>
      <c r="B94" s="2" t="n"/>
      <c r="C94" s="33">
        <f>IF(Combine="Y", $G94, 0)</f>
        <v/>
      </c>
      <c r="D94" s="2" t="n"/>
      <c r="E94" s="4" t="n"/>
      <c r="F94" s="2" t="n"/>
      <c r="G94" s="33">
        <f>SUM($K94:$M94)</f>
        <v/>
      </c>
      <c r="H94" s="2" t="n"/>
      <c r="I94" s="4" t="n"/>
      <c r="J94" s="2" t="n"/>
      <c r="K94" s="34">
        <f>IF('RPT1'!$J94="","",'RPT1'!$J94)</f>
        <v/>
      </c>
      <c r="L94" s="34">
        <f>IF('RPT2'!$J94="","",'RPT2'!$J94)</f>
        <v/>
      </c>
      <c r="M94" s="34">
        <f>IF('RPT3'!$J94="","",'RPT3'!$J94)</f>
        <v/>
      </c>
    </row>
    <row r="95">
      <c r="A95" s="16" t="inlineStr">
        <is>
          <t>Projected Scripts - w/o Exclusions - Retail 30 - Generic - Year 1</t>
        </is>
      </c>
      <c r="B95" s="2" t="n"/>
      <c r="C95" s="33">
        <f>IF(Combine="Y", $G95, 0)</f>
        <v/>
      </c>
      <c r="D95" s="2" t="n"/>
      <c r="E95" s="4" t="n"/>
      <c r="F95" s="2" t="n"/>
      <c r="G95" s="33">
        <f>SUM($K95:$M95)</f>
        <v/>
      </c>
      <c r="H95" s="2" t="n"/>
      <c r="I95" s="4" t="n"/>
      <c r="J95" s="2" t="n"/>
      <c r="K95" s="34">
        <f>IF('RPT1'!$J95="","",'RPT1'!$J95)</f>
        <v/>
      </c>
      <c r="L95" s="34">
        <f>IF('RPT2'!$J95="","",'RPT2'!$J95)</f>
        <v/>
      </c>
      <c r="M95" s="34">
        <f>IF('RPT3'!$J95="","",'RPT3'!$J95)</f>
        <v/>
      </c>
    </row>
    <row r="96">
      <c r="A96" s="16" t="inlineStr">
        <is>
          <t>Projected Scripts - w/o Exclusions - Retail 30 - Generic - Year 2</t>
        </is>
      </c>
      <c r="B96" s="2" t="n"/>
      <c r="C96" s="33">
        <f>IF(Combine="Y", $G96, 0)</f>
        <v/>
      </c>
      <c r="D96" s="2" t="n"/>
      <c r="E96" s="4" t="n"/>
      <c r="F96" s="2" t="n"/>
      <c r="G96" s="33">
        <f>SUM($K96:$M96)</f>
        <v/>
      </c>
      <c r="H96" s="2" t="n"/>
      <c r="I96" s="4" t="n"/>
      <c r="J96" s="2" t="n"/>
      <c r="K96" s="34">
        <f>IF('RPT1'!$J96="","",'RPT1'!$J96)</f>
        <v/>
      </c>
      <c r="L96" s="34">
        <f>IF('RPT2'!$J96="","",'RPT2'!$J96)</f>
        <v/>
      </c>
      <c r="M96" s="34">
        <f>IF('RPT3'!$J96="","",'RPT3'!$J96)</f>
        <v/>
      </c>
    </row>
    <row r="97">
      <c r="A97" s="16" t="inlineStr">
        <is>
          <t>Projected Scripts - w/o Exclusions - Retail 30 - Generic - Year 3</t>
        </is>
      </c>
      <c r="B97" s="2" t="n"/>
      <c r="C97" s="33">
        <f>IF(Combine="Y", $G97, 0)</f>
        <v/>
      </c>
      <c r="D97" s="2" t="n"/>
      <c r="E97" s="4" t="n"/>
      <c r="F97" s="2" t="n"/>
      <c r="G97" s="33">
        <f>SUM($K97:$M97)</f>
        <v/>
      </c>
      <c r="H97" s="2" t="n"/>
      <c r="I97" s="4" t="n"/>
      <c r="J97" s="2" t="n"/>
      <c r="K97" s="34">
        <f>IF('RPT1'!$J97="","",'RPT1'!$J97)</f>
        <v/>
      </c>
      <c r="L97" s="34">
        <f>IF('RPT2'!$J97="","",'RPT2'!$J97)</f>
        <v/>
      </c>
      <c r="M97" s="34">
        <f>IF('RPT3'!$J97="","",'RPT3'!$J97)</f>
        <v/>
      </c>
    </row>
    <row r="98">
      <c r="A98" s="16" t="inlineStr">
        <is>
          <t>Projected Scripts - w/o Exclusions - Retail 30 - Generic - Year 4</t>
        </is>
      </c>
      <c r="B98" s="2" t="n"/>
      <c r="C98" s="33">
        <f>IF(Combine="Y", $G98, 0)</f>
        <v/>
      </c>
      <c r="D98" s="2" t="n"/>
      <c r="E98" s="4" t="n"/>
      <c r="F98" s="2" t="n"/>
      <c r="G98" s="33">
        <f>SUM($K98:$M98)</f>
        <v/>
      </c>
      <c r="H98" s="2" t="n"/>
      <c r="I98" s="4" t="n"/>
      <c r="J98" s="2" t="n"/>
      <c r="K98" s="34">
        <f>IF('RPT1'!$J98="","",'RPT1'!$J98)</f>
        <v/>
      </c>
      <c r="L98" s="34">
        <f>IF('RPT2'!$J98="","",'RPT2'!$J98)</f>
        <v/>
      </c>
      <c r="M98" s="34">
        <f>IF('RPT3'!$J98="","",'RPT3'!$J98)</f>
        <v/>
      </c>
    </row>
    <row r="99">
      <c r="A99" s="16" t="inlineStr">
        <is>
          <t>Projected Scripts - w/o Exclusions - Retail 30 - Generic - Year 5</t>
        </is>
      </c>
      <c r="B99" s="2" t="n"/>
      <c r="C99" s="33">
        <f>IF(Combine="Y", $G99, 0)</f>
        <v/>
      </c>
      <c r="D99" s="2" t="n"/>
      <c r="E99" s="4" t="n"/>
      <c r="F99" s="2" t="n"/>
      <c r="G99" s="33">
        <f>SUM($K99:$M99)</f>
        <v/>
      </c>
      <c r="H99" s="2" t="n"/>
      <c r="I99" s="4" t="n"/>
      <c r="J99" s="2" t="n"/>
      <c r="K99" s="34">
        <f>IF('RPT1'!$J99="","",'RPT1'!$J99)</f>
        <v/>
      </c>
      <c r="L99" s="34">
        <f>IF('RPT2'!$J99="","",'RPT2'!$J99)</f>
        <v/>
      </c>
      <c r="M99" s="34">
        <f>IF('RPT3'!$J99="","",'RPT3'!$J99)</f>
        <v/>
      </c>
    </row>
    <row r="100">
      <c r="A100" s="16" t="inlineStr">
        <is>
          <t>Projected Scripts - w/o Exclusions - Retail 90 - Brand - Year 1</t>
        </is>
      </c>
      <c r="B100" s="2" t="n"/>
      <c r="C100" s="33">
        <f>IF(Combine="Y", $G100, 0)</f>
        <v/>
      </c>
      <c r="D100" s="2" t="n"/>
      <c r="E100" s="4" t="n"/>
      <c r="F100" s="2" t="n"/>
      <c r="G100" s="33">
        <f>SUM($K100:$M100)</f>
        <v/>
      </c>
      <c r="H100" s="2" t="n"/>
      <c r="I100" s="4" t="n"/>
      <c r="J100" s="2" t="n"/>
      <c r="K100" s="34">
        <f>IF('RPT1'!$J100="","",'RPT1'!$J100)</f>
        <v/>
      </c>
      <c r="L100" s="34">
        <f>IF('RPT2'!$J100="","",'RPT2'!$J100)</f>
        <v/>
      </c>
      <c r="M100" s="34">
        <f>IF('RPT3'!$J100="","",'RPT3'!$J100)</f>
        <v/>
      </c>
    </row>
    <row r="101">
      <c r="A101" s="16" t="inlineStr">
        <is>
          <t>Projected Scripts - w/o Exclusions - Retail 90 - Brand - Year 2</t>
        </is>
      </c>
      <c r="B101" s="2" t="n"/>
      <c r="C101" s="33">
        <f>IF(Combine="Y", $G101, 0)</f>
        <v/>
      </c>
      <c r="D101" s="2" t="n"/>
      <c r="E101" s="4" t="n"/>
      <c r="F101" s="2" t="n"/>
      <c r="G101" s="33">
        <f>SUM($K101:$M101)</f>
        <v/>
      </c>
      <c r="H101" s="2" t="n"/>
      <c r="I101" s="4" t="n"/>
      <c r="J101" s="2" t="n"/>
      <c r="K101" s="34">
        <f>IF('RPT1'!$J101="","",'RPT1'!$J101)</f>
        <v/>
      </c>
      <c r="L101" s="34">
        <f>IF('RPT2'!$J101="","",'RPT2'!$J101)</f>
        <v/>
      </c>
      <c r="M101" s="34">
        <f>IF('RPT3'!$J101="","",'RPT3'!$J101)</f>
        <v/>
      </c>
    </row>
    <row r="102">
      <c r="A102" s="16" t="inlineStr">
        <is>
          <t>Projected Scripts - w/o Exclusions - Retail 90 - Brand - Year 3</t>
        </is>
      </c>
      <c r="B102" s="2" t="n"/>
      <c r="C102" s="33">
        <f>IF(Combine="Y", $G102, 0)</f>
        <v/>
      </c>
      <c r="D102" s="2" t="n"/>
      <c r="E102" s="4" t="n"/>
      <c r="F102" s="2" t="n"/>
      <c r="G102" s="33">
        <f>SUM($K102:$M102)</f>
        <v/>
      </c>
      <c r="H102" s="2" t="n"/>
      <c r="I102" s="4" t="n"/>
      <c r="J102" s="2" t="n"/>
      <c r="K102" s="34">
        <f>IF('RPT1'!$J102="","",'RPT1'!$J102)</f>
        <v/>
      </c>
      <c r="L102" s="34">
        <f>IF('RPT2'!$J102="","",'RPT2'!$J102)</f>
        <v/>
      </c>
      <c r="M102" s="34">
        <f>IF('RPT3'!$J102="","",'RPT3'!$J102)</f>
        <v/>
      </c>
    </row>
    <row r="103">
      <c r="A103" s="16" t="inlineStr">
        <is>
          <t>Projected Scripts - w/o Exclusions - Retail 90 - Brand - Year 4</t>
        </is>
      </c>
      <c r="B103" s="2" t="n"/>
      <c r="C103" s="33">
        <f>IF(Combine="Y", $G103, 0)</f>
        <v/>
      </c>
      <c r="D103" s="2" t="n"/>
      <c r="E103" s="4" t="n"/>
      <c r="F103" s="2" t="n"/>
      <c r="G103" s="33">
        <f>SUM($K103:$M103)</f>
        <v/>
      </c>
      <c r="H103" s="2" t="n"/>
      <c r="I103" s="4" t="n"/>
      <c r="J103" s="2" t="n"/>
      <c r="K103" s="34">
        <f>IF('RPT1'!$J103="","",'RPT1'!$J103)</f>
        <v/>
      </c>
      <c r="L103" s="34">
        <f>IF('RPT2'!$J103="","",'RPT2'!$J103)</f>
        <v/>
      </c>
      <c r="M103" s="34">
        <f>IF('RPT3'!$J103="","",'RPT3'!$J103)</f>
        <v/>
      </c>
    </row>
    <row r="104">
      <c r="A104" s="16" t="inlineStr">
        <is>
          <t>Projected Scripts - w/o Exclusions - Retail 90 - Brand - Year 5</t>
        </is>
      </c>
      <c r="B104" s="2" t="n"/>
      <c r="C104" s="33">
        <f>IF(Combine="Y", $G104, 0)</f>
        <v/>
      </c>
      <c r="D104" s="2" t="n"/>
      <c r="E104" s="4" t="n"/>
      <c r="F104" s="2" t="n"/>
      <c r="G104" s="33">
        <f>SUM($K104:$M104)</f>
        <v/>
      </c>
      <c r="H104" s="2" t="n"/>
      <c r="I104" s="4" t="n"/>
      <c r="J104" s="2" t="n"/>
      <c r="K104" s="34">
        <f>IF('RPT1'!$J104="","",'RPT1'!$J104)</f>
        <v/>
      </c>
      <c r="L104" s="34">
        <f>IF('RPT2'!$J104="","",'RPT2'!$J104)</f>
        <v/>
      </c>
      <c r="M104" s="34">
        <f>IF('RPT3'!$J104="","",'RPT3'!$J104)</f>
        <v/>
      </c>
    </row>
    <row r="105">
      <c r="A105" s="16" t="inlineStr">
        <is>
          <t>Projected Scripts - w/o Exclusions - Retail 90 - Generic - Year 1</t>
        </is>
      </c>
      <c r="B105" s="2" t="n"/>
      <c r="C105" s="33">
        <f>IF(Combine="Y", $G105, 0)</f>
        <v/>
      </c>
      <c r="D105" s="2" t="n"/>
      <c r="E105" s="4" t="n"/>
      <c r="F105" s="2" t="n"/>
      <c r="G105" s="33">
        <f>SUM($K105:$M105)</f>
        <v/>
      </c>
      <c r="H105" s="2" t="n"/>
      <c r="I105" s="4" t="n"/>
      <c r="J105" s="2" t="n"/>
      <c r="K105" s="34">
        <f>IF('RPT1'!$J105="","",'RPT1'!$J105)</f>
        <v/>
      </c>
      <c r="L105" s="34">
        <f>IF('RPT2'!$J105="","",'RPT2'!$J105)</f>
        <v/>
      </c>
      <c r="M105" s="34">
        <f>IF('RPT3'!$J105="","",'RPT3'!$J105)</f>
        <v/>
      </c>
    </row>
    <row r="106">
      <c r="A106" s="16" t="inlineStr">
        <is>
          <t>Projected Scripts - w/o Exclusions - Retail 90 - Generic - Year 2</t>
        </is>
      </c>
      <c r="B106" s="2" t="n"/>
      <c r="C106" s="33">
        <f>IF(Combine="Y", $G106, 0)</f>
        <v/>
      </c>
      <c r="D106" s="2" t="n"/>
      <c r="E106" s="4" t="n"/>
      <c r="F106" s="2" t="n"/>
      <c r="G106" s="33">
        <f>SUM($K106:$M106)</f>
        <v/>
      </c>
      <c r="H106" s="2" t="n"/>
      <c r="I106" s="4" t="n"/>
      <c r="J106" s="2" t="n"/>
      <c r="K106" s="34">
        <f>IF('RPT1'!$J106="","",'RPT1'!$J106)</f>
        <v/>
      </c>
      <c r="L106" s="34">
        <f>IF('RPT2'!$J106="","",'RPT2'!$J106)</f>
        <v/>
      </c>
      <c r="M106" s="34">
        <f>IF('RPT3'!$J106="","",'RPT3'!$J106)</f>
        <v/>
      </c>
    </row>
    <row r="107">
      <c r="A107" s="16" t="inlineStr">
        <is>
          <t>Projected Scripts - w/o Exclusions - Retail 90 - Generic - Year 3</t>
        </is>
      </c>
      <c r="B107" s="2" t="n"/>
      <c r="C107" s="33">
        <f>IF(Combine="Y", $G107, 0)</f>
        <v/>
      </c>
      <c r="D107" s="2" t="n"/>
      <c r="E107" s="4" t="n"/>
      <c r="F107" s="2" t="n"/>
      <c r="G107" s="33">
        <f>SUM($K107:$M107)</f>
        <v/>
      </c>
      <c r="H107" s="2" t="n"/>
      <c r="I107" s="4" t="n"/>
      <c r="J107" s="2" t="n"/>
      <c r="K107" s="34">
        <f>IF('RPT1'!$J107="","",'RPT1'!$J107)</f>
        <v/>
      </c>
      <c r="L107" s="34">
        <f>IF('RPT2'!$J107="","",'RPT2'!$J107)</f>
        <v/>
      </c>
      <c r="M107" s="34">
        <f>IF('RPT3'!$J107="","",'RPT3'!$J107)</f>
        <v/>
      </c>
    </row>
    <row r="108">
      <c r="A108" s="16" t="inlineStr">
        <is>
          <t>Projected Scripts - w/o Exclusions - Retail 90 - Generic - Year 4</t>
        </is>
      </c>
      <c r="B108" s="2" t="n"/>
      <c r="C108" s="33">
        <f>IF(Combine="Y", $G108, 0)</f>
        <v/>
      </c>
      <c r="D108" s="2" t="n"/>
      <c r="E108" s="4" t="n"/>
      <c r="F108" s="2" t="n"/>
      <c r="G108" s="33">
        <f>SUM($K108:$M108)</f>
        <v/>
      </c>
      <c r="H108" s="2" t="n"/>
      <c r="I108" s="4" t="n"/>
      <c r="J108" s="2" t="n"/>
      <c r="K108" s="34">
        <f>IF('RPT1'!$J108="","",'RPT1'!$J108)</f>
        <v/>
      </c>
      <c r="L108" s="34">
        <f>IF('RPT2'!$J108="","",'RPT2'!$J108)</f>
        <v/>
      </c>
      <c r="M108" s="34">
        <f>IF('RPT3'!$J108="","",'RPT3'!$J108)</f>
        <v/>
      </c>
    </row>
    <row r="109">
      <c r="A109" s="16" t="inlineStr">
        <is>
          <t>Projected Scripts - w/o Exclusions - Retail 90 - Generic - Year 5</t>
        </is>
      </c>
      <c r="B109" s="2" t="n"/>
      <c r="C109" s="33">
        <f>IF(Combine="Y", $G109, 0)</f>
        <v/>
      </c>
      <c r="D109" s="2" t="n"/>
      <c r="E109" s="4" t="n"/>
      <c r="F109" s="2" t="n"/>
      <c r="G109" s="33">
        <f>SUM($K109:$M109)</f>
        <v/>
      </c>
      <c r="H109" s="2" t="n"/>
      <c r="I109" s="4" t="n"/>
      <c r="J109" s="2" t="n"/>
      <c r="K109" s="34">
        <f>IF('RPT1'!$J109="","",'RPT1'!$J109)</f>
        <v/>
      </c>
      <c r="L109" s="34">
        <f>IF('RPT2'!$J109="","",'RPT2'!$J109)</f>
        <v/>
      </c>
      <c r="M109" s="34">
        <f>IF('RPT3'!$J109="","",'RPT3'!$J109)</f>
        <v/>
      </c>
    </row>
    <row r="110">
      <c r="A110" s="16" t="inlineStr">
        <is>
          <t>Projected Scripts - w/o Exclusions - Specialty - Brand - Year 1</t>
        </is>
      </c>
      <c r="B110" s="2" t="n"/>
      <c r="C110" s="33">
        <f>IF(Combine="Y", $G110, 0)</f>
        <v/>
      </c>
      <c r="D110" s="2" t="n"/>
      <c r="E110" s="4" t="n"/>
      <c r="F110" s="2" t="n"/>
      <c r="G110" s="33">
        <f>SUM($K110:$M110)</f>
        <v/>
      </c>
      <c r="H110" s="2" t="n"/>
      <c r="I110" s="4" t="n"/>
      <c r="J110" s="2" t="n"/>
      <c r="K110" s="34">
        <f>IF('RPT1'!$J110="","",'RPT1'!$J110)</f>
        <v/>
      </c>
      <c r="L110" s="34">
        <f>IF('RPT2'!$J110="","",'RPT2'!$J110)</f>
        <v/>
      </c>
      <c r="M110" s="34">
        <f>IF('RPT3'!$J110="","",'RPT3'!$J110)</f>
        <v/>
      </c>
    </row>
    <row r="111">
      <c r="A111" s="16" t="inlineStr">
        <is>
          <t>Projected Scripts - w/o Exclusions - Specialty - Brand - Year 2</t>
        </is>
      </c>
      <c r="B111" s="2" t="n"/>
      <c r="C111" s="33">
        <f>IF(Combine="Y", $G111, 0)</f>
        <v/>
      </c>
      <c r="D111" s="2" t="n"/>
      <c r="E111" s="4" t="n"/>
      <c r="F111" s="2" t="n"/>
      <c r="G111" s="33">
        <f>SUM($K111:$M111)</f>
        <v/>
      </c>
      <c r="H111" s="2" t="n"/>
      <c r="I111" s="4" t="n"/>
      <c r="J111" s="2" t="n"/>
      <c r="K111" s="34">
        <f>IF('RPT1'!$J111="","",'RPT1'!$J111)</f>
        <v/>
      </c>
      <c r="L111" s="34">
        <f>IF('RPT2'!$J111="","",'RPT2'!$J111)</f>
        <v/>
      </c>
      <c r="M111" s="34">
        <f>IF('RPT3'!$J111="","",'RPT3'!$J111)</f>
        <v/>
      </c>
    </row>
    <row r="112">
      <c r="A112" s="16" t="inlineStr">
        <is>
          <t>Projected Scripts - w/o Exclusions - Specialty - Brand - Year 3</t>
        </is>
      </c>
      <c r="B112" s="2" t="n"/>
      <c r="C112" s="33">
        <f>IF(Combine="Y", $G112, 0)</f>
        <v/>
      </c>
      <c r="D112" s="2" t="n"/>
      <c r="E112" s="4" t="n"/>
      <c r="F112" s="2" t="n"/>
      <c r="G112" s="33">
        <f>SUM($K112:$M112)</f>
        <v/>
      </c>
      <c r="H112" s="2" t="n"/>
      <c r="I112" s="4" t="n"/>
      <c r="J112" s="2" t="n"/>
      <c r="K112" s="34">
        <f>IF('RPT1'!$J112="","",'RPT1'!$J112)</f>
        <v/>
      </c>
      <c r="L112" s="34">
        <f>IF('RPT2'!$J112="","",'RPT2'!$J112)</f>
        <v/>
      </c>
      <c r="M112" s="34">
        <f>IF('RPT3'!$J112="","",'RPT3'!$J112)</f>
        <v/>
      </c>
    </row>
    <row r="113">
      <c r="A113" s="16" t="inlineStr">
        <is>
          <t>Projected Scripts - w/o Exclusions - Specialty - Brand - Year 4</t>
        </is>
      </c>
      <c r="B113" s="2" t="n"/>
      <c r="C113" s="33">
        <f>IF(Combine="Y", $G113, 0)</f>
        <v/>
      </c>
      <c r="D113" s="2" t="n"/>
      <c r="E113" s="4" t="n"/>
      <c r="F113" s="2" t="n"/>
      <c r="G113" s="33">
        <f>SUM($K113:$M113)</f>
        <v/>
      </c>
      <c r="H113" s="2" t="n"/>
      <c r="I113" s="4" t="n"/>
      <c r="J113" s="2" t="n"/>
      <c r="K113" s="34">
        <f>IF('RPT1'!$J113="","",'RPT1'!$J113)</f>
        <v/>
      </c>
      <c r="L113" s="34">
        <f>IF('RPT2'!$J113="","",'RPT2'!$J113)</f>
        <v/>
      </c>
      <c r="M113" s="34">
        <f>IF('RPT3'!$J113="","",'RPT3'!$J113)</f>
        <v/>
      </c>
    </row>
    <row r="114">
      <c r="A114" s="16" t="inlineStr">
        <is>
          <t>Projected Scripts - w/o Exclusions - Specialty - Brand - Year 5</t>
        </is>
      </c>
      <c r="B114" s="2" t="n"/>
      <c r="C114" s="33">
        <f>IF(Combine="Y", $G114, 0)</f>
        <v/>
      </c>
      <c r="D114" s="2" t="n"/>
      <c r="E114" s="4" t="n"/>
      <c r="F114" s="2" t="n"/>
      <c r="G114" s="33">
        <f>SUM($K114:$M114)</f>
        <v/>
      </c>
      <c r="H114" s="2" t="n"/>
      <c r="I114" s="4" t="n"/>
      <c r="J114" s="2" t="n"/>
      <c r="K114" s="34">
        <f>IF('RPT1'!$J114="","",'RPT1'!$J114)</f>
        <v/>
      </c>
      <c r="L114" s="34">
        <f>IF('RPT2'!$J114="","",'RPT2'!$J114)</f>
        <v/>
      </c>
      <c r="M114" s="34">
        <f>IF('RPT3'!$J114="","",'RPT3'!$J114)</f>
        <v/>
      </c>
    </row>
    <row r="115">
      <c r="A115" s="16" t="inlineStr">
        <is>
          <t>Projected Scripts - w/o Exclusions - Specialty - Generic - Year 1</t>
        </is>
      </c>
      <c r="B115" s="2" t="n"/>
      <c r="C115" s="33">
        <f>IF(Combine="Y", $G115, 0)</f>
        <v/>
      </c>
      <c r="D115" s="2" t="n"/>
      <c r="E115" s="4" t="n"/>
      <c r="F115" s="2" t="n"/>
      <c r="G115" s="33">
        <f>SUM($K115:$M115)</f>
        <v/>
      </c>
      <c r="H115" s="2" t="n"/>
      <c r="I115" s="4" t="n"/>
      <c r="J115" s="2" t="n"/>
      <c r="K115" s="34">
        <f>IF('RPT1'!$J115="","",'RPT1'!$J115)</f>
        <v/>
      </c>
      <c r="L115" s="34">
        <f>IF('RPT2'!$J115="","",'RPT2'!$J115)</f>
        <v/>
      </c>
      <c r="M115" s="34">
        <f>IF('RPT3'!$J115="","",'RPT3'!$J115)</f>
        <v/>
      </c>
    </row>
    <row r="116">
      <c r="A116" s="16" t="inlineStr">
        <is>
          <t>Projected Scripts - w/o Exclusions - Specialty - Generic - Year 2</t>
        </is>
      </c>
      <c r="B116" s="2" t="n"/>
      <c r="C116" s="33">
        <f>IF(Combine="Y", $G116, 0)</f>
        <v/>
      </c>
      <c r="D116" s="2" t="n"/>
      <c r="E116" s="4" t="n"/>
      <c r="F116" s="2" t="n"/>
      <c r="G116" s="33">
        <f>SUM($K116:$M116)</f>
        <v/>
      </c>
      <c r="H116" s="2" t="n"/>
      <c r="I116" s="4" t="n"/>
      <c r="J116" s="2" t="n"/>
      <c r="K116" s="34">
        <f>IF('RPT1'!$J116="","",'RPT1'!$J116)</f>
        <v/>
      </c>
      <c r="L116" s="34">
        <f>IF('RPT2'!$J116="","",'RPT2'!$J116)</f>
        <v/>
      </c>
      <c r="M116" s="34">
        <f>IF('RPT3'!$J116="","",'RPT3'!$J116)</f>
        <v/>
      </c>
    </row>
    <row r="117">
      <c r="A117" s="16" t="inlineStr">
        <is>
          <t>Projected Scripts - w/o Exclusions - Specialty - Generic - Year 3</t>
        </is>
      </c>
      <c r="B117" s="2" t="n"/>
      <c r="C117" s="33">
        <f>IF(Combine="Y", $G117, 0)</f>
        <v/>
      </c>
      <c r="D117" s="2" t="n"/>
      <c r="E117" s="4" t="n"/>
      <c r="F117" s="2" t="n"/>
      <c r="G117" s="33">
        <f>SUM($K117:$M117)</f>
        <v/>
      </c>
      <c r="H117" s="2" t="n"/>
      <c r="I117" s="4" t="n"/>
      <c r="J117" s="2" t="n"/>
      <c r="K117" s="34">
        <f>IF('RPT1'!$J117="","",'RPT1'!$J117)</f>
        <v/>
      </c>
      <c r="L117" s="34">
        <f>IF('RPT2'!$J117="","",'RPT2'!$J117)</f>
        <v/>
      </c>
      <c r="M117" s="34">
        <f>IF('RPT3'!$J117="","",'RPT3'!$J117)</f>
        <v/>
      </c>
    </row>
    <row r="118">
      <c r="A118" s="16" t="inlineStr">
        <is>
          <t>Projected Scripts - w/o Exclusions - Specialty - Generic - Year 4</t>
        </is>
      </c>
      <c r="B118" s="2" t="n"/>
      <c r="C118" s="33">
        <f>IF(Combine="Y", $G118, 0)</f>
        <v/>
      </c>
      <c r="D118" s="2" t="n"/>
      <c r="E118" s="4" t="n"/>
      <c r="F118" s="2" t="n"/>
      <c r="G118" s="33">
        <f>SUM($K118:$M118)</f>
        <v/>
      </c>
      <c r="H118" s="2" t="n"/>
      <c r="I118" s="4" t="n"/>
      <c r="J118" s="2" t="n"/>
      <c r="K118" s="34">
        <f>IF('RPT1'!$J118="","",'RPT1'!$J118)</f>
        <v/>
      </c>
      <c r="L118" s="34">
        <f>IF('RPT2'!$J118="","",'RPT2'!$J118)</f>
        <v/>
      </c>
      <c r="M118" s="34">
        <f>IF('RPT3'!$J118="","",'RPT3'!$J118)</f>
        <v/>
      </c>
    </row>
    <row r="119">
      <c r="A119" s="16" t="inlineStr">
        <is>
          <t>Projected Scripts - w/o Exclusions - Specialty - Generic - Year 5</t>
        </is>
      </c>
      <c r="B119" s="2" t="n"/>
      <c r="C119" s="33">
        <f>IF(Combine="Y", $G119, 0)</f>
        <v/>
      </c>
      <c r="D119" s="2" t="n"/>
      <c r="E119" s="4" t="n"/>
      <c r="F119" s="2" t="n"/>
      <c r="G119" s="33">
        <f>SUM($K119:$M119)</f>
        <v/>
      </c>
      <c r="H119" s="2" t="n"/>
      <c r="I119" s="4" t="n"/>
      <c r="J119" s="2" t="n"/>
      <c r="K119" s="34">
        <f>IF('RPT1'!$J119="","",'RPT1'!$J119)</f>
        <v/>
      </c>
      <c r="L119" s="34">
        <f>IF('RPT2'!$J119="","",'RPT2'!$J119)</f>
        <v/>
      </c>
      <c r="M119" s="34">
        <f>IF('RPT3'!$J119="","",'RPT3'!$J119)</f>
        <v/>
      </c>
    </row>
    <row r="120">
      <c r="A120" s="31" t="n"/>
      <c r="B120" s="2" t="n"/>
      <c r="C120" s="14" t="n"/>
      <c r="D120" s="2" t="n"/>
      <c r="E120" s="4" t="n"/>
      <c r="F120" s="2" t="n"/>
      <c r="G120" s="14" t="n"/>
      <c r="H120" s="2" t="n"/>
      <c r="I120" s="4" t="n"/>
      <c r="J120" s="2" t="n"/>
      <c r="K120" s="32" t="n"/>
      <c r="L120" s="32" t="n"/>
      <c r="M120" s="32" t="n"/>
    </row>
    <row r="121">
      <c r="A121" s="12" t="inlineStr">
        <is>
          <t>Projected Scripts - w/ Exclusions</t>
        </is>
      </c>
      <c r="B121" s="2" t="n"/>
      <c r="C121" s="14" t="n"/>
      <c r="D121" s="2" t="n"/>
      <c r="E121" s="4" t="n"/>
      <c r="F121" s="2" t="n"/>
      <c r="G121" s="14" t="n"/>
      <c r="H121" s="2" t="n"/>
      <c r="I121" s="4" t="n"/>
      <c r="J121" s="2" t="n"/>
      <c r="K121" s="32">
        <f>IF('RPT1'!$J121="","",'RPT1'!$J121)</f>
        <v/>
      </c>
      <c r="L121" s="32">
        <f>IF('RPT2'!$J121="","",'RPT2'!$J121)</f>
        <v/>
      </c>
      <c r="M121" s="32">
        <f>IF('RPT3'!$J121="","",'RPT3'!$J121)</f>
        <v/>
      </c>
    </row>
    <row r="122">
      <c r="A122" s="16" t="inlineStr">
        <is>
          <t>Projected Scripts - w/ Exclusions - Mail - Brand - Year 1</t>
        </is>
      </c>
      <c r="B122" s="2" t="n"/>
      <c r="C122" s="33">
        <f>IF(Combine="Y", $G122, 0)</f>
        <v/>
      </c>
      <c r="D122" s="2" t="n"/>
      <c r="E122" s="4" t="n"/>
      <c r="F122" s="2" t="n"/>
      <c r="G122" s="33">
        <f>SUM($K122:$M122)</f>
        <v/>
      </c>
      <c r="H122" s="2" t="n"/>
      <c r="I122" s="4" t="n"/>
      <c r="J122" s="2" t="n"/>
      <c r="K122" s="34">
        <f>IF('RPT1'!$J122="","",'RPT1'!$J122)</f>
        <v/>
      </c>
      <c r="L122" s="34">
        <f>IF('RPT2'!$J122="","",'RPT2'!$J122)</f>
        <v/>
      </c>
      <c r="M122" s="34">
        <f>IF('RPT3'!$J122="","",'RPT3'!$J122)</f>
        <v/>
      </c>
    </row>
    <row r="123">
      <c r="A123" s="16" t="inlineStr">
        <is>
          <t>Projected Scripts - w/ Exclusions - Mail - Brand - Year 2</t>
        </is>
      </c>
      <c r="B123" s="2" t="n"/>
      <c r="C123" s="33">
        <f>IF(Combine="Y", $G123, 0)</f>
        <v/>
      </c>
      <c r="D123" s="2" t="n"/>
      <c r="E123" s="4" t="n"/>
      <c r="F123" s="2" t="n"/>
      <c r="G123" s="33">
        <f>SUM($K123:$M123)</f>
        <v/>
      </c>
      <c r="H123" s="2" t="n"/>
      <c r="I123" s="4" t="n"/>
      <c r="J123" s="2" t="n"/>
      <c r="K123" s="34">
        <f>IF('RPT1'!$J123="","",'RPT1'!$J123)</f>
        <v/>
      </c>
      <c r="L123" s="34">
        <f>IF('RPT2'!$J123="","",'RPT2'!$J123)</f>
        <v/>
      </c>
      <c r="M123" s="34">
        <f>IF('RPT3'!$J123="","",'RPT3'!$J123)</f>
        <v/>
      </c>
    </row>
    <row r="124">
      <c r="A124" s="16" t="inlineStr">
        <is>
          <t>Projected Scripts - w/ Exclusions - Mail - Brand - Year 3</t>
        </is>
      </c>
      <c r="B124" s="2" t="n"/>
      <c r="C124" s="33">
        <f>IF(Combine="Y", $G124, 0)</f>
        <v/>
      </c>
      <c r="D124" s="2" t="n"/>
      <c r="E124" s="4" t="n"/>
      <c r="F124" s="2" t="n"/>
      <c r="G124" s="33">
        <f>SUM($K124:$M124)</f>
        <v/>
      </c>
      <c r="H124" s="2" t="n"/>
      <c r="I124" s="4" t="n"/>
      <c r="J124" s="2" t="n"/>
      <c r="K124" s="34">
        <f>IF('RPT1'!$J124="","",'RPT1'!$J124)</f>
        <v/>
      </c>
      <c r="L124" s="34">
        <f>IF('RPT2'!$J124="","",'RPT2'!$J124)</f>
        <v/>
      </c>
      <c r="M124" s="34">
        <f>IF('RPT3'!$J124="","",'RPT3'!$J124)</f>
        <v/>
      </c>
    </row>
    <row r="125">
      <c r="A125" s="16" t="inlineStr">
        <is>
          <t>Projected Scripts - w/ Exclusions - Mail - Brand - Year 4</t>
        </is>
      </c>
      <c r="B125" s="2" t="n"/>
      <c r="C125" s="33">
        <f>IF(Combine="Y", $G125, 0)</f>
        <v/>
      </c>
      <c r="D125" s="2" t="n"/>
      <c r="E125" s="4" t="n"/>
      <c r="F125" s="2" t="n"/>
      <c r="G125" s="33">
        <f>SUM($K125:$M125)</f>
        <v/>
      </c>
      <c r="H125" s="2" t="n"/>
      <c r="I125" s="4" t="n"/>
      <c r="J125" s="2" t="n"/>
      <c r="K125" s="34">
        <f>IF('RPT1'!$J125="","",'RPT1'!$J125)</f>
        <v/>
      </c>
      <c r="L125" s="34">
        <f>IF('RPT2'!$J125="","",'RPT2'!$J125)</f>
        <v/>
      </c>
      <c r="M125" s="34">
        <f>IF('RPT3'!$J125="","",'RPT3'!$J125)</f>
        <v/>
      </c>
    </row>
    <row r="126">
      <c r="A126" s="16" t="inlineStr">
        <is>
          <t>Projected Scripts - w/ Exclusions - Mail - Brand - Year 5</t>
        </is>
      </c>
      <c r="B126" s="2" t="n"/>
      <c r="C126" s="33">
        <f>IF(Combine="Y", $G126, 0)</f>
        <v/>
      </c>
      <c r="D126" s="2" t="n"/>
      <c r="E126" s="4" t="n"/>
      <c r="F126" s="2" t="n"/>
      <c r="G126" s="33">
        <f>SUM($K126:$M126)</f>
        <v/>
      </c>
      <c r="H126" s="2" t="n"/>
      <c r="I126" s="4" t="n"/>
      <c r="J126" s="2" t="n"/>
      <c r="K126" s="34">
        <f>IF('RPT1'!$J126="","",'RPT1'!$J126)</f>
        <v/>
      </c>
      <c r="L126" s="34">
        <f>IF('RPT2'!$J126="","",'RPT2'!$J126)</f>
        <v/>
      </c>
      <c r="M126" s="34">
        <f>IF('RPT3'!$J126="","",'RPT3'!$J126)</f>
        <v/>
      </c>
    </row>
    <row r="127">
      <c r="A127" s="16" t="inlineStr">
        <is>
          <t>Projected Scripts - w/ Exclusions - Mail - Generic - Year 1</t>
        </is>
      </c>
      <c r="B127" s="2" t="n"/>
      <c r="C127" s="33">
        <f>IF(Combine="Y", $G127, 0)</f>
        <v/>
      </c>
      <c r="D127" s="2" t="n"/>
      <c r="E127" s="4" t="n"/>
      <c r="F127" s="2" t="n"/>
      <c r="G127" s="33">
        <f>SUM($K127:$M127)</f>
        <v/>
      </c>
      <c r="H127" s="2" t="n"/>
      <c r="I127" s="4" t="n"/>
      <c r="J127" s="2" t="n"/>
      <c r="K127" s="34">
        <f>IF('RPT1'!$J127="","",'RPT1'!$J127)</f>
        <v/>
      </c>
      <c r="L127" s="34">
        <f>IF('RPT2'!$J127="","",'RPT2'!$J127)</f>
        <v/>
      </c>
      <c r="M127" s="34">
        <f>IF('RPT3'!$J127="","",'RPT3'!$J127)</f>
        <v/>
      </c>
    </row>
    <row r="128">
      <c r="A128" s="16" t="inlineStr">
        <is>
          <t>Projected Scripts - w/ Exclusions - Mail - Generic - Year 2</t>
        </is>
      </c>
      <c r="B128" s="2" t="n"/>
      <c r="C128" s="33">
        <f>IF(Combine="Y", $G128, 0)</f>
        <v/>
      </c>
      <c r="D128" s="2" t="n"/>
      <c r="E128" s="4" t="n"/>
      <c r="F128" s="2" t="n"/>
      <c r="G128" s="33">
        <f>SUM($K128:$M128)</f>
        <v/>
      </c>
      <c r="H128" s="2" t="n"/>
      <c r="I128" s="4" t="n"/>
      <c r="J128" s="2" t="n"/>
      <c r="K128" s="34">
        <f>IF('RPT1'!$J128="","",'RPT1'!$J128)</f>
        <v/>
      </c>
      <c r="L128" s="34">
        <f>IF('RPT2'!$J128="","",'RPT2'!$J128)</f>
        <v/>
      </c>
      <c r="M128" s="34">
        <f>IF('RPT3'!$J128="","",'RPT3'!$J128)</f>
        <v/>
      </c>
    </row>
    <row r="129">
      <c r="A129" s="16" t="inlineStr">
        <is>
          <t>Projected Scripts - w/ Exclusions - Mail - Generic - Year 3</t>
        </is>
      </c>
      <c r="B129" s="2" t="n"/>
      <c r="C129" s="33">
        <f>IF(Combine="Y", $G129, 0)</f>
        <v/>
      </c>
      <c r="D129" s="2" t="n"/>
      <c r="E129" s="4" t="n"/>
      <c r="F129" s="2" t="n"/>
      <c r="G129" s="33">
        <f>SUM($K129:$M129)</f>
        <v/>
      </c>
      <c r="H129" s="2" t="n"/>
      <c r="I129" s="4" t="n"/>
      <c r="J129" s="2" t="n"/>
      <c r="K129" s="34">
        <f>IF('RPT1'!$J129="","",'RPT1'!$J129)</f>
        <v/>
      </c>
      <c r="L129" s="34">
        <f>IF('RPT2'!$J129="","",'RPT2'!$J129)</f>
        <v/>
      </c>
      <c r="M129" s="34">
        <f>IF('RPT3'!$J129="","",'RPT3'!$J129)</f>
        <v/>
      </c>
    </row>
    <row r="130">
      <c r="A130" s="16" t="inlineStr">
        <is>
          <t>Projected Scripts - w/ Exclusions - Mail - Generic - Year 4</t>
        </is>
      </c>
      <c r="B130" s="2" t="n"/>
      <c r="C130" s="33">
        <f>IF(Combine="Y", $G130, 0)</f>
        <v/>
      </c>
      <c r="D130" s="2" t="n"/>
      <c r="E130" s="4" t="n"/>
      <c r="F130" s="2" t="n"/>
      <c r="G130" s="33">
        <f>SUM($K130:$M130)</f>
        <v/>
      </c>
      <c r="H130" s="2" t="n"/>
      <c r="I130" s="4" t="n"/>
      <c r="J130" s="2" t="n"/>
      <c r="K130" s="34">
        <f>IF('RPT1'!$J130="","",'RPT1'!$J130)</f>
        <v/>
      </c>
      <c r="L130" s="34">
        <f>IF('RPT2'!$J130="","",'RPT2'!$J130)</f>
        <v/>
      </c>
      <c r="M130" s="34">
        <f>IF('RPT3'!$J130="","",'RPT3'!$J130)</f>
        <v/>
      </c>
    </row>
    <row r="131">
      <c r="A131" s="16" t="inlineStr">
        <is>
          <t>Projected Scripts - w/ Exclusions - Mail - Generic - Year 5</t>
        </is>
      </c>
      <c r="B131" s="2" t="n"/>
      <c r="C131" s="33">
        <f>IF(Combine="Y", $G131, 0)</f>
        <v/>
      </c>
      <c r="D131" s="2" t="n"/>
      <c r="E131" s="4" t="n"/>
      <c r="F131" s="2" t="n"/>
      <c r="G131" s="33">
        <f>SUM($K131:$M131)</f>
        <v/>
      </c>
      <c r="H131" s="2" t="n"/>
      <c r="I131" s="4" t="n"/>
      <c r="J131" s="2" t="n"/>
      <c r="K131" s="34">
        <f>IF('RPT1'!$J131="","",'RPT1'!$J131)</f>
        <v/>
      </c>
      <c r="L131" s="34">
        <f>IF('RPT2'!$J131="","",'RPT2'!$J131)</f>
        <v/>
      </c>
      <c r="M131" s="34">
        <f>IF('RPT3'!$J131="","",'RPT3'!$J131)</f>
        <v/>
      </c>
    </row>
    <row r="132">
      <c r="A132" s="16" t="inlineStr">
        <is>
          <t>Projected Scripts - w/ Exclusions - Retail 30 - Brand - Year 1</t>
        </is>
      </c>
      <c r="B132" s="2" t="n"/>
      <c r="C132" s="33">
        <f>IF(Combine="Y", $G132, 0)</f>
        <v/>
      </c>
      <c r="D132" s="2" t="n"/>
      <c r="E132" s="4" t="n"/>
      <c r="F132" s="2" t="n"/>
      <c r="G132" s="33">
        <f>SUM($K132:$M132)</f>
        <v/>
      </c>
      <c r="H132" s="2" t="n"/>
      <c r="I132" s="4" t="n"/>
      <c r="J132" s="2" t="n"/>
      <c r="K132" s="34">
        <f>IF('RPT1'!$J132="","",'RPT1'!$J132)</f>
        <v/>
      </c>
      <c r="L132" s="34">
        <f>IF('RPT2'!$J132="","",'RPT2'!$J132)</f>
        <v/>
      </c>
      <c r="M132" s="34">
        <f>IF('RPT3'!$J132="","",'RPT3'!$J132)</f>
        <v/>
      </c>
    </row>
    <row r="133">
      <c r="A133" s="16" t="inlineStr">
        <is>
          <t>Projected Scripts - w/ Exclusions - Retail 30 - Brand - Year 2</t>
        </is>
      </c>
      <c r="B133" s="2" t="n"/>
      <c r="C133" s="33">
        <f>IF(Combine="Y", $G133, 0)</f>
        <v/>
      </c>
      <c r="D133" s="2" t="n"/>
      <c r="E133" s="4" t="n"/>
      <c r="F133" s="2" t="n"/>
      <c r="G133" s="33">
        <f>SUM($K133:$M133)</f>
        <v/>
      </c>
      <c r="H133" s="2" t="n"/>
      <c r="I133" s="4" t="n"/>
      <c r="J133" s="2" t="n"/>
      <c r="K133" s="34">
        <f>IF('RPT1'!$J133="","",'RPT1'!$J133)</f>
        <v/>
      </c>
      <c r="L133" s="34">
        <f>IF('RPT2'!$J133="","",'RPT2'!$J133)</f>
        <v/>
      </c>
      <c r="M133" s="34">
        <f>IF('RPT3'!$J133="","",'RPT3'!$J133)</f>
        <v/>
      </c>
    </row>
    <row r="134">
      <c r="A134" s="16" t="inlineStr">
        <is>
          <t>Projected Scripts - w/ Exclusions - Retail 30 - Brand - Year 3</t>
        </is>
      </c>
      <c r="B134" s="2" t="n"/>
      <c r="C134" s="33">
        <f>IF(Combine="Y", $G134, 0)</f>
        <v/>
      </c>
      <c r="D134" s="2" t="n"/>
      <c r="E134" s="4" t="n"/>
      <c r="F134" s="2" t="n"/>
      <c r="G134" s="33">
        <f>SUM($K134:$M134)</f>
        <v/>
      </c>
      <c r="H134" s="2" t="n"/>
      <c r="I134" s="4" t="n"/>
      <c r="J134" s="2" t="n"/>
      <c r="K134" s="34">
        <f>IF('RPT1'!$J134="","",'RPT1'!$J134)</f>
        <v/>
      </c>
      <c r="L134" s="34">
        <f>IF('RPT2'!$J134="","",'RPT2'!$J134)</f>
        <v/>
      </c>
      <c r="M134" s="34">
        <f>IF('RPT3'!$J134="","",'RPT3'!$J134)</f>
        <v/>
      </c>
    </row>
    <row r="135">
      <c r="A135" s="16" t="inlineStr">
        <is>
          <t>Projected Scripts - w/ Exclusions - Retail 30 - Brand - Year 4</t>
        </is>
      </c>
      <c r="B135" s="2" t="n"/>
      <c r="C135" s="33">
        <f>IF(Combine="Y", $G135, 0)</f>
        <v/>
      </c>
      <c r="D135" s="2" t="n"/>
      <c r="E135" s="4" t="n"/>
      <c r="F135" s="2" t="n"/>
      <c r="G135" s="33">
        <f>SUM($K135:$M135)</f>
        <v/>
      </c>
      <c r="H135" s="2" t="n"/>
      <c r="I135" s="4" t="n"/>
      <c r="J135" s="2" t="n"/>
      <c r="K135" s="34">
        <f>IF('RPT1'!$J135="","",'RPT1'!$J135)</f>
        <v/>
      </c>
      <c r="L135" s="34">
        <f>IF('RPT2'!$J135="","",'RPT2'!$J135)</f>
        <v/>
      </c>
      <c r="M135" s="34">
        <f>IF('RPT3'!$J135="","",'RPT3'!$J135)</f>
        <v/>
      </c>
    </row>
    <row r="136">
      <c r="A136" s="16" t="inlineStr">
        <is>
          <t>Projected Scripts - w/ Exclusions - Retail 30 - Brand - Year 5</t>
        </is>
      </c>
      <c r="B136" s="2" t="n"/>
      <c r="C136" s="33">
        <f>IF(Combine="Y", $G136, 0)</f>
        <v/>
      </c>
      <c r="D136" s="2" t="n"/>
      <c r="E136" s="4" t="n"/>
      <c r="F136" s="2" t="n"/>
      <c r="G136" s="33">
        <f>SUM($K136:$M136)</f>
        <v/>
      </c>
      <c r="H136" s="2" t="n"/>
      <c r="I136" s="4" t="n"/>
      <c r="J136" s="2" t="n"/>
      <c r="K136" s="34">
        <f>IF('RPT1'!$J136="","",'RPT1'!$J136)</f>
        <v/>
      </c>
      <c r="L136" s="34">
        <f>IF('RPT2'!$J136="","",'RPT2'!$J136)</f>
        <v/>
      </c>
      <c r="M136" s="34">
        <f>IF('RPT3'!$J136="","",'RPT3'!$J136)</f>
        <v/>
      </c>
    </row>
    <row r="137">
      <c r="A137" s="16" t="inlineStr">
        <is>
          <t>Projected Scripts - w/ Exclusions - Retail 30 - Generic - Year 1</t>
        </is>
      </c>
      <c r="B137" s="2" t="n"/>
      <c r="C137" s="33">
        <f>IF(Combine="Y", $G137, 0)</f>
        <v/>
      </c>
      <c r="D137" s="2" t="n"/>
      <c r="E137" s="4" t="n"/>
      <c r="F137" s="2" t="n"/>
      <c r="G137" s="33">
        <f>SUM($K137:$M137)</f>
        <v/>
      </c>
      <c r="H137" s="2" t="n"/>
      <c r="I137" s="4" t="n"/>
      <c r="J137" s="2" t="n"/>
      <c r="K137" s="34">
        <f>IF('RPT1'!$J137="","",'RPT1'!$J137)</f>
        <v/>
      </c>
      <c r="L137" s="34">
        <f>IF('RPT2'!$J137="","",'RPT2'!$J137)</f>
        <v/>
      </c>
      <c r="M137" s="34">
        <f>IF('RPT3'!$J137="","",'RPT3'!$J137)</f>
        <v/>
      </c>
    </row>
    <row r="138">
      <c r="A138" s="16" t="inlineStr">
        <is>
          <t>Projected Scripts - w/ Exclusions - Retail 30 - Generic - Year 2</t>
        </is>
      </c>
      <c r="B138" s="2" t="n"/>
      <c r="C138" s="33">
        <f>IF(Combine="Y", $G138, 0)</f>
        <v/>
      </c>
      <c r="D138" s="2" t="n"/>
      <c r="E138" s="4" t="n"/>
      <c r="F138" s="2" t="n"/>
      <c r="G138" s="33">
        <f>SUM($K138:$M138)</f>
        <v/>
      </c>
      <c r="H138" s="2" t="n"/>
      <c r="I138" s="4" t="n"/>
      <c r="J138" s="2" t="n"/>
      <c r="K138" s="34">
        <f>IF('RPT1'!$J138="","",'RPT1'!$J138)</f>
        <v/>
      </c>
      <c r="L138" s="34">
        <f>IF('RPT2'!$J138="","",'RPT2'!$J138)</f>
        <v/>
      </c>
      <c r="M138" s="34">
        <f>IF('RPT3'!$J138="","",'RPT3'!$J138)</f>
        <v/>
      </c>
    </row>
    <row r="139">
      <c r="A139" s="16" t="inlineStr">
        <is>
          <t>Projected Scripts - w/ Exclusions - Retail 30 - Generic - Year 3</t>
        </is>
      </c>
      <c r="B139" s="2" t="n"/>
      <c r="C139" s="33">
        <f>IF(Combine="Y", $G139, 0)</f>
        <v/>
      </c>
      <c r="D139" s="2" t="n"/>
      <c r="E139" s="4" t="n"/>
      <c r="F139" s="2" t="n"/>
      <c r="G139" s="33">
        <f>SUM($K139:$M139)</f>
        <v/>
      </c>
      <c r="H139" s="2" t="n"/>
      <c r="I139" s="4" t="n"/>
      <c r="J139" s="2" t="n"/>
      <c r="K139" s="34">
        <f>IF('RPT1'!$J139="","",'RPT1'!$J139)</f>
        <v/>
      </c>
      <c r="L139" s="34">
        <f>IF('RPT2'!$J139="","",'RPT2'!$J139)</f>
        <v/>
      </c>
      <c r="M139" s="34">
        <f>IF('RPT3'!$J139="","",'RPT3'!$J139)</f>
        <v/>
      </c>
    </row>
    <row r="140">
      <c r="A140" s="16" t="inlineStr">
        <is>
          <t>Projected Scripts - w/ Exclusions - Retail 30 - Generic - Year 4</t>
        </is>
      </c>
      <c r="B140" s="2" t="n"/>
      <c r="C140" s="33">
        <f>IF(Combine="Y", $G140, 0)</f>
        <v/>
      </c>
      <c r="D140" s="2" t="n"/>
      <c r="E140" s="4" t="n"/>
      <c r="F140" s="2" t="n"/>
      <c r="G140" s="33">
        <f>SUM($K140:$M140)</f>
        <v/>
      </c>
      <c r="H140" s="2" t="n"/>
      <c r="I140" s="4" t="n"/>
      <c r="J140" s="2" t="n"/>
      <c r="K140" s="34">
        <f>IF('RPT1'!$J140="","",'RPT1'!$J140)</f>
        <v/>
      </c>
      <c r="L140" s="34">
        <f>IF('RPT2'!$J140="","",'RPT2'!$J140)</f>
        <v/>
      </c>
      <c r="M140" s="34">
        <f>IF('RPT3'!$J140="","",'RPT3'!$J140)</f>
        <v/>
      </c>
    </row>
    <row r="141">
      <c r="A141" s="16" t="inlineStr">
        <is>
          <t>Projected Scripts - w/ Exclusions - Retail 30 - Generic - Year 5</t>
        </is>
      </c>
      <c r="B141" s="2" t="n"/>
      <c r="C141" s="33">
        <f>IF(Combine="Y", $G141, 0)</f>
        <v/>
      </c>
      <c r="D141" s="2" t="n"/>
      <c r="E141" s="4" t="n"/>
      <c r="F141" s="2" t="n"/>
      <c r="G141" s="33">
        <f>SUM($K141:$M141)</f>
        <v/>
      </c>
      <c r="H141" s="2" t="n"/>
      <c r="I141" s="4" t="n"/>
      <c r="J141" s="2" t="n"/>
      <c r="K141" s="34">
        <f>IF('RPT1'!$J141="","",'RPT1'!$J141)</f>
        <v/>
      </c>
      <c r="L141" s="34">
        <f>IF('RPT2'!$J141="","",'RPT2'!$J141)</f>
        <v/>
      </c>
      <c r="M141" s="34">
        <f>IF('RPT3'!$J141="","",'RPT3'!$J141)</f>
        <v/>
      </c>
    </row>
    <row r="142">
      <c r="A142" s="16" t="inlineStr">
        <is>
          <t>Projected Scripts - w/ Exclusions - Retail 90 - Brand - Year 1</t>
        </is>
      </c>
      <c r="B142" s="2" t="n"/>
      <c r="C142" s="33">
        <f>IF(Combine="Y", $G142, 0)</f>
        <v/>
      </c>
      <c r="D142" s="2" t="n"/>
      <c r="E142" s="4" t="n"/>
      <c r="F142" s="2" t="n"/>
      <c r="G142" s="33">
        <f>SUM($K142:$M142)</f>
        <v/>
      </c>
      <c r="H142" s="2" t="n"/>
      <c r="I142" s="4" t="n"/>
      <c r="J142" s="2" t="n"/>
      <c r="K142" s="34">
        <f>IF('RPT1'!$J142="","",'RPT1'!$J142)</f>
        <v/>
      </c>
      <c r="L142" s="34">
        <f>IF('RPT2'!$J142="","",'RPT2'!$J142)</f>
        <v/>
      </c>
      <c r="M142" s="34">
        <f>IF('RPT3'!$J142="","",'RPT3'!$J142)</f>
        <v/>
      </c>
    </row>
    <row r="143">
      <c r="A143" s="16" t="inlineStr">
        <is>
          <t>Projected Scripts - w/ Exclusions - Retail 90 - Brand - Year 2</t>
        </is>
      </c>
      <c r="B143" s="2" t="n"/>
      <c r="C143" s="33">
        <f>IF(Combine="Y", $G143, 0)</f>
        <v/>
      </c>
      <c r="D143" s="2" t="n"/>
      <c r="E143" s="4" t="n"/>
      <c r="F143" s="2" t="n"/>
      <c r="G143" s="33">
        <f>SUM($K143:$M143)</f>
        <v/>
      </c>
      <c r="H143" s="2" t="n"/>
      <c r="I143" s="4" t="n"/>
      <c r="J143" s="2" t="n"/>
      <c r="K143" s="34">
        <f>IF('RPT1'!$J143="","",'RPT1'!$J143)</f>
        <v/>
      </c>
      <c r="L143" s="34">
        <f>IF('RPT2'!$J143="","",'RPT2'!$J143)</f>
        <v/>
      </c>
      <c r="M143" s="34">
        <f>IF('RPT3'!$J143="","",'RPT3'!$J143)</f>
        <v/>
      </c>
    </row>
    <row r="144">
      <c r="A144" s="16" t="inlineStr">
        <is>
          <t>Projected Scripts - w/ Exclusions - Retail 90 - Brand - Year 3</t>
        </is>
      </c>
      <c r="B144" s="2" t="n"/>
      <c r="C144" s="33">
        <f>IF(Combine="Y", $G144, 0)</f>
        <v/>
      </c>
      <c r="D144" s="2" t="n"/>
      <c r="E144" s="4" t="n"/>
      <c r="F144" s="2" t="n"/>
      <c r="G144" s="33">
        <f>SUM($K144:$M144)</f>
        <v/>
      </c>
      <c r="H144" s="2" t="n"/>
      <c r="I144" s="4" t="n"/>
      <c r="J144" s="2" t="n"/>
      <c r="K144" s="34">
        <f>IF('RPT1'!$J144="","",'RPT1'!$J144)</f>
        <v/>
      </c>
      <c r="L144" s="34">
        <f>IF('RPT2'!$J144="","",'RPT2'!$J144)</f>
        <v/>
      </c>
      <c r="M144" s="34">
        <f>IF('RPT3'!$J144="","",'RPT3'!$J144)</f>
        <v/>
      </c>
    </row>
    <row r="145">
      <c r="A145" s="16" t="inlineStr">
        <is>
          <t>Projected Scripts - w/ Exclusions - Retail 90 - Brand - Year 4</t>
        </is>
      </c>
      <c r="B145" s="2" t="n"/>
      <c r="C145" s="33">
        <f>IF(Combine="Y", $G145, 0)</f>
        <v/>
      </c>
      <c r="D145" s="2" t="n"/>
      <c r="E145" s="4" t="n"/>
      <c r="F145" s="2" t="n"/>
      <c r="G145" s="33">
        <f>SUM($K145:$M145)</f>
        <v/>
      </c>
      <c r="H145" s="2" t="n"/>
      <c r="I145" s="4" t="n"/>
      <c r="J145" s="2" t="n"/>
      <c r="K145" s="34">
        <f>IF('RPT1'!$J145="","",'RPT1'!$J145)</f>
        <v/>
      </c>
      <c r="L145" s="34">
        <f>IF('RPT2'!$J145="","",'RPT2'!$J145)</f>
        <v/>
      </c>
      <c r="M145" s="34">
        <f>IF('RPT3'!$J145="","",'RPT3'!$J145)</f>
        <v/>
      </c>
    </row>
    <row r="146">
      <c r="A146" s="16" t="inlineStr">
        <is>
          <t>Projected Scripts - w/ Exclusions - Retail 90 - Brand - Year 5</t>
        </is>
      </c>
      <c r="B146" s="2" t="n"/>
      <c r="C146" s="33">
        <f>IF(Combine="Y", $G146, 0)</f>
        <v/>
      </c>
      <c r="D146" s="2" t="n"/>
      <c r="E146" s="4" t="n"/>
      <c r="F146" s="2" t="n"/>
      <c r="G146" s="33">
        <f>SUM($K146:$M146)</f>
        <v/>
      </c>
      <c r="H146" s="2" t="n"/>
      <c r="I146" s="4" t="n"/>
      <c r="J146" s="2" t="n"/>
      <c r="K146" s="34">
        <f>IF('RPT1'!$J146="","",'RPT1'!$J146)</f>
        <v/>
      </c>
      <c r="L146" s="34">
        <f>IF('RPT2'!$J146="","",'RPT2'!$J146)</f>
        <v/>
      </c>
      <c r="M146" s="34">
        <f>IF('RPT3'!$J146="","",'RPT3'!$J146)</f>
        <v/>
      </c>
    </row>
    <row r="147">
      <c r="A147" s="16" t="inlineStr">
        <is>
          <t>Projected Scripts - w/ Exclusions - Retail 90 - Generic - Year 1</t>
        </is>
      </c>
      <c r="B147" s="2" t="n"/>
      <c r="C147" s="33">
        <f>IF(Combine="Y", $G147, 0)</f>
        <v/>
      </c>
      <c r="D147" s="2" t="n"/>
      <c r="E147" s="4" t="n"/>
      <c r="F147" s="2" t="n"/>
      <c r="G147" s="33">
        <f>SUM($K147:$M147)</f>
        <v/>
      </c>
      <c r="H147" s="2" t="n"/>
      <c r="I147" s="4" t="n"/>
      <c r="J147" s="2" t="n"/>
      <c r="K147" s="34">
        <f>IF('RPT1'!$J147="","",'RPT1'!$J147)</f>
        <v/>
      </c>
      <c r="L147" s="34">
        <f>IF('RPT2'!$J147="","",'RPT2'!$J147)</f>
        <v/>
      </c>
      <c r="M147" s="34">
        <f>IF('RPT3'!$J147="","",'RPT3'!$J147)</f>
        <v/>
      </c>
    </row>
    <row r="148">
      <c r="A148" s="16" t="inlineStr">
        <is>
          <t>Projected Scripts - w/ Exclusions - Retail 90 - Generic - Year 2</t>
        </is>
      </c>
      <c r="B148" s="2" t="n"/>
      <c r="C148" s="33">
        <f>IF(Combine="Y", $G148, 0)</f>
        <v/>
      </c>
      <c r="D148" s="2" t="n"/>
      <c r="E148" s="4" t="n"/>
      <c r="F148" s="2" t="n"/>
      <c r="G148" s="33">
        <f>SUM($K148:$M148)</f>
        <v/>
      </c>
      <c r="H148" s="2" t="n"/>
      <c r="I148" s="4" t="n"/>
      <c r="J148" s="2" t="n"/>
      <c r="K148" s="34">
        <f>IF('RPT1'!$J148="","",'RPT1'!$J148)</f>
        <v/>
      </c>
      <c r="L148" s="34">
        <f>IF('RPT2'!$J148="","",'RPT2'!$J148)</f>
        <v/>
      </c>
      <c r="M148" s="34">
        <f>IF('RPT3'!$J148="","",'RPT3'!$J148)</f>
        <v/>
      </c>
    </row>
    <row r="149">
      <c r="A149" s="16" t="inlineStr">
        <is>
          <t>Projected Scripts - w/ Exclusions - Retail 90 - Generic - Year 3</t>
        </is>
      </c>
      <c r="B149" s="2" t="n"/>
      <c r="C149" s="33">
        <f>IF(Combine="Y", $G149, 0)</f>
        <v/>
      </c>
      <c r="D149" s="2" t="n"/>
      <c r="E149" s="4" t="n"/>
      <c r="F149" s="2" t="n"/>
      <c r="G149" s="33">
        <f>SUM($K149:$M149)</f>
        <v/>
      </c>
      <c r="H149" s="2" t="n"/>
      <c r="I149" s="4" t="n"/>
      <c r="J149" s="2" t="n"/>
      <c r="K149" s="34">
        <f>IF('RPT1'!$J149="","",'RPT1'!$J149)</f>
        <v/>
      </c>
      <c r="L149" s="34">
        <f>IF('RPT2'!$J149="","",'RPT2'!$J149)</f>
        <v/>
      </c>
      <c r="M149" s="34">
        <f>IF('RPT3'!$J149="","",'RPT3'!$J149)</f>
        <v/>
      </c>
    </row>
    <row r="150">
      <c r="A150" s="16" t="inlineStr">
        <is>
          <t>Projected Scripts - w/ Exclusions - Retail 90 - Generic - Year 4</t>
        </is>
      </c>
      <c r="B150" s="2" t="n"/>
      <c r="C150" s="33">
        <f>IF(Combine="Y", $G150, 0)</f>
        <v/>
      </c>
      <c r="D150" s="2" t="n"/>
      <c r="E150" s="4" t="n"/>
      <c r="F150" s="2" t="n"/>
      <c r="G150" s="33">
        <f>SUM($K150:$M150)</f>
        <v/>
      </c>
      <c r="H150" s="2" t="n"/>
      <c r="I150" s="4" t="n"/>
      <c r="J150" s="2" t="n"/>
      <c r="K150" s="34">
        <f>IF('RPT1'!$J150="","",'RPT1'!$J150)</f>
        <v/>
      </c>
      <c r="L150" s="34">
        <f>IF('RPT2'!$J150="","",'RPT2'!$J150)</f>
        <v/>
      </c>
      <c r="M150" s="34">
        <f>IF('RPT3'!$J150="","",'RPT3'!$J150)</f>
        <v/>
      </c>
    </row>
    <row r="151">
      <c r="A151" s="16" t="inlineStr">
        <is>
          <t>Projected Scripts - w/ Exclusions - Retail 90 - Generic - Year 5</t>
        </is>
      </c>
      <c r="B151" s="2" t="n"/>
      <c r="C151" s="33">
        <f>IF(Combine="Y", $G151, 0)</f>
        <v/>
      </c>
      <c r="D151" s="2" t="n"/>
      <c r="E151" s="4" t="n"/>
      <c r="F151" s="2" t="n"/>
      <c r="G151" s="33">
        <f>SUM($K151:$M151)</f>
        <v/>
      </c>
      <c r="H151" s="2" t="n"/>
      <c r="I151" s="4" t="n"/>
      <c r="J151" s="2" t="n"/>
      <c r="K151" s="34">
        <f>IF('RPT1'!$J151="","",'RPT1'!$J151)</f>
        <v/>
      </c>
      <c r="L151" s="34">
        <f>IF('RPT2'!$J151="","",'RPT2'!$J151)</f>
        <v/>
      </c>
      <c r="M151" s="34">
        <f>IF('RPT3'!$J151="","",'RPT3'!$J151)</f>
        <v/>
      </c>
    </row>
    <row r="152">
      <c r="A152" s="16" t="inlineStr">
        <is>
          <t>Projected Scripts - w/ Exclusions - Specialty - Brand - Year 1</t>
        </is>
      </c>
      <c r="B152" s="2" t="n"/>
      <c r="C152" s="33">
        <f>IF(Combine="Y", $G152, 0)</f>
        <v/>
      </c>
      <c r="D152" s="2" t="n"/>
      <c r="E152" s="4" t="n"/>
      <c r="F152" s="2" t="n"/>
      <c r="G152" s="33">
        <f>SUM($K152:$M152)</f>
        <v/>
      </c>
      <c r="H152" s="2" t="n"/>
      <c r="I152" s="4" t="n"/>
      <c r="J152" s="2" t="n"/>
      <c r="K152" s="34">
        <f>IF('RPT1'!$J152="","",'RPT1'!$J152)</f>
        <v/>
      </c>
      <c r="L152" s="34">
        <f>IF('RPT2'!$J152="","",'RPT2'!$J152)</f>
        <v/>
      </c>
      <c r="M152" s="34">
        <f>IF('RPT3'!$J152="","",'RPT3'!$J152)</f>
        <v/>
      </c>
    </row>
    <row r="153">
      <c r="A153" s="16" t="inlineStr">
        <is>
          <t>Projected Scripts - w/ Exclusions - Specialty - Brand - Year 2</t>
        </is>
      </c>
      <c r="B153" s="2" t="n"/>
      <c r="C153" s="33">
        <f>IF(Combine="Y", $G153, 0)</f>
        <v/>
      </c>
      <c r="D153" s="2" t="n"/>
      <c r="E153" s="4" t="n"/>
      <c r="F153" s="2" t="n"/>
      <c r="G153" s="33">
        <f>SUM($K153:$M153)</f>
        <v/>
      </c>
      <c r="H153" s="2" t="n"/>
      <c r="I153" s="4" t="n"/>
      <c r="J153" s="2" t="n"/>
      <c r="K153" s="34">
        <f>IF('RPT1'!$J153="","",'RPT1'!$J153)</f>
        <v/>
      </c>
      <c r="L153" s="34">
        <f>IF('RPT2'!$J153="","",'RPT2'!$J153)</f>
        <v/>
      </c>
      <c r="M153" s="34">
        <f>IF('RPT3'!$J153="","",'RPT3'!$J153)</f>
        <v/>
      </c>
    </row>
    <row r="154">
      <c r="A154" s="16" t="inlineStr">
        <is>
          <t>Projected Scripts - w/ Exclusions - Specialty - Brand - Year 3</t>
        </is>
      </c>
      <c r="B154" s="2" t="n"/>
      <c r="C154" s="33">
        <f>IF(Combine="Y", $G154, 0)</f>
        <v/>
      </c>
      <c r="D154" s="2" t="n"/>
      <c r="E154" s="4" t="n"/>
      <c r="F154" s="2" t="n"/>
      <c r="G154" s="33">
        <f>SUM($K154:$M154)</f>
        <v/>
      </c>
      <c r="H154" s="2" t="n"/>
      <c r="I154" s="4" t="n"/>
      <c r="J154" s="2" t="n"/>
      <c r="K154" s="34">
        <f>IF('RPT1'!$J154="","",'RPT1'!$J154)</f>
        <v/>
      </c>
      <c r="L154" s="34">
        <f>IF('RPT2'!$J154="","",'RPT2'!$J154)</f>
        <v/>
      </c>
      <c r="M154" s="34">
        <f>IF('RPT3'!$J154="","",'RPT3'!$J154)</f>
        <v/>
      </c>
    </row>
    <row r="155">
      <c r="A155" s="16" t="inlineStr">
        <is>
          <t>Projected Scripts - w/ Exclusions - Specialty - Brand - Year 4</t>
        </is>
      </c>
      <c r="B155" s="2" t="n"/>
      <c r="C155" s="33">
        <f>IF(Combine="Y", $G155, 0)</f>
        <v/>
      </c>
      <c r="D155" s="2" t="n"/>
      <c r="E155" s="4" t="n"/>
      <c r="F155" s="2" t="n"/>
      <c r="G155" s="33">
        <f>SUM($K155:$M155)</f>
        <v/>
      </c>
      <c r="H155" s="2" t="n"/>
      <c r="I155" s="4" t="n"/>
      <c r="J155" s="2" t="n"/>
      <c r="K155" s="34">
        <f>IF('RPT1'!$J155="","",'RPT1'!$J155)</f>
        <v/>
      </c>
      <c r="L155" s="34">
        <f>IF('RPT2'!$J155="","",'RPT2'!$J155)</f>
        <v/>
      </c>
      <c r="M155" s="34">
        <f>IF('RPT3'!$J155="","",'RPT3'!$J155)</f>
        <v/>
      </c>
    </row>
    <row r="156">
      <c r="A156" s="16" t="inlineStr">
        <is>
          <t>Projected Scripts - w/ Exclusions - Specialty - Brand - Year 5</t>
        </is>
      </c>
      <c r="B156" s="2" t="n"/>
      <c r="C156" s="33">
        <f>IF(Combine="Y", $G156, 0)</f>
        <v/>
      </c>
      <c r="D156" s="2" t="n"/>
      <c r="E156" s="4" t="n"/>
      <c r="F156" s="2" t="n"/>
      <c r="G156" s="33">
        <f>SUM($K156:$M156)</f>
        <v/>
      </c>
      <c r="H156" s="2" t="n"/>
      <c r="I156" s="4" t="n"/>
      <c r="J156" s="2" t="n"/>
      <c r="K156" s="34">
        <f>IF('RPT1'!$J156="","",'RPT1'!$J156)</f>
        <v/>
      </c>
      <c r="L156" s="34">
        <f>IF('RPT2'!$J156="","",'RPT2'!$J156)</f>
        <v/>
      </c>
      <c r="M156" s="34">
        <f>IF('RPT3'!$J156="","",'RPT3'!$J156)</f>
        <v/>
      </c>
    </row>
    <row r="157">
      <c r="A157" s="16" t="inlineStr">
        <is>
          <t>Projected Scripts - w/ Exclusions - Specialty - Generic - Year 1</t>
        </is>
      </c>
      <c r="B157" s="2" t="n"/>
      <c r="C157" s="33">
        <f>IF(Combine="Y", $G157, 0)</f>
        <v/>
      </c>
      <c r="D157" s="2" t="n"/>
      <c r="E157" s="4" t="n"/>
      <c r="F157" s="2" t="n"/>
      <c r="G157" s="33">
        <f>SUM($K157:$M157)</f>
        <v/>
      </c>
      <c r="H157" s="2" t="n"/>
      <c r="I157" s="4" t="n"/>
      <c r="J157" s="2" t="n"/>
      <c r="K157" s="34">
        <f>IF('RPT1'!$J157="","",'RPT1'!$J157)</f>
        <v/>
      </c>
      <c r="L157" s="34">
        <f>IF('RPT2'!$J157="","",'RPT2'!$J157)</f>
        <v/>
      </c>
      <c r="M157" s="34">
        <f>IF('RPT3'!$J157="","",'RPT3'!$J157)</f>
        <v/>
      </c>
    </row>
    <row r="158">
      <c r="A158" s="16" t="inlineStr">
        <is>
          <t>Projected Scripts - w/ Exclusions - Specialty - Generic - Year 2</t>
        </is>
      </c>
      <c r="B158" s="2" t="n"/>
      <c r="C158" s="33">
        <f>IF(Combine="Y", $G158, 0)</f>
        <v/>
      </c>
      <c r="D158" s="2" t="n"/>
      <c r="E158" s="4" t="n"/>
      <c r="F158" s="2" t="n"/>
      <c r="G158" s="33">
        <f>SUM($K158:$M158)</f>
        <v/>
      </c>
      <c r="H158" s="2" t="n"/>
      <c r="I158" s="4" t="n"/>
      <c r="J158" s="2" t="n"/>
      <c r="K158" s="34">
        <f>IF('RPT1'!$J158="","",'RPT1'!$J158)</f>
        <v/>
      </c>
      <c r="L158" s="34">
        <f>IF('RPT2'!$J158="","",'RPT2'!$J158)</f>
        <v/>
      </c>
      <c r="M158" s="34">
        <f>IF('RPT3'!$J158="","",'RPT3'!$J158)</f>
        <v/>
      </c>
    </row>
    <row r="159">
      <c r="A159" s="16" t="inlineStr">
        <is>
          <t>Projected Scripts - w/ Exclusions - Specialty - Generic - Year 3</t>
        </is>
      </c>
      <c r="B159" s="2" t="n"/>
      <c r="C159" s="33">
        <f>IF(Combine="Y", $G159, 0)</f>
        <v/>
      </c>
      <c r="D159" s="2" t="n"/>
      <c r="E159" s="4" t="n"/>
      <c r="F159" s="2" t="n"/>
      <c r="G159" s="33">
        <f>SUM($K159:$M159)</f>
        <v/>
      </c>
      <c r="H159" s="2" t="n"/>
      <c r="I159" s="4" t="n"/>
      <c r="J159" s="2" t="n"/>
      <c r="K159" s="34">
        <f>IF('RPT1'!$J159="","",'RPT1'!$J159)</f>
        <v/>
      </c>
      <c r="L159" s="34">
        <f>IF('RPT2'!$J159="","",'RPT2'!$J159)</f>
        <v/>
      </c>
      <c r="M159" s="34">
        <f>IF('RPT3'!$J159="","",'RPT3'!$J159)</f>
        <v/>
      </c>
    </row>
    <row r="160">
      <c r="A160" s="16" t="inlineStr">
        <is>
          <t>Projected Scripts - w/ Exclusions - Specialty - Generic - Year 4</t>
        </is>
      </c>
      <c r="B160" s="2" t="n"/>
      <c r="C160" s="33">
        <f>IF(Combine="Y", $G160, 0)</f>
        <v/>
      </c>
      <c r="D160" s="2" t="n"/>
      <c r="E160" s="4" t="n"/>
      <c r="F160" s="2" t="n"/>
      <c r="G160" s="33">
        <f>SUM($K160:$M160)</f>
        <v/>
      </c>
      <c r="H160" s="2" t="n"/>
      <c r="I160" s="4" t="n"/>
      <c r="J160" s="2" t="n"/>
      <c r="K160" s="34">
        <f>IF('RPT1'!$J160="","",'RPT1'!$J160)</f>
        <v/>
      </c>
      <c r="L160" s="34">
        <f>IF('RPT2'!$J160="","",'RPT2'!$J160)</f>
        <v/>
      </c>
      <c r="M160" s="34">
        <f>IF('RPT3'!$J160="","",'RPT3'!$J160)</f>
        <v/>
      </c>
    </row>
    <row r="161">
      <c r="A161" s="16" t="inlineStr">
        <is>
          <t>Projected Scripts - w/ Exclusions - Specialty - Generic - Year 5</t>
        </is>
      </c>
      <c r="B161" s="2" t="n"/>
      <c r="C161" s="33">
        <f>IF(Combine="Y", $G161, 0)</f>
        <v/>
      </c>
      <c r="D161" s="2" t="n"/>
      <c r="E161" s="4" t="n"/>
      <c r="F161" s="2" t="n"/>
      <c r="G161" s="33">
        <f>SUM($K161:$M161)</f>
        <v/>
      </c>
      <c r="H161" s="2" t="n"/>
      <c r="I161" s="4" t="n"/>
      <c r="J161" s="2" t="n"/>
      <c r="K161" s="34">
        <f>IF('RPT1'!$J161="","",'RPT1'!$J161)</f>
        <v/>
      </c>
      <c r="L161" s="34">
        <f>IF('RPT2'!$J161="","",'RPT2'!$J161)</f>
        <v/>
      </c>
      <c r="M161" s="34">
        <f>IF('RPT3'!$J161="","",'RPT3'!$J161)</f>
        <v/>
      </c>
    </row>
    <row r="162">
      <c r="A162" s="31" t="n"/>
      <c r="B162" s="2" t="n"/>
      <c r="C162" s="14" t="n"/>
      <c r="D162" s="2" t="n"/>
      <c r="E162" s="4" t="n"/>
      <c r="F162" s="2" t="n"/>
      <c r="G162" s="14" t="n"/>
      <c r="H162" s="2" t="n"/>
      <c r="I162" s="4" t="n"/>
      <c r="J162" s="2" t="n"/>
      <c r="K162" s="32" t="n"/>
      <c r="L162" s="32" t="n"/>
      <c r="M162" s="32" t="n"/>
    </row>
    <row r="163">
      <c r="A163" s="12" t="inlineStr">
        <is>
          <t>Projected AWP / Rx - w/o Exclusions</t>
        </is>
      </c>
      <c r="B163" s="2" t="n"/>
      <c r="C163" s="14" t="n"/>
      <c r="D163" s="2" t="n"/>
      <c r="E163" s="4" t="n"/>
      <c r="F163" s="2" t="n"/>
      <c r="G163" s="14" t="n"/>
      <c r="H163" s="2" t="n"/>
      <c r="I163" s="4" t="n"/>
      <c r="J163" s="2" t="n"/>
      <c r="K163" s="32">
        <f>IF('RPT1'!$J163="","",'RPT1'!$J163)</f>
        <v/>
      </c>
      <c r="L163" s="32">
        <f>IF('RPT2'!$J163="","",'RPT2'!$J163)</f>
        <v/>
      </c>
      <c r="M163" s="32">
        <f>IF('RPT3'!$J163="","",'RPT3'!$J163)</f>
        <v/>
      </c>
    </row>
    <row r="164">
      <c r="A164" s="16" t="inlineStr">
        <is>
          <t>Projected AWP / Rx - w/o Exclusions - Mail - Brand - Year 1</t>
        </is>
      </c>
      <c r="B164" s="2" t="n"/>
      <c r="C164" s="43">
        <f>IF(Combine="Y", $G164, 0)</f>
        <v/>
      </c>
      <c r="D164" s="2" t="n"/>
      <c r="E164" s="4" t="n"/>
      <c r="F164" s="2" t="n"/>
      <c r="G164" s="43">
        <f>IF(G80=0,0,SUMPRODUCT($K80:$M80,$K164:$M164)/G80)</f>
        <v/>
      </c>
      <c r="H164" s="2" t="n"/>
      <c r="I164" s="4" t="n"/>
      <c r="J164" s="2" t="n"/>
      <c r="K164" s="44">
        <f>IF('RPT1'!$J164="","",'RPT1'!$J164)</f>
        <v/>
      </c>
      <c r="L164" s="44">
        <f>IF('RPT2'!$J164="","",'RPT2'!$J164)</f>
        <v/>
      </c>
      <c r="M164" s="44">
        <f>IF('RPT3'!$J164="","",'RPT3'!$J164)</f>
        <v/>
      </c>
    </row>
    <row r="165">
      <c r="A165" s="16" t="inlineStr">
        <is>
          <t>Projected AWP / Rx - w/o Exclusions - Mail - Brand - Year 2</t>
        </is>
      </c>
      <c r="B165" s="2" t="n"/>
      <c r="C165" s="43">
        <f>IF(Combine="Y", $G165, 0)</f>
        <v/>
      </c>
      <c r="D165" s="2" t="n"/>
      <c r="E165" s="4" t="n"/>
      <c r="F165" s="2" t="n"/>
      <c r="G165" s="43">
        <f>IF(G81=0,0,SUMPRODUCT($K81:$M81,$K165:$M165)/G81)</f>
        <v/>
      </c>
      <c r="H165" s="2" t="n"/>
      <c r="I165" s="4" t="n"/>
      <c r="J165" s="2" t="n"/>
      <c r="K165" s="44">
        <f>IF('RPT1'!$J165="","",'RPT1'!$J165)</f>
        <v/>
      </c>
      <c r="L165" s="44">
        <f>IF('RPT2'!$J165="","",'RPT2'!$J165)</f>
        <v/>
      </c>
      <c r="M165" s="44">
        <f>IF('RPT3'!$J165="","",'RPT3'!$J165)</f>
        <v/>
      </c>
    </row>
    <row r="166">
      <c r="A166" s="16" t="inlineStr">
        <is>
          <t>Projected AWP / Rx - w/o Exclusions - Mail - Brand - Year 3</t>
        </is>
      </c>
      <c r="B166" s="2" t="n"/>
      <c r="C166" s="43">
        <f>IF(Combine="Y", $G166, 0)</f>
        <v/>
      </c>
      <c r="D166" s="2" t="n"/>
      <c r="E166" s="4" t="n"/>
      <c r="F166" s="2" t="n"/>
      <c r="G166" s="43">
        <f>IF(G82=0,0,SUMPRODUCT($K82:$M82,$K166:$M166)/G82)</f>
        <v/>
      </c>
      <c r="H166" s="2" t="n"/>
      <c r="I166" s="4" t="n"/>
      <c r="J166" s="2" t="n"/>
      <c r="K166" s="44">
        <f>IF('RPT1'!$J166="","",'RPT1'!$J166)</f>
        <v/>
      </c>
      <c r="L166" s="44">
        <f>IF('RPT2'!$J166="","",'RPT2'!$J166)</f>
        <v/>
      </c>
      <c r="M166" s="44">
        <f>IF('RPT3'!$J166="","",'RPT3'!$J166)</f>
        <v/>
      </c>
    </row>
    <row r="167">
      <c r="A167" s="16" t="inlineStr">
        <is>
          <t>Projected AWP / Rx - w/o Exclusions - Mail - Brand - Year 4</t>
        </is>
      </c>
      <c r="B167" s="2" t="n"/>
      <c r="C167" s="43">
        <f>IF(Combine="Y", $G167, 0)</f>
        <v/>
      </c>
      <c r="D167" s="2" t="n"/>
      <c r="E167" s="4" t="n"/>
      <c r="F167" s="2" t="n"/>
      <c r="G167" s="43">
        <f>IF(G83=0,0,SUMPRODUCT($K83:$M83,$K167:$M167)/G83)</f>
        <v/>
      </c>
      <c r="H167" s="2" t="n"/>
      <c r="I167" s="4" t="n"/>
      <c r="J167" s="2" t="n"/>
      <c r="K167" s="44">
        <f>IF('RPT1'!$J167="","",'RPT1'!$J167)</f>
        <v/>
      </c>
      <c r="L167" s="44">
        <f>IF('RPT2'!$J167="","",'RPT2'!$J167)</f>
        <v/>
      </c>
      <c r="M167" s="44">
        <f>IF('RPT3'!$J167="","",'RPT3'!$J167)</f>
        <v/>
      </c>
    </row>
    <row r="168">
      <c r="A168" s="16" t="inlineStr">
        <is>
          <t>Projected AWP / Rx - w/o Exclusions - Mail - Brand - Year 5</t>
        </is>
      </c>
      <c r="B168" s="2" t="n"/>
      <c r="C168" s="43">
        <f>IF(Combine="Y", $G168, 0)</f>
        <v/>
      </c>
      <c r="D168" s="2" t="n"/>
      <c r="E168" s="4" t="n"/>
      <c r="F168" s="2" t="n"/>
      <c r="G168" s="43">
        <f>IF(G84=0,0,SUMPRODUCT($K84:$M84,$K168:$M168)/G84)</f>
        <v/>
      </c>
      <c r="H168" s="2" t="n"/>
      <c r="I168" s="4" t="n"/>
      <c r="J168" s="2" t="n"/>
      <c r="K168" s="44">
        <f>IF('RPT1'!$J168="","",'RPT1'!$J168)</f>
        <v/>
      </c>
      <c r="L168" s="44">
        <f>IF('RPT2'!$J168="","",'RPT2'!$J168)</f>
        <v/>
      </c>
      <c r="M168" s="44">
        <f>IF('RPT3'!$J168="","",'RPT3'!$J168)</f>
        <v/>
      </c>
    </row>
    <row r="169">
      <c r="A169" s="16" t="inlineStr">
        <is>
          <t>Projected AWP / Rx - w/o Exclusions - Mail - Generic - Year 1</t>
        </is>
      </c>
      <c r="B169" s="2" t="n"/>
      <c r="C169" s="43">
        <f>IF(Combine="Y", $G169, 0)</f>
        <v/>
      </c>
      <c r="D169" s="2" t="n"/>
      <c r="E169" s="4" t="n"/>
      <c r="F169" s="2" t="n"/>
      <c r="G169" s="43">
        <f>IF(G85=0,0,SUMPRODUCT($K85:$M85,$K169:$M169)/G85)</f>
        <v/>
      </c>
      <c r="H169" s="2" t="n"/>
      <c r="I169" s="4" t="n"/>
      <c r="J169" s="2" t="n"/>
      <c r="K169" s="44">
        <f>IF('RPT1'!$J169="","",'RPT1'!$J169)</f>
        <v/>
      </c>
      <c r="L169" s="44">
        <f>IF('RPT2'!$J169="","",'RPT2'!$J169)</f>
        <v/>
      </c>
      <c r="M169" s="44">
        <f>IF('RPT3'!$J169="","",'RPT3'!$J169)</f>
        <v/>
      </c>
    </row>
    <row r="170">
      <c r="A170" s="16" t="inlineStr">
        <is>
          <t>Projected AWP / Rx - w/o Exclusions - Mail - Generic - Year 2</t>
        </is>
      </c>
      <c r="B170" s="2" t="n"/>
      <c r="C170" s="43">
        <f>IF(Combine="Y", $G170, 0)</f>
        <v/>
      </c>
      <c r="D170" s="2" t="n"/>
      <c r="E170" s="4" t="n"/>
      <c r="F170" s="2" t="n"/>
      <c r="G170" s="43">
        <f>IF(G86=0,0,SUMPRODUCT($K86:$M86,$K170:$M170)/G86)</f>
        <v/>
      </c>
      <c r="H170" s="2" t="n"/>
      <c r="I170" s="4" t="n"/>
      <c r="J170" s="2" t="n"/>
      <c r="K170" s="44">
        <f>IF('RPT1'!$J170="","",'RPT1'!$J170)</f>
        <v/>
      </c>
      <c r="L170" s="44">
        <f>IF('RPT2'!$J170="","",'RPT2'!$J170)</f>
        <v/>
      </c>
      <c r="M170" s="44">
        <f>IF('RPT3'!$J170="","",'RPT3'!$J170)</f>
        <v/>
      </c>
    </row>
    <row r="171">
      <c r="A171" s="16" t="inlineStr">
        <is>
          <t>Projected AWP / Rx - w/o Exclusions - Mail - Generic - Year 3</t>
        </is>
      </c>
      <c r="B171" s="2" t="n"/>
      <c r="C171" s="43">
        <f>IF(Combine="Y", $G171, 0)</f>
        <v/>
      </c>
      <c r="D171" s="2" t="n"/>
      <c r="E171" s="4" t="n"/>
      <c r="F171" s="2" t="n"/>
      <c r="G171" s="43">
        <f>IF(G87=0,0,SUMPRODUCT($K87:$M87,$K171:$M171)/G87)</f>
        <v/>
      </c>
      <c r="H171" s="2" t="n"/>
      <c r="I171" s="4" t="n"/>
      <c r="J171" s="2" t="n"/>
      <c r="K171" s="44">
        <f>IF('RPT1'!$J171="","",'RPT1'!$J171)</f>
        <v/>
      </c>
      <c r="L171" s="44">
        <f>IF('RPT2'!$J171="","",'RPT2'!$J171)</f>
        <v/>
      </c>
      <c r="M171" s="44">
        <f>IF('RPT3'!$J171="","",'RPT3'!$J171)</f>
        <v/>
      </c>
    </row>
    <row r="172">
      <c r="A172" s="16" t="inlineStr">
        <is>
          <t>Projected AWP / Rx - w/o Exclusions - Mail - Generic - Year 4</t>
        </is>
      </c>
      <c r="B172" s="2" t="n"/>
      <c r="C172" s="43">
        <f>IF(Combine="Y", $G172, 0)</f>
        <v/>
      </c>
      <c r="D172" s="2" t="n"/>
      <c r="E172" s="4" t="n"/>
      <c r="F172" s="2" t="n"/>
      <c r="G172" s="43">
        <f>IF(G88=0,0,SUMPRODUCT($K88:$M88,$K172:$M172)/G88)</f>
        <v/>
      </c>
      <c r="H172" s="2" t="n"/>
      <c r="I172" s="4" t="n"/>
      <c r="J172" s="2" t="n"/>
      <c r="K172" s="44">
        <f>IF('RPT1'!$J172="","",'RPT1'!$J172)</f>
        <v/>
      </c>
      <c r="L172" s="44">
        <f>IF('RPT2'!$J172="","",'RPT2'!$J172)</f>
        <v/>
      </c>
      <c r="M172" s="44">
        <f>IF('RPT3'!$J172="","",'RPT3'!$J172)</f>
        <v/>
      </c>
    </row>
    <row r="173">
      <c r="A173" s="16" t="inlineStr">
        <is>
          <t>Projected AWP / Rx - w/o Exclusions - Mail - Generic - Year 5</t>
        </is>
      </c>
      <c r="B173" s="2" t="n"/>
      <c r="C173" s="43">
        <f>IF(Combine="Y", $G173, 0)</f>
        <v/>
      </c>
      <c r="D173" s="2" t="n"/>
      <c r="E173" s="4" t="n"/>
      <c r="F173" s="2" t="n"/>
      <c r="G173" s="43">
        <f>IF(G89=0,0,SUMPRODUCT($K89:$M89,$K173:$M173)/G89)</f>
        <v/>
      </c>
      <c r="H173" s="2" t="n"/>
      <c r="I173" s="4" t="n"/>
      <c r="J173" s="2" t="n"/>
      <c r="K173" s="44">
        <f>IF('RPT1'!$J173="","",'RPT1'!$J173)</f>
        <v/>
      </c>
      <c r="L173" s="44">
        <f>IF('RPT2'!$J173="","",'RPT2'!$J173)</f>
        <v/>
      </c>
      <c r="M173" s="44">
        <f>IF('RPT3'!$J173="","",'RPT3'!$J173)</f>
        <v/>
      </c>
    </row>
    <row r="174">
      <c r="A174" s="16" t="inlineStr">
        <is>
          <t>Projected AWP / Rx - w/o Exclusions - Retail 30 - Brand - Year 1</t>
        </is>
      </c>
      <c r="B174" s="2" t="n"/>
      <c r="C174" s="43">
        <f>IF(Combine="Y", $G174, 0)</f>
        <v/>
      </c>
      <c r="D174" s="2" t="n"/>
      <c r="E174" s="4" t="n"/>
      <c r="F174" s="2" t="n"/>
      <c r="G174" s="43">
        <f>IF(G90=0,0,SUMPRODUCT($K90:$M90,$K174:$M174)/G90)</f>
        <v/>
      </c>
      <c r="H174" s="2" t="n"/>
      <c r="I174" s="4" t="n"/>
      <c r="J174" s="2" t="n"/>
      <c r="K174" s="44">
        <f>IF('RPT1'!$J174="","",'RPT1'!$J174)</f>
        <v/>
      </c>
      <c r="L174" s="44">
        <f>IF('RPT2'!$J174="","",'RPT2'!$J174)</f>
        <v/>
      </c>
      <c r="M174" s="44">
        <f>IF('RPT3'!$J174="","",'RPT3'!$J174)</f>
        <v/>
      </c>
    </row>
    <row r="175">
      <c r="A175" s="16" t="inlineStr">
        <is>
          <t>Projected AWP / Rx - w/o Exclusions - Retail 30 - Brand - Year 2</t>
        </is>
      </c>
      <c r="B175" s="2" t="n"/>
      <c r="C175" s="43">
        <f>IF(Combine="Y", $G175, 0)</f>
        <v/>
      </c>
      <c r="D175" s="2" t="n"/>
      <c r="E175" s="4" t="n"/>
      <c r="F175" s="2" t="n"/>
      <c r="G175" s="43">
        <f>IF(G91=0,0,SUMPRODUCT($K91:$M91,$K175:$M175)/G91)</f>
        <v/>
      </c>
      <c r="H175" s="2" t="n"/>
      <c r="I175" s="4" t="n"/>
      <c r="J175" s="2" t="n"/>
      <c r="K175" s="44">
        <f>IF('RPT1'!$J175="","",'RPT1'!$J175)</f>
        <v/>
      </c>
      <c r="L175" s="44">
        <f>IF('RPT2'!$J175="","",'RPT2'!$J175)</f>
        <v/>
      </c>
      <c r="M175" s="44">
        <f>IF('RPT3'!$J175="","",'RPT3'!$J175)</f>
        <v/>
      </c>
    </row>
    <row r="176">
      <c r="A176" s="16" t="inlineStr">
        <is>
          <t>Projected AWP / Rx - w/o Exclusions - Retail 30 - Brand - Year 3</t>
        </is>
      </c>
      <c r="B176" s="2" t="n"/>
      <c r="C176" s="43">
        <f>IF(Combine="Y", $G176, 0)</f>
        <v/>
      </c>
      <c r="D176" s="2" t="n"/>
      <c r="E176" s="4" t="n"/>
      <c r="F176" s="2" t="n"/>
      <c r="G176" s="43">
        <f>IF(G92=0,0,SUMPRODUCT($K92:$M92,$K176:$M176)/G92)</f>
        <v/>
      </c>
      <c r="H176" s="2" t="n"/>
      <c r="I176" s="4" t="n"/>
      <c r="J176" s="2" t="n"/>
      <c r="K176" s="44">
        <f>IF('RPT1'!$J176="","",'RPT1'!$J176)</f>
        <v/>
      </c>
      <c r="L176" s="44">
        <f>IF('RPT2'!$J176="","",'RPT2'!$J176)</f>
        <v/>
      </c>
      <c r="M176" s="44">
        <f>IF('RPT3'!$J176="","",'RPT3'!$J176)</f>
        <v/>
      </c>
    </row>
    <row r="177">
      <c r="A177" s="16" t="inlineStr">
        <is>
          <t>Projected AWP / Rx - w/o Exclusions - Retail 30 - Brand - Year 4</t>
        </is>
      </c>
      <c r="B177" s="2" t="n"/>
      <c r="C177" s="43">
        <f>IF(Combine="Y", $G177, 0)</f>
        <v/>
      </c>
      <c r="D177" s="2" t="n"/>
      <c r="E177" s="4" t="n"/>
      <c r="F177" s="2" t="n"/>
      <c r="G177" s="43">
        <f>IF(G93=0,0,SUMPRODUCT($K93:$M93,$K177:$M177)/G93)</f>
        <v/>
      </c>
      <c r="H177" s="2" t="n"/>
      <c r="I177" s="4" t="n"/>
      <c r="J177" s="2" t="n"/>
      <c r="K177" s="44">
        <f>IF('RPT1'!$J177="","",'RPT1'!$J177)</f>
        <v/>
      </c>
      <c r="L177" s="44">
        <f>IF('RPT2'!$J177="","",'RPT2'!$J177)</f>
        <v/>
      </c>
      <c r="M177" s="44">
        <f>IF('RPT3'!$J177="","",'RPT3'!$J177)</f>
        <v/>
      </c>
    </row>
    <row r="178">
      <c r="A178" s="16" t="inlineStr">
        <is>
          <t>Projected AWP / Rx - w/o Exclusions - Retail 30 - Brand - Year 5</t>
        </is>
      </c>
      <c r="B178" s="2" t="n"/>
      <c r="C178" s="43">
        <f>IF(Combine="Y", $G178, 0)</f>
        <v/>
      </c>
      <c r="D178" s="2" t="n"/>
      <c r="E178" s="4" t="n"/>
      <c r="F178" s="2" t="n"/>
      <c r="G178" s="43">
        <f>IF(G94=0,0,SUMPRODUCT($K94:$M94,$K178:$M178)/G94)</f>
        <v/>
      </c>
      <c r="H178" s="2" t="n"/>
      <c r="I178" s="4" t="n"/>
      <c r="J178" s="2" t="n"/>
      <c r="K178" s="44">
        <f>IF('RPT1'!$J178="","",'RPT1'!$J178)</f>
        <v/>
      </c>
      <c r="L178" s="44">
        <f>IF('RPT2'!$J178="","",'RPT2'!$J178)</f>
        <v/>
      </c>
      <c r="M178" s="44">
        <f>IF('RPT3'!$J178="","",'RPT3'!$J178)</f>
        <v/>
      </c>
    </row>
    <row r="179">
      <c r="A179" s="16" t="inlineStr">
        <is>
          <t>Projected AWP / Rx - w/o Exclusions - Retail 30 - Generic - Year 1</t>
        </is>
      </c>
      <c r="B179" s="2" t="n"/>
      <c r="C179" s="43">
        <f>IF(Combine="Y", $G179, 0)</f>
        <v/>
      </c>
      <c r="D179" s="2" t="n"/>
      <c r="E179" s="4" t="n"/>
      <c r="F179" s="2" t="n"/>
      <c r="G179" s="43">
        <f>IF(G95=0,0,SUMPRODUCT($K95:$M95,$K179:$M179)/G95)</f>
        <v/>
      </c>
      <c r="H179" s="2" t="n"/>
      <c r="I179" s="4" t="n"/>
      <c r="J179" s="2" t="n"/>
      <c r="K179" s="44">
        <f>IF('RPT1'!$J179="","",'RPT1'!$J179)</f>
        <v/>
      </c>
      <c r="L179" s="44">
        <f>IF('RPT2'!$J179="","",'RPT2'!$J179)</f>
        <v/>
      </c>
      <c r="M179" s="44">
        <f>IF('RPT3'!$J179="","",'RPT3'!$J179)</f>
        <v/>
      </c>
    </row>
    <row r="180">
      <c r="A180" s="16" t="inlineStr">
        <is>
          <t>Projected AWP / Rx - w/o Exclusions - Retail 30 - Generic - Year 2</t>
        </is>
      </c>
      <c r="B180" s="2" t="n"/>
      <c r="C180" s="43">
        <f>IF(Combine="Y", $G180, 0)</f>
        <v/>
      </c>
      <c r="D180" s="2" t="n"/>
      <c r="E180" s="4" t="n"/>
      <c r="F180" s="2" t="n"/>
      <c r="G180" s="43">
        <f>IF(G96=0,0,SUMPRODUCT($K96:$M96,$K180:$M180)/G96)</f>
        <v/>
      </c>
      <c r="H180" s="2" t="n"/>
      <c r="I180" s="4" t="n"/>
      <c r="J180" s="2" t="n"/>
      <c r="K180" s="44">
        <f>IF('RPT1'!$J180="","",'RPT1'!$J180)</f>
        <v/>
      </c>
      <c r="L180" s="44">
        <f>IF('RPT2'!$J180="","",'RPT2'!$J180)</f>
        <v/>
      </c>
      <c r="M180" s="44">
        <f>IF('RPT3'!$J180="","",'RPT3'!$J180)</f>
        <v/>
      </c>
    </row>
    <row r="181">
      <c r="A181" s="16" t="inlineStr">
        <is>
          <t>Projected AWP / Rx - w/o Exclusions - Retail 30 - Generic - Year 3</t>
        </is>
      </c>
      <c r="B181" s="2" t="n"/>
      <c r="C181" s="43">
        <f>IF(Combine="Y", $G181, 0)</f>
        <v/>
      </c>
      <c r="D181" s="2" t="n"/>
      <c r="E181" s="4" t="n"/>
      <c r="F181" s="2" t="n"/>
      <c r="G181" s="43">
        <f>IF(G97=0,0,SUMPRODUCT($K97:$M97,$K181:$M181)/G97)</f>
        <v/>
      </c>
      <c r="H181" s="2" t="n"/>
      <c r="I181" s="4" t="n"/>
      <c r="J181" s="2" t="n"/>
      <c r="K181" s="44">
        <f>IF('RPT1'!$J181="","",'RPT1'!$J181)</f>
        <v/>
      </c>
      <c r="L181" s="44">
        <f>IF('RPT2'!$J181="","",'RPT2'!$J181)</f>
        <v/>
      </c>
      <c r="M181" s="44">
        <f>IF('RPT3'!$J181="","",'RPT3'!$J181)</f>
        <v/>
      </c>
    </row>
    <row r="182">
      <c r="A182" s="16" t="inlineStr">
        <is>
          <t>Projected AWP / Rx - w/o Exclusions - Retail 30 - Generic - Year 4</t>
        </is>
      </c>
      <c r="B182" s="2" t="n"/>
      <c r="C182" s="43">
        <f>IF(Combine="Y", $G182, 0)</f>
        <v/>
      </c>
      <c r="D182" s="2" t="n"/>
      <c r="E182" s="4" t="n"/>
      <c r="F182" s="2" t="n"/>
      <c r="G182" s="43">
        <f>IF(G98=0,0,SUMPRODUCT($K98:$M98,$K182:$M182)/G98)</f>
        <v/>
      </c>
      <c r="H182" s="2" t="n"/>
      <c r="I182" s="4" t="n"/>
      <c r="J182" s="2" t="n"/>
      <c r="K182" s="44">
        <f>IF('RPT1'!$J182="","",'RPT1'!$J182)</f>
        <v/>
      </c>
      <c r="L182" s="44">
        <f>IF('RPT2'!$J182="","",'RPT2'!$J182)</f>
        <v/>
      </c>
      <c r="M182" s="44">
        <f>IF('RPT3'!$J182="","",'RPT3'!$J182)</f>
        <v/>
      </c>
    </row>
    <row r="183">
      <c r="A183" s="16" t="inlineStr">
        <is>
          <t>Projected AWP / Rx - w/o Exclusions - Retail 30 - Generic - Year 5</t>
        </is>
      </c>
      <c r="B183" s="2" t="n"/>
      <c r="C183" s="43">
        <f>IF(Combine="Y", $G183, 0)</f>
        <v/>
      </c>
      <c r="D183" s="2" t="n"/>
      <c r="E183" s="4" t="n"/>
      <c r="F183" s="2" t="n"/>
      <c r="G183" s="43">
        <f>IF(G99=0,0,SUMPRODUCT($K99:$M99,$K183:$M183)/G99)</f>
        <v/>
      </c>
      <c r="H183" s="2" t="n"/>
      <c r="I183" s="4" t="n"/>
      <c r="J183" s="2" t="n"/>
      <c r="K183" s="44">
        <f>IF('RPT1'!$J183="","",'RPT1'!$J183)</f>
        <v/>
      </c>
      <c r="L183" s="44">
        <f>IF('RPT2'!$J183="","",'RPT2'!$J183)</f>
        <v/>
      </c>
      <c r="M183" s="44">
        <f>IF('RPT3'!$J183="","",'RPT3'!$J183)</f>
        <v/>
      </c>
    </row>
    <row r="184">
      <c r="A184" s="16" t="inlineStr">
        <is>
          <t>Projected AWP / Rx - w/o Exclusions - Retail 90 - Brand - Year 1</t>
        </is>
      </c>
      <c r="B184" s="2" t="n"/>
      <c r="C184" s="43">
        <f>IF(Combine="Y", $G184, 0)</f>
        <v/>
      </c>
      <c r="D184" s="2" t="n"/>
      <c r="E184" s="4" t="n"/>
      <c r="F184" s="2" t="n"/>
      <c r="G184" s="43">
        <f>IF(G100=0,0,SUMPRODUCT($K100:$M100,$K184:$M184)/G100)</f>
        <v/>
      </c>
      <c r="H184" s="2" t="n"/>
      <c r="I184" s="4" t="n"/>
      <c r="J184" s="2" t="n"/>
      <c r="K184" s="44">
        <f>IF('RPT1'!$J184="","",'RPT1'!$J184)</f>
        <v/>
      </c>
      <c r="L184" s="44">
        <f>IF('RPT2'!$J184="","",'RPT2'!$J184)</f>
        <v/>
      </c>
      <c r="M184" s="44">
        <f>IF('RPT3'!$J184="","",'RPT3'!$J184)</f>
        <v/>
      </c>
    </row>
    <row r="185">
      <c r="A185" s="16" t="inlineStr">
        <is>
          <t>Projected AWP / Rx - w/o Exclusions - Retail 90 - Brand - Year 2</t>
        </is>
      </c>
      <c r="B185" s="2" t="n"/>
      <c r="C185" s="43">
        <f>IF(Combine="Y", $G185, 0)</f>
        <v/>
      </c>
      <c r="D185" s="2" t="n"/>
      <c r="E185" s="4" t="n"/>
      <c r="F185" s="2" t="n"/>
      <c r="G185" s="43">
        <f>IF(G101=0,0,SUMPRODUCT($K101:$M101,$K185:$M185)/G101)</f>
        <v/>
      </c>
      <c r="H185" s="2" t="n"/>
      <c r="I185" s="4" t="n"/>
      <c r="J185" s="2" t="n"/>
      <c r="K185" s="44">
        <f>IF('RPT1'!$J185="","",'RPT1'!$J185)</f>
        <v/>
      </c>
      <c r="L185" s="44">
        <f>IF('RPT2'!$J185="","",'RPT2'!$J185)</f>
        <v/>
      </c>
      <c r="M185" s="44">
        <f>IF('RPT3'!$J185="","",'RPT3'!$J185)</f>
        <v/>
      </c>
    </row>
    <row r="186">
      <c r="A186" s="16" t="inlineStr">
        <is>
          <t>Projected AWP / Rx - w/o Exclusions - Retail 90 - Brand - Year 3</t>
        </is>
      </c>
      <c r="B186" s="2" t="n"/>
      <c r="C186" s="43">
        <f>IF(Combine="Y", $G186, 0)</f>
        <v/>
      </c>
      <c r="D186" s="2" t="n"/>
      <c r="E186" s="4" t="n"/>
      <c r="F186" s="2" t="n"/>
      <c r="G186" s="43">
        <f>IF(G102=0,0,SUMPRODUCT($K102:$M102,$K186:$M186)/G102)</f>
        <v/>
      </c>
      <c r="H186" s="2" t="n"/>
      <c r="I186" s="4" t="n"/>
      <c r="J186" s="2" t="n"/>
      <c r="K186" s="44">
        <f>IF('RPT1'!$J186="","",'RPT1'!$J186)</f>
        <v/>
      </c>
      <c r="L186" s="44">
        <f>IF('RPT2'!$J186="","",'RPT2'!$J186)</f>
        <v/>
      </c>
      <c r="M186" s="44">
        <f>IF('RPT3'!$J186="","",'RPT3'!$J186)</f>
        <v/>
      </c>
    </row>
    <row r="187">
      <c r="A187" s="16" t="inlineStr">
        <is>
          <t>Projected AWP / Rx - w/o Exclusions - Retail 90 - Brand - Year 4</t>
        </is>
      </c>
      <c r="B187" s="2" t="n"/>
      <c r="C187" s="43">
        <f>IF(Combine="Y", $G187, 0)</f>
        <v/>
      </c>
      <c r="D187" s="2" t="n"/>
      <c r="E187" s="4" t="n"/>
      <c r="F187" s="2" t="n"/>
      <c r="G187" s="43">
        <f>IF(G103=0,0,SUMPRODUCT($K103:$M103,$K187:$M187)/G103)</f>
        <v/>
      </c>
      <c r="H187" s="2" t="n"/>
      <c r="I187" s="4" t="n"/>
      <c r="J187" s="2" t="n"/>
      <c r="K187" s="44">
        <f>IF('RPT1'!$J187="","",'RPT1'!$J187)</f>
        <v/>
      </c>
      <c r="L187" s="44">
        <f>IF('RPT2'!$J187="","",'RPT2'!$J187)</f>
        <v/>
      </c>
      <c r="M187" s="44">
        <f>IF('RPT3'!$J187="","",'RPT3'!$J187)</f>
        <v/>
      </c>
    </row>
    <row r="188">
      <c r="A188" s="16" t="inlineStr">
        <is>
          <t>Projected AWP / Rx - w/o Exclusions - Retail 90 - Brand - Year 5</t>
        </is>
      </c>
      <c r="B188" s="2" t="n"/>
      <c r="C188" s="43">
        <f>IF(Combine="Y", $G188, 0)</f>
        <v/>
      </c>
      <c r="D188" s="2" t="n"/>
      <c r="E188" s="4" t="n"/>
      <c r="F188" s="2" t="n"/>
      <c r="G188" s="43">
        <f>IF(G104=0,0,SUMPRODUCT($K104:$M104,$K188:$M188)/G104)</f>
        <v/>
      </c>
      <c r="H188" s="2" t="n"/>
      <c r="I188" s="4" t="n"/>
      <c r="J188" s="2" t="n"/>
      <c r="K188" s="44">
        <f>IF('RPT1'!$J188="","",'RPT1'!$J188)</f>
        <v/>
      </c>
      <c r="L188" s="44">
        <f>IF('RPT2'!$J188="","",'RPT2'!$J188)</f>
        <v/>
      </c>
      <c r="M188" s="44">
        <f>IF('RPT3'!$J188="","",'RPT3'!$J188)</f>
        <v/>
      </c>
    </row>
    <row r="189">
      <c r="A189" s="16" t="inlineStr">
        <is>
          <t>Projected AWP / Rx - w/o Exclusions - Retail 90 - Generic - Year 1</t>
        </is>
      </c>
      <c r="B189" s="2" t="n"/>
      <c r="C189" s="43">
        <f>IF(Combine="Y", $G189, 0)</f>
        <v/>
      </c>
      <c r="D189" s="2" t="n"/>
      <c r="E189" s="4" t="n"/>
      <c r="F189" s="2" t="n"/>
      <c r="G189" s="43">
        <f>IF(G105=0,0,SUMPRODUCT($K105:$M105,$K189:$M189)/G105)</f>
        <v/>
      </c>
      <c r="H189" s="2" t="n"/>
      <c r="I189" s="4" t="n"/>
      <c r="J189" s="2" t="n"/>
      <c r="K189" s="44">
        <f>IF('RPT1'!$J189="","",'RPT1'!$J189)</f>
        <v/>
      </c>
      <c r="L189" s="44">
        <f>IF('RPT2'!$J189="","",'RPT2'!$J189)</f>
        <v/>
      </c>
      <c r="M189" s="44">
        <f>IF('RPT3'!$J189="","",'RPT3'!$J189)</f>
        <v/>
      </c>
    </row>
    <row r="190">
      <c r="A190" s="16" t="inlineStr">
        <is>
          <t>Projected AWP / Rx - w/o Exclusions - Retail 90 - Generic - Year 2</t>
        </is>
      </c>
      <c r="B190" s="2" t="n"/>
      <c r="C190" s="43">
        <f>IF(Combine="Y", $G190, 0)</f>
        <v/>
      </c>
      <c r="D190" s="2" t="n"/>
      <c r="E190" s="4" t="n"/>
      <c r="F190" s="2" t="n"/>
      <c r="G190" s="43">
        <f>IF(G106=0,0,SUMPRODUCT($K106:$M106,$K190:$M190)/G106)</f>
        <v/>
      </c>
      <c r="H190" s="2" t="n"/>
      <c r="I190" s="4" t="n"/>
      <c r="J190" s="2" t="n"/>
      <c r="K190" s="44">
        <f>IF('RPT1'!$J190="","",'RPT1'!$J190)</f>
        <v/>
      </c>
      <c r="L190" s="44">
        <f>IF('RPT2'!$J190="","",'RPT2'!$J190)</f>
        <v/>
      </c>
      <c r="M190" s="44">
        <f>IF('RPT3'!$J190="","",'RPT3'!$J190)</f>
        <v/>
      </c>
    </row>
    <row r="191">
      <c r="A191" s="16" t="inlineStr">
        <is>
          <t>Projected AWP / Rx - w/o Exclusions - Retail 90 - Generic - Year 3</t>
        </is>
      </c>
      <c r="B191" s="2" t="n"/>
      <c r="C191" s="43">
        <f>IF(Combine="Y", $G191, 0)</f>
        <v/>
      </c>
      <c r="D191" s="2" t="n"/>
      <c r="E191" s="4" t="n"/>
      <c r="F191" s="2" t="n"/>
      <c r="G191" s="43">
        <f>IF(G107=0,0,SUMPRODUCT($K107:$M107,$K191:$M191)/G107)</f>
        <v/>
      </c>
      <c r="H191" s="2" t="n"/>
      <c r="I191" s="4" t="n"/>
      <c r="J191" s="2" t="n"/>
      <c r="K191" s="44">
        <f>IF('RPT1'!$J191="","",'RPT1'!$J191)</f>
        <v/>
      </c>
      <c r="L191" s="44">
        <f>IF('RPT2'!$J191="","",'RPT2'!$J191)</f>
        <v/>
      </c>
      <c r="M191" s="44">
        <f>IF('RPT3'!$J191="","",'RPT3'!$J191)</f>
        <v/>
      </c>
    </row>
    <row r="192">
      <c r="A192" s="16" t="inlineStr">
        <is>
          <t>Projected AWP / Rx - w/o Exclusions - Retail 90 - Generic - Year 4</t>
        </is>
      </c>
      <c r="B192" s="2" t="n"/>
      <c r="C192" s="43">
        <f>IF(Combine="Y", $G192, 0)</f>
        <v/>
      </c>
      <c r="D192" s="2" t="n"/>
      <c r="E192" s="4" t="n"/>
      <c r="F192" s="2" t="n"/>
      <c r="G192" s="43">
        <f>IF(G108=0,0,SUMPRODUCT($K108:$M108,$K192:$M192)/G108)</f>
        <v/>
      </c>
      <c r="H192" s="2" t="n"/>
      <c r="I192" s="4" t="n"/>
      <c r="J192" s="2" t="n"/>
      <c r="K192" s="44">
        <f>IF('RPT1'!$J192="","",'RPT1'!$J192)</f>
        <v/>
      </c>
      <c r="L192" s="44">
        <f>IF('RPT2'!$J192="","",'RPT2'!$J192)</f>
        <v/>
      </c>
      <c r="M192" s="44">
        <f>IF('RPT3'!$J192="","",'RPT3'!$J192)</f>
        <v/>
      </c>
    </row>
    <row r="193">
      <c r="A193" s="16" t="inlineStr">
        <is>
          <t>Projected AWP / Rx - w/o Exclusions - Retail 90 - Generic - Year 5</t>
        </is>
      </c>
      <c r="B193" s="2" t="n"/>
      <c r="C193" s="43">
        <f>IF(Combine="Y", $G193, 0)</f>
        <v/>
      </c>
      <c r="D193" s="2" t="n"/>
      <c r="E193" s="4" t="n"/>
      <c r="F193" s="2" t="n"/>
      <c r="G193" s="43">
        <f>IF(G109=0,0,SUMPRODUCT($K109:$M109,$K193:$M193)/G109)</f>
        <v/>
      </c>
      <c r="H193" s="2" t="n"/>
      <c r="I193" s="4" t="n"/>
      <c r="J193" s="2" t="n"/>
      <c r="K193" s="44">
        <f>IF('RPT1'!$J193="","",'RPT1'!$J193)</f>
        <v/>
      </c>
      <c r="L193" s="44">
        <f>IF('RPT2'!$J193="","",'RPT2'!$J193)</f>
        <v/>
      </c>
      <c r="M193" s="44">
        <f>IF('RPT3'!$J193="","",'RPT3'!$J193)</f>
        <v/>
      </c>
    </row>
    <row r="194">
      <c r="A194" s="16" t="inlineStr">
        <is>
          <t>Projected AWP / Rx - w/o Exclusions - Specialty - Brand - Year 1</t>
        </is>
      </c>
      <c r="B194" s="2" t="n"/>
      <c r="C194" s="43">
        <f>IF(Combine="Y", $G194, 0)</f>
        <v/>
      </c>
      <c r="D194" s="2" t="n"/>
      <c r="E194" s="4" t="n"/>
      <c r="F194" s="2" t="n"/>
      <c r="G194" s="43">
        <f>IF(G110=0,0,SUMPRODUCT($K110:$M110,$K194:$M194)/G110)</f>
        <v/>
      </c>
      <c r="H194" s="2" t="n"/>
      <c r="I194" s="4" t="n"/>
      <c r="J194" s="2" t="n"/>
      <c r="K194" s="44">
        <f>IF('RPT1'!$J194="","",'RPT1'!$J194)</f>
        <v/>
      </c>
      <c r="L194" s="44">
        <f>IF('RPT2'!$J194="","",'RPT2'!$J194)</f>
        <v/>
      </c>
      <c r="M194" s="44">
        <f>IF('RPT3'!$J194="","",'RPT3'!$J194)</f>
        <v/>
      </c>
    </row>
    <row r="195">
      <c r="A195" s="16" t="inlineStr">
        <is>
          <t>Projected AWP / Rx - w/o Exclusions - Specialty - Brand - Year 2</t>
        </is>
      </c>
      <c r="B195" s="2" t="n"/>
      <c r="C195" s="43">
        <f>IF(Combine="Y", $G195, 0)</f>
        <v/>
      </c>
      <c r="D195" s="2" t="n"/>
      <c r="E195" s="4" t="n"/>
      <c r="F195" s="2" t="n"/>
      <c r="G195" s="43">
        <f>IF(G111=0,0,SUMPRODUCT($K111:$M111,$K195:$M195)/G111)</f>
        <v/>
      </c>
      <c r="H195" s="2" t="n"/>
      <c r="I195" s="4" t="n"/>
      <c r="J195" s="2" t="n"/>
      <c r="K195" s="44">
        <f>IF('RPT1'!$J195="","",'RPT1'!$J195)</f>
        <v/>
      </c>
      <c r="L195" s="44">
        <f>IF('RPT2'!$J195="","",'RPT2'!$J195)</f>
        <v/>
      </c>
      <c r="M195" s="44">
        <f>IF('RPT3'!$J195="","",'RPT3'!$J195)</f>
        <v/>
      </c>
    </row>
    <row r="196">
      <c r="A196" s="16" t="inlineStr">
        <is>
          <t>Projected AWP / Rx - w/o Exclusions - Specialty - Brand - Year 3</t>
        </is>
      </c>
      <c r="B196" s="2" t="n"/>
      <c r="C196" s="43">
        <f>IF(Combine="Y", $G196, 0)</f>
        <v/>
      </c>
      <c r="D196" s="2" t="n"/>
      <c r="E196" s="4" t="n"/>
      <c r="F196" s="2" t="n"/>
      <c r="G196" s="43">
        <f>IF(G112=0,0,SUMPRODUCT($K112:$M112,$K196:$M196)/G112)</f>
        <v/>
      </c>
      <c r="H196" s="2" t="n"/>
      <c r="I196" s="4" t="n"/>
      <c r="J196" s="2" t="n"/>
      <c r="K196" s="44">
        <f>IF('RPT1'!$J196="","",'RPT1'!$J196)</f>
        <v/>
      </c>
      <c r="L196" s="44">
        <f>IF('RPT2'!$J196="","",'RPT2'!$J196)</f>
        <v/>
      </c>
      <c r="M196" s="44">
        <f>IF('RPT3'!$J196="","",'RPT3'!$J196)</f>
        <v/>
      </c>
    </row>
    <row r="197">
      <c r="A197" s="16" t="inlineStr">
        <is>
          <t>Projected AWP / Rx - w/o Exclusions - Specialty - Brand - Year 4</t>
        </is>
      </c>
      <c r="B197" s="2" t="n"/>
      <c r="C197" s="43">
        <f>IF(Combine="Y", $G197, 0)</f>
        <v/>
      </c>
      <c r="D197" s="2" t="n"/>
      <c r="E197" s="4" t="n"/>
      <c r="F197" s="2" t="n"/>
      <c r="G197" s="43">
        <f>IF(G113=0,0,SUMPRODUCT($K113:$M113,$K197:$M197)/G113)</f>
        <v/>
      </c>
      <c r="H197" s="2" t="n"/>
      <c r="I197" s="4" t="n"/>
      <c r="J197" s="2" t="n"/>
      <c r="K197" s="44">
        <f>IF('RPT1'!$J197="","",'RPT1'!$J197)</f>
        <v/>
      </c>
      <c r="L197" s="44">
        <f>IF('RPT2'!$J197="","",'RPT2'!$J197)</f>
        <v/>
      </c>
      <c r="M197" s="44">
        <f>IF('RPT3'!$J197="","",'RPT3'!$J197)</f>
        <v/>
      </c>
    </row>
    <row r="198">
      <c r="A198" s="16" t="inlineStr">
        <is>
          <t>Projected AWP / Rx - w/o Exclusions - Specialty - Brand - Year 5</t>
        </is>
      </c>
      <c r="B198" s="2" t="n"/>
      <c r="C198" s="43">
        <f>IF(Combine="Y", $G198, 0)</f>
        <v/>
      </c>
      <c r="D198" s="2" t="n"/>
      <c r="E198" s="4" t="n"/>
      <c r="F198" s="2" t="n"/>
      <c r="G198" s="43">
        <f>IF(G114=0,0,SUMPRODUCT($K114:$M114,$K198:$M198)/G114)</f>
        <v/>
      </c>
      <c r="H198" s="2" t="n"/>
      <c r="I198" s="4" t="n"/>
      <c r="J198" s="2" t="n"/>
      <c r="K198" s="44">
        <f>IF('RPT1'!$J198="","",'RPT1'!$J198)</f>
        <v/>
      </c>
      <c r="L198" s="44">
        <f>IF('RPT2'!$J198="","",'RPT2'!$J198)</f>
        <v/>
      </c>
      <c r="M198" s="44">
        <f>IF('RPT3'!$J198="","",'RPT3'!$J198)</f>
        <v/>
      </c>
    </row>
    <row r="199">
      <c r="A199" s="16" t="inlineStr">
        <is>
          <t>Projected AWP / Rx - w/o Exclusions - Specialty - Generic - Year 1</t>
        </is>
      </c>
      <c r="B199" s="2" t="n"/>
      <c r="C199" s="43">
        <f>IF(Combine="Y", $G199, 0)</f>
        <v/>
      </c>
      <c r="D199" s="2" t="n"/>
      <c r="E199" s="4" t="n"/>
      <c r="F199" s="2" t="n"/>
      <c r="G199" s="43">
        <f>IF(G115=0,0,SUMPRODUCT($K115:$M115,$K199:$M199)/G115)</f>
        <v/>
      </c>
      <c r="H199" s="2" t="n"/>
      <c r="I199" s="4" t="n"/>
      <c r="J199" s="2" t="n"/>
      <c r="K199" s="44">
        <f>IF('RPT1'!$J199="","",'RPT1'!$J199)</f>
        <v/>
      </c>
      <c r="L199" s="44">
        <f>IF('RPT2'!$J199="","",'RPT2'!$J199)</f>
        <v/>
      </c>
      <c r="M199" s="44">
        <f>IF('RPT3'!$J199="","",'RPT3'!$J199)</f>
        <v/>
      </c>
    </row>
    <row r="200">
      <c r="A200" s="16" t="inlineStr">
        <is>
          <t>Projected AWP / Rx - w/o Exclusions - Specialty - Generic - Year 2</t>
        </is>
      </c>
      <c r="B200" s="2" t="n"/>
      <c r="C200" s="43">
        <f>IF(Combine="Y", $G200, 0)</f>
        <v/>
      </c>
      <c r="D200" s="2" t="n"/>
      <c r="E200" s="4" t="n"/>
      <c r="F200" s="2" t="n"/>
      <c r="G200" s="43">
        <f>IF(G116=0,0,SUMPRODUCT($K116:$M116,$K200:$M200)/G116)</f>
        <v/>
      </c>
      <c r="H200" s="2" t="n"/>
      <c r="I200" s="4" t="n"/>
      <c r="J200" s="2" t="n"/>
      <c r="K200" s="44">
        <f>IF('RPT1'!$J200="","",'RPT1'!$J200)</f>
        <v/>
      </c>
      <c r="L200" s="44">
        <f>IF('RPT2'!$J200="","",'RPT2'!$J200)</f>
        <v/>
      </c>
      <c r="M200" s="44">
        <f>IF('RPT3'!$J200="","",'RPT3'!$J200)</f>
        <v/>
      </c>
    </row>
    <row r="201">
      <c r="A201" s="16" t="inlineStr">
        <is>
          <t>Projected AWP / Rx - w/o Exclusions - Specialty - Generic - Year 3</t>
        </is>
      </c>
      <c r="B201" s="2" t="n"/>
      <c r="C201" s="43">
        <f>IF(Combine="Y", $G201, 0)</f>
        <v/>
      </c>
      <c r="D201" s="2" t="n"/>
      <c r="E201" s="4" t="n"/>
      <c r="F201" s="2" t="n"/>
      <c r="G201" s="43">
        <f>IF(G117=0,0,SUMPRODUCT($K117:$M117,$K201:$M201)/G117)</f>
        <v/>
      </c>
      <c r="H201" s="2" t="n"/>
      <c r="I201" s="4" t="n"/>
      <c r="J201" s="2" t="n"/>
      <c r="K201" s="44">
        <f>IF('RPT1'!$J201="","",'RPT1'!$J201)</f>
        <v/>
      </c>
      <c r="L201" s="44">
        <f>IF('RPT2'!$J201="","",'RPT2'!$J201)</f>
        <v/>
      </c>
      <c r="M201" s="44">
        <f>IF('RPT3'!$J201="","",'RPT3'!$J201)</f>
        <v/>
      </c>
    </row>
    <row r="202">
      <c r="A202" s="16" t="inlineStr">
        <is>
          <t>Projected AWP / Rx - w/o Exclusions - Specialty - Generic - Year 4</t>
        </is>
      </c>
      <c r="B202" s="2" t="n"/>
      <c r="C202" s="43">
        <f>IF(Combine="Y", $G202, 0)</f>
        <v/>
      </c>
      <c r="D202" s="2" t="n"/>
      <c r="E202" s="4" t="n"/>
      <c r="F202" s="2" t="n"/>
      <c r="G202" s="43">
        <f>IF(G118=0,0,SUMPRODUCT($K118:$M118,$K202:$M202)/G118)</f>
        <v/>
      </c>
      <c r="H202" s="2" t="n"/>
      <c r="I202" s="4" t="n"/>
      <c r="J202" s="2" t="n"/>
      <c r="K202" s="44">
        <f>IF('RPT1'!$J202="","",'RPT1'!$J202)</f>
        <v/>
      </c>
      <c r="L202" s="44">
        <f>IF('RPT2'!$J202="","",'RPT2'!$J202)</f>
        <v/>
      </c>
      <c r="M202" s="44">
        <f>IF('RPT3'!$J202="","",'RPT3'!$J202)</f>
        <v/>
      </c>
    </row>
    <row r="203">
      <c r="A203" s="16" t="inlineStr">
        <is>
          <t>Projected AWP / Rx - w/o Exclusions - Specialty - Generic - Year 5</t>
        </is>
      </c>
      <c r="B203" s="2" t="n"/>
      <c r="C203" s="43">
        <f>IF(Combine="Y", $G203, 0)</f>
        <v/>
      </c>
      <c r="D203" s="2" t="n"/>
      <c r="E203" s="4" t="n"/>
      <c r="F203" s="2" t="n"/>
      <c r="G203" s="43">
        <f>IF(G119=0,0,SUMPRODUCT($K119:$M119,$K203:$M203)/G119)</f>
        <v/>
      </c>
      <c r="H203" s="2" t="n"/>
      <c r="I203" s="4" t="n"/>
      <c r="J203" s="2" t="n"/>
      <c r="K203" s="44">
        <f>IF('RPT1'!$J203="","",'RPT1'!$J203)</f>
        <v/>
      </c>
      <c r="L203" s="44">
        <f>IF('RPT2'!$J203="","",'RPT2'!$J203)</f>
        <v/>
      </c>
      <c r="M203" s="44">
        <f>IF('RPT3'!$J203="","",'RPT3'!$J203)</f>
        <v/>
      </c>
    </row>
    <row r="204">
      <c r="A204" s="31" t="n"/>
      <c r="B204" s="2" t="n"/>
      <c r="C204" s="14" t="n"/>
      <c r="D204" s="2" t="n"/>
      <c r="E204" s="4" t="n"/>
      <c r="F204" s="2" t="n"/>
      <c r="G204" s="14" t="n"/>
      <c r="H204" s="2" t="n"/>
      <c r="I204" s="4" t="n"/>
      <c r="J204" s="2" t="n"/>
      <c r="K204" s="32" t="n"/>
      <c r="L204" s="32" t="n"/>
      <c r="M204" s="32" t="n"/>
    </row>
    <row r="205">
      <c r="A205" s="12" t="inlineStr">
        <is>
          <t>Projected AWP / Rx - w/ Exclusions</t>
        </is>
      </c>
      <c r="B205" s="2" t="n"/>
      <c r="C205" s="14" t="n"/>
      <c r="D205" s="2" t="n"/>
      <c r="E205" s="4" t="n"/>
      <c r="F205" s="2" t="n"/>
      <c r="G205" s="14" t="n"/>
      <c r="H205" s="2" t="n"/>
      <c r="I205" s="4" t="n"/>
      <c r="J205" s="2" t="n"/>
      <c r="K205" s="32">
        <f>IF('RPT1'!$J205="","",'RPT1'!$J205)</f>
        <v/>
      </c>
      <c r="L205" s="32">
        <f>IF('RPT2'!$J205="","",'RPT2'!$J205)</f>
        <v/>
      </c>
      <c r="M205" s="32">
        <f>IF('RPT3'!$J205="","",'RPT3'!$J205)</f>
        <v/>
      </c>
    </row>
    <row r="206">
      <c r="A206" s="16" t="inlineStr">
        <is>
          <t>Projected AWP / Rx - w/ Exclusions - Mail - Brand - Year 1</t>
        </is>
      </c>
      <c r="B206" s="2" t="n"/>
      <c r="C206" s="43">
        <f>IF(Combine="Y", $G206, 0)</f>
        <v/>
      </c>
      <c r="D206" s="2" t="n"/>
      <c r="E206" s="4" t="n"/>
      <c r="F206" s="2" t="n"/>
      <c r="G206" s="43">
        <f>IF(G122=0,0,SUMPRODUCT($K122:$M122,$K206:$M206)/G122)</f>
        <v/>
      </c>
      <c r="H206" s="2" t="n"/>
      <c r="I206" s="4" t="n"/>
      <c r="J206" s="2" t="n"/>
      <c r="K206" s="44">
        <f>IF('RPT1'!$J206="","",'RPT1'!$J206)</f>
        <v/>
      </c>
      <c r="L206" s="44">
        <f>IF('RPT2'!$J206="","",'RPT2'!$J206)</f>
        <v/>
      </c>
      <c r="M206" s="44">
        <f>IF('RPT3'!$J206="","",'RPT3'!$J206)</f>
        <v/>
      </c>
    </row>
    <row r="207">
      <c r="A207" s="16" t="inlineStr">
        <is>
          <t>Projected AWP / Rx - w/ Exclusions - Mail - Brand - Year 2</t>
        </is>
      </c>
      <c r="B207" s="2" t="n"/>
      <c r="C207" s="43">
        <f>IF(Combine="Y", $G207, 0)</f>
        <v/>
      </c>
      <c r="D207" s="2" t="n"/>
      <c r="E207" s="4" t="n"/>
      <c r="F207" s="2" t="n"/>
      <c r="G207" s="43">
        <f>IF(G123=0,0,SUMPRODUCT($K123:$M123,$K207:$M207)/G123)</f>
        <v/>
      </c>
      <c r="H207" s="2" t="n"/>
      <c r="I207" s="4" t="n"/>
      <c r="J207" s="2" t="n"/>
      <c r="K207" s="44">
        <f>IF('RPT1'!$J207="","",'RPT1'!$J207)</f>
        <v/>
      </c>
      <c r="L207" s="44">
        <f>IF('RPT2'!$J207="","",'RPT2'!$J207)</f>
        <v/>
      </c>
      <c r="M207" s="44">
        <f>IF('RPT3'!$J207="","",'RPT3'!$J207)</f>
        <v/>
      </c>
    </row>
    <row r="208">
      <c r="A208" s="16" t="inlineStr">
        <is>
          <t>Projected AWP / Rx - w/ Exclusions - Mail - Brand - Year 3</t>
        </is>
      </c>
      <c r="B208" s="2" t="n"/>
      <c r="C208" s="43">
        <f>IF(Combine="Y", $G208, 0)</f>
        <v/>
      </c>
      <c r="D208" s="2" t="n"/>
      <c r="E208" s="4" t="n"/>
      <c r="F208" s="2" t="n"/>
      <c r="G208" s="43">
        <f>IF(G124=0,0,SUMPRODUCT($K124:$M124,$K208:$M208)/G124)</f>
        <v/>
      </c>
      <c r="H208" s="2" t="n"/>
      <c r="I208" s="4" t="n"/>
      <c r="J208" s="2" t="n"/>
      <c r="K208" s="44">
        <f>IF('RPT1'!$J208="","",'RPT1'!$J208)</f>
        <v/>
      </c>
      <c r="L208" s="44">
        <f>IF('RPT2'!$J208="","",'RPT2'!$J208)</f>
        <v/>
      </c>
      <c r="M208" s="44">
        <f>IF('RPT3'!$J208="","",'RPT3'!$J208)</f>
        <v/>
      </c>
    </row>
    <row r="209">
      <c r="A209" s="16" t="inlineStr">
        <is>
          <t>Projected AWP / Rx - w/ Exclusions - Mail - Brand - Year 4</t>
        </is>
      </c>
      <c r="B209" s="2" t="n"/>
      <c r="C209" s="43">
        <f>IF(Combine="Y", $G209, 0)</f>
        <v/>
      </c>
      <c r="D209" s="2" t="n"/>
      <c r="E209" s="4" t="n"/>
      <c r="F209" s="2" t="n"/>
      <c r="G209" s="43">
        <f>IF(G125=0,0,SUMPRODUCT($K125:$M125,$K209:$M209)/G125)</f>
        <v/>
      </c>
      <c r="H209" s="2" t="n"/>
      <c r="I209" s="4" t="n"/>
      <c r="J209" s="2" t="n"/>
      <c r="K209" s="44">
        <f>IF('RPT1'!$J209="","",'RPT1'!$J209)</f>
        <v/>
      </c>
      <c r="L209" s="44">
        <f>IF('RPT2'!$J209="","",'RPT2'!$J209)</f>
        <v/>
      </c>
      <c r="M209" s="44">
        <f>IF('RPT3'!$J209="","",'RPT3'!$J209)</f>
        <v/>
      </c>
    </row>
    <row r="210">
      <c r="A210" s="16" t="inlineStr">
        <is>
          <t>Projected AWP / Rx - w/ Exclusions - Mail - Brand - Year 5</t>
        </is>
      </c>
      <c r="B210" s="2" t="n"/>
      <c r="C210" s="43">
        <f>IF(Combine="Y", $G210, 0)</f>
        <v/>
      </c>
      <c r="D210" s="2" t="n"/>
      <c r="E210" s="4" t="n"/>
      <c r="F210" s="2" t="n"/>
      <c r="G210" s="43">
        <f>IF(G126=0,0,SUMPRODUCT($K126:$M126,$K210:$M210)/G126)</f>
        <v/>
      </c>
      <c r="H210" s="2" t="n"/>
      <c r="I210" s="4" t="n"/>
      <c r="J210" s="2" t="n"/>
      <c r="K210" s="44">
        <f>IF('RPT1'!$J210="","",'RPT1'!$J210)</f>
        <v/>
      </c>
      <c r="L210" s="44">
        <f>IF('RPT2'!$J210="","",'RPT2'!$J210)</f>
        <v/>
      </c>
      <c r="M210" s="44">
        <f>IF('RPT3'!$J210="","",'RPT3'!$J210)</f>
        <v/>
      </c>
    </row>
    <row r="211">
      <c r="A211" s="16" t="inlineStr">
        <is>
          <t>Projected AWP / Rx - w/ Exclusions - Mail - Generic - Year 1</t>
        </is>
      </c>
      <c r="B211" s="2" t="n"/>
      <c r="C211" s="43">
        <f>IF(Combine="Y", $G211, 0)</f>
        <v/>
      </c>
      <c r="D211" s="2" t="n"/>
      <c r="E211" s="4" t="n"/>
      <c r="F211" s="2" t="n"/>
      <c r="G211" s="43">
        <f>IF(G127=0,0,SUMPRODUCT($K127:$M127,$K211:$M211)/G127)</f>
        <v/>
      </c>
      <c r="H211" s="2" t="n"/>
      <c r="I211" s="4" t="n"/>
      <c r="J211" s="2" t="n"/>
      <c r="K211" s="44">
        <f>IF('RPT1'!$J211="","",'RPT1'!$J211)</f>
        <v/>
      </c>
      <c r="L211" s="44">
        <f>IF('RPT2'!$J211="","",'RPT2'!$J211)</f>
        <v/>
      </c>
      <c r="M211" s="44">
        <f>IF('RPT3'!$J211="","",'RPT3'!$J211)</f>
        <v/>
      </c>
    </row>
    <row r="212">
      <c r="A212" s="16" t="inlineStr">
        <is>
          <t>Projected AWP / Rx - w/ Exclusions - Mail - Generic - Year 2</t>
        </is>
      </c>
      <c r="B212" s="2" t="n"/>
      <c r="C212" s="43">
        <f>IF(Combine="Y", $G212, 0)</f>
        <v/>
      </c>
      <c r="D212" s="2" t="n"/>
      <c r="E212" s="4" t="n"/>
      <c r="F212" s="2" t="n"/>
      <c r="G212" s="43">
        <f>IF(G128=0,0,SUMPRODUCT($K128:$M128,$K212:$M212)/G128)</f>
        <v/>
      </c>
      <c r="H212" s="2" t="n"/>
      <c r="I212" s="4" t="n"/>
      <c r="J212" s="2" t="n"/>
      <c r="K212" s="44">
        <f>IF('RPT1'!$J212="","",'RPT1'!$J212)</f>
        <v/>
      </c>
      <c r="L212" s="44">
        <f>IF('RPT2'!$J212="","",'RPT2'!$J212)</f>
        <v/>
      </c>
      <c r="M212" s="44">
        <f>IF('RPT3'!$J212="","",'RPT3'!$J212)</f>
        <v/>
      </c>
    </row>
    <row r="213">
      <c r="A213" s="16" t="inlineStr">
        <is>
          <t>Projected AWP / Rx - w/ Exclusions - Mail - Generic - Year 3</t>
        </is>
      </c>
      <c r="B213" s="2" t="n"/>
      <c r="C213" s="43">
        <f>IF(Combine="Y", $G213, 0)</f>
        <v/>
      </c>
      <c r="D213" s="2" t="n"/>
      <c r="E213" s="4" t="n"/>
      <c r="F213" s="2" t="n"/>
      <c r="G213" s="43">
        <f>IF(G129=0,0,SUMPRODUCT($K129:$M129,$K213:$M213)/G129)</f>
        <v/>
      </c>
      <c r="H213" s="2" t="n"/>
      <c r="I213" s="4" t="n"/>
      <c r="J213" s="2" t="n"/>
      <c r="K213" s="44">
        <f>IF('RPT1'!$J213="","",'RPT1'!$J213)</f>
        <v/>
      </c>
      <c r="L213" s="44">
        <f>IF('RPT2'!$J213="","",'RPT2'!$J213)</f>
        <v/>
      </c>
      <c r="M213" s="44">
        <f>IF('RPT3'!$J213="","",'RPT3'!$J213)</f>
        <v/>
      </c>
    </row>
    <row r="214">
      <c r="A214" s="16" t="inlineStr">
        <is>
          <t>Projected AWP / Rx - w/ Exclusions - Mail - Generic - Year 4</t>
        </is>
      </c>
      <c r="B214" s="2" t="n"/>
      <c r="C214" s="43">
        <f>IF(Combine="Y", $G214, 0)</f>
        <v/>
      </c>
      <c r="D214" s="2" t="n"/>
      <c r="E214" s="4" t="n"/>
      <c r="F214" s="2" t="n"/>
      <c r="G214" s="43">
        <f>IF(G130=0,0,SUMPRODUCT($K130:$M130,$K214:$M214)/G130)</f>
        <v/>
      </c>
      <c r="H214" s="2" t="n"/>
      <c r="I214" s="4" t="n"/>
      <c r="J214" s="2" t="n"/>
      <c r="K214" s="44">
        <f>IF('RPT1'!$J214="","",'RPT1'!$J214)</f>
        <v/>
      </c>
      <c r="L214" s="44">
        <f>IF('RPT2'!$J214="","",'RPT2'!$J214)</f>
        <v/>
      </c>
      <c r="M214" s="44">
        <f>IF('RPT3'!$J214="","",'RPT3'!$J214)</f>
        <v/>
      </c>
    </row>
    <row r="215">
      <c r="A215" s="16" t="inlineStr">
        <is>
          <t>Projected AWP / Rx - w/ Exclusions - Mail - Generic - Year 5</t>
        </is>
      </c>
      <c r="B215" s="2" t="n"/>
      <c r="C215" s="43">
        <f>IF(Combine="Y", $G215, 0)</f>
        <v/>
      </c>
      <c r="D215" s="2" t="n"/>
      <c r="E215" s="4" t="n"/>
      <c r="F215" s="2" t="n"/>
      <c r="G215" s="43">
        <f>IF(G131=0,0,SUMPRODUCT($K131:$M131,$K215:$M215)/G131)</f>
        <v/>
      </c>
      <c r="H215" s="2" t="n"/>
      <c r="I215" s="4" t="n"/>
      <c r="J215" s="2" t="n"/>
      <c r="K215" s="44">
        <f>IF('RPT1'!$J215="","",'RPT1'!$J215)</f>
        <v/>
      </c>
      <c r="L215" s="44">
        <f>IF('RPT2'!$J215="","",'RPT2'!$J215)</f>
        <v/>
      </c>
      <c r="M215" s="44">
        <f>IF('RPT3'!$J215="","",'RPT3'!$J215)</f>
        <v/>
      </c>
    </row>
    <row r="216">
      <c r="A216" s="16" t="inlineStr">
        <is>
          <t>Projected AWP / Rx - w/ Exclusions - Retail 30 - Brand - Year 1</t>
        </is>
      </c>
      <c r="B216" s="2" t="n"/>
      <c r="C216" s="43">
        <f>IF(Combine="Y", $G216, 0)</f>
        <v/>
      </c>
      <c r="D216" s="2" t="n"/>
      <c r="E216" s="4" t="n"/>
      <c r="F216" s="2" t="n"/>
      <c r="G216" s="43">
        <f>IF(G132=0,0,SUMPRODUCT($K132:$M132,$K216:$M216)/G132)</f>
        <v/>
      </c>
      <c r="H216" s="2" t="n"/>
      <c r="I216" s="4" t="n"/>
      <c r="J216" s="2" t="n"/>
      <c r="K216" s="44">
        <f>IF('RPT1'!$J216="","",'RPT1'!$J216)</f>
        <v/>
      </c>
      <c r="L216" s="44">
        <f>IF('RPT2'!$J216="","",'RPT2'!$J216)</f>
        <v/>
      </c>
      <c r="M216" s="44">
        <f>IF('RPT3'!$J216="","",'RPT3'!$J216)</f>
        <v/>
      </c>
    </row>
    <row r="217">
      <c r="A217" s="16" t="inlineStr">
        <is>
          <t>Projected AWP / Rx - w/ Exclusions - Retail 30 - Brand - Year 2</t>
        </is>
      </c>
      <c r="B217" s="2" t="n"/>
      <c r="C217" s="43">
        <f>IF(Combine="Y", $G217, 0)</f>
        <v/>
      </c>
      <c r="D217" s="2" t="n"/>
      <c r="E217" s="4" t="n"/>
      <c r="F217" s="2" t="n"/>
      <c r="G217" s="43">
        <f>IF(G133=0,0,SUMPRODUCT($K133:$M133,$K217:$M217)/G133)</f>
        <v/>
      </c>
      <c r="H217" s="2" t="n"/>
      <c r="I217" s="4" t="n"/>
      <c r="J217" s="2" t="n"/>
      <c r="K217" s="44">
        <f>IF('RPT1'!$J217="","",'RPT1'!$J217)</f>
        <v/>
      </c>
      <c r="L217" s="44">
        <f>IF('RPT2'!$J217="","",'RPT2'!$J217)</f>
        <v/>
      </c>
      <c r="M217" s="44">
        <f>IF('RPT3'!$J217="","",'RPT3'!$J217)</f>
        <v/>
      </c>
    </row>
    <row r="218">
      <c r="A218" s="16" t="inlineStr">
        <is>
          <t>Projected AWP / Rx - w/ Exclusions - Retail 30 - Brand - Year 3</t>
        </is>
      </c>
      <c r="B218" s="2" t="n"/>
      <c r="C218" s="43">
        <f>IF(Combine="Y", $G218, 0)</f>
        <v/>
      </c>
      <c r="D218" s="2" t="n"/>
      <c r="E218" s="4" t="n"/>
      <c r="F218" s="2" t="n"/>
      <c r="G218" s="43">
        <f>IF(G134=0,0,SUMPRODUCT($K134:$M134,$K218:$M218)/G134)</f>
        <v/>
      </c>
      <c r="H218" s="2" t="n"/>
      <c r="I218" s="4" t="n"/>
      <c r="J218" s="2" t="n"/>
      <c r="K218" s="44">
        <f>IF('RPT1'!$J218="","",'RPT1'!$J218)</f>
        <v/>
      </c>
      <c r="L218" s="44">
        <f>IF('RPT2'!$J218="","",'RPT2'!$J218)</f>
        <v/>
      </c>
      <c r="M218" s="44">
        <f>IF('RPT3'!$J218="","",'RPT3'!$J218)</f>
        <v/>
      </c>
    </row>
    <row r="219">
      <c r="A219" s="16" t="inlineStr">
        <is>
          <t>Projected AWP / Rx - w/ Exclusions - Retail 30 - Brand - Year 4</t>
        </is>
      </c>
      <c r="B219" s="2" t="n"/>
      <c r="C219" s="43">
        <f>IF(Combine="Y", $G219, 0)</f>
        <v/>
      </c>
      <c r="D219" s="2" t="n"/>
      <c r="E219" s="4" t="n"/>
      <c r="F219" s="2" t="n"/>
      <c r="G219" s="43">
        <f>IF(G135=0,0,SUMPRODUCT($K135:$M135,$K219:$M219)/G135)</f>
        <v/>
      </c>
      <c r="H219" s="2" t="n"/>
      <c r="I219" s="4" t="n"/>
      <c r="J219" s="2" t="n"/>
      <c r="K219" s="44">
        <f>IF('RPT1'!$J219="","",'RPT1'!$J219)</f>
        <v/>
      </c>
      <c r="L219" s="44">
        <f>IF('RPT2'!$J219="","",'RPT2'!$J219)</f>
        <v/>
      </c>
      <c r="M219" s="44">
        <f>IF('RPT3'!$J219="","",'RPT3'!$J219)</f>
        <v/>
      </c>
    </row>
    <row r="220">
      <c r="A220" s="16" t="inlineStr">
        <is>
          <t>Projected AWP / Rx - w/ Exclusions - Retail 30 - Brand - Year 5</t>
        </is>
      </c>
      <c r="B220" s="2" t="n"/>
      <c r="C220" s="43">
        <f>IF(Combine="Y", $G220, 0)</f>
        <v/>
      </c>
      <c r="D220" s="2" t="n"/>
      <c r="E220" s="4" t="n"/>
      <c r="F220" s="2" t="n"/>
      <c r="G220" s="43">
        <f>IF(G136=0,0,SUMPRODUCT($K136:$M136,$K220:$M220)/G136)</f>
        <v/>
      </c>
      <c r="H220" s="2" t="n"/>
      <c r="I220" s="4" t="n"/>
      <c r="J220" s="2" t="n"/>
      <c r="K220" s="44">
        <f>IF('RPT1'!$J220="","",'RPT1'!$J220)</f>
        <v/>
      </c>
      <c r="L220" s="44">
        <f>IF('RPT2'!$J220="","",'RPT2'!$J220)</f>
        <v/>
      </c>
      <c r="M220" s="44">
        <f>IF('RPT3'!$J220="","",'RPT3'!$J220)</f>
        <v/>
      </c>
    </row>
    <row r="221">
      <c r="A221" s="16" t="inlineStr">
        <is>
          <t>Projected AWP / Rx - w/ Exclusions - Retail 30 - Generic - Year 1</t>
        </is>
      </c>
      <c r="B221" s="2" t="n"/>
      <c r="C221" s="43">
        <f>IF(Combine="Y", $G221, 0)</f>
        <v/>
      </c>
      <c r="D221" s="2" t="n"/>
      <c r="E221" s="4" t="n"/>
      <c r="F221" s="2" t="n"/>
      <c r="G221" s="43">
        <f>IF(G137=0,0,SUMPRODUCT($K137:$M137,$K221:$M221)/G137)</f>
        <v/>
      </c>
      <c r="H221" s="2" t="n"/>
      <c r="I221" s="4" t="n"/>
      <c r="J221" s="2" t="n"/>
      <c r="K221" s="44">
        <f>IF('RPT1'!$J221="","",'RPT1'!$J221)</f>
        <v/>
      </c>
      <c r="L221" s="44">
        <f>IF('RPT2'!$J221="","",'RPT2'!$J221)</f>
        <v/>
      </c>
      <c r="M221" s="44">
        <f>IF('RPT3'!$J221="","",'RPT3'!$J221)</f>
        <v/>
      </c>
    </row>
    <row r="222">
      <c r="A222" s="16" t="inlineStr">
        <is>
          <t>Projected AWP / Rx - w/ Exclusions - Retail 30 - Generic - Year 2</t>
        </is>
      </c>
      <c r="B222" s="2" t="n"/>
      <c r="C222" s="43">
        <f>IF(Combine="Y", $G222, 0)</f>
        <v/>
      </c>
      <c r="D222" s="2" t="n"/>
      <c r="E222" s="4" t="n"/>
      <c r="F222" s="2" t="n"/>
      <c r="G222" s="43">
        <f>IF(G138=0,0,SUMPRODUCT($K138:$M138,$K222:$M222)/G138)</f>
        <v/>
      </c>
      <c r="H222" s="2" t="n"/>
      <c r="I222" s="4" t="n"/>
      <c r="J222" s="2" t="n"/>
      <c r="K222" s="44">
        <f>IF('RPT1'!$J222="","",'RPT1'!$J222)</f>
        <v/>
      </c>
      <c r="L222" s="44">
        <f>IF('RPT2'!$J222="","",'RPT2'!$J222)</f>
        <v/>
      </c>
      <c r="M222" s="44">
        <f>IF('RPT3'!$J222="","",'RPT3'!$J222)</f>
        <v/>
      </c>
    </row>
    <row r="223">
      <c r="A223" s="16" t="inlineStr">
        <is>
          <t>Projected AWP / Rx - w/ Exclusions - Retail 30 - Generic - Year 3</t>
        </is>
      </c>
      <c r="B223" s="2" t="n"/>
      <c r="C223" s="43">
        <f>IF(Combine="Y", $G223, 0)</f>
        <v/>
      </c>
      <c r="D223" s="2" t="n"/>
      <c r="E223" s="4" t="n"/>
      <c r="F223" s="2" t="n"/>
      <c r="G223" s="43">
        <f>IF(G139=0,0,SUMPRODUCT($K139:$M139,$K223:$M223)/G139)</f>
        <v/>
      </c>
      <c r="H223" s="2" t="n"/>
      <c r="I223" s="4" t="n"/>
      <c r="J223" s="2" t="n"/>
      <c r="K223" s="44">
        <f>IF('RPT1'!$J223="","",'RPT1'!$J223)</f>
        <v/>
      </c>
      <c r="L223" s="44">
        <f>IF('RPT2'!$J223="","",'RPT2'!$J223)</f>
        <v/>
      </c>
      <c r="M223" s="44">
        <f>IF('RPT3'!$J223="","",'RPT3'!$J223)</f>
        <v/>
      </c>
    </row>
    <row r="224">
      <c r="A224" s="16" t="inlineStr">
        <is>
          <t>Projected AWP / Rx - w/ Exclusions - Retail 30 - Generic - Year 4</t>
        </is>
      </c>
      <c r="B224" s="2" t="n"/>
      <c r="C224" s="43">
        <f>IF(Combine="Y", $G224, 0)</f>
        <v/>
      </c>
      <c r="D224" s="2" t="n"/>
      <c r="E224" s="4" t="n"/>
      <c r="F224" s="2" t="n"/>
      <c r="G224" s="43">
        <f>IF(G140=0,0,SUMPRODUCT($K140:$M140,$K224:$M224)/G140)</f>
        <v/>
      </c>
      <c r="H224" s="2" t="n"/>
      <c r="I224" s="4" t="n"/>
      <c r="J224" s="2" t="n"/>
      <c r="K224" s="44">
        <f>IF('RPT1'!$J224="","",'RPT1'!$J224)</f>
        <v/>
      </c>
      <c r="L224" s="44">
        <f>IF('RPT2'!$J224="","",'RPT2'!$J224)</f>
        <v/>
      </c>
      <c r="M224" s="44">
        <f>IF('RPT3'!$J224="","",'RPT3'!$J224)</f>
        <v/>
      </c>
    </row>
    <row r="225">
      <c r="A225" s="16" t="inlineStr">
        <is>
          <t>Projected AWP / Rx - w/ Exclusions - Retail 30 - Generic - Year 5</t>
        </is>
      </c>
      <c r="B225" s="2" t="n"/>
      <c r="C225" s="43">
        <f>IF(Combine="Y", $G225, 0)</f>
        <v/>
      </c>
      <c r="D225" s="2" t="n"/>
      <c r="E225" s="4" t="n"/>
      <c r="F225" s="2" t="n"/>
      <c r="G225" s="43">
        <f>IF(G141=0,0,SUMPRODUCT($K141:$M141,$K225:$M225)/G141)</f>
        <v/>
      </c>
      <c r="H225" s="2" t="n"/>
      <c r="I225" s="4" t="n"/>
      <c r="J225" s="2" t="n"/>
      <c r="K225" s="44">
        <f>IF('RPT1'!$J225="","",'RPT1'!$J225)</f>
        <v/>
      </c>
      <c r="L225" s="44">
        <f>IF('RPT2'!$J225="","",'RPT2'!$J225)</f>
        <v/>
      </c>
      <c r="M225" s="44">
        <f>IF('RPT3'!$J225="","",'RPT3'!$J225)</f>
        <v/>
      </c>
    </row>
    <row r="226">
      <c r="A226" s="16" t="inlineStr">
        <is>
          <t>Projected AWP / Rx - w/ Exclusions - Retail 90 - Brand - Year 1</t>
        </is>
      </c>
      <c r="B226" s="2" t="n"/>
      <c r="C226" s="43">
        <f>IF(Combine="Y", $G226, 0)</f>
        <v/>
      </c>
      <c r="D226" s="2" t="n"/>
      <c r="E226" s="4" t="n"/>
      <c r="F226" s="2" t="n"/>
      <c r="G226" s="43">
        <f>IF(G142=0,0,SUMPRODUCT($K142:$M142,$K226:$M226)/G142)</f>
        <v/>
      </c>
      <c r="H226" s="2" t="n"/>
      <c r="I226" s="4" t="n"/>
      <c r="J226" s="2" t="n"/>
      <c r="K226" s="44">
        <f>IF('RPT1'!$J226="","",'RPT1'!$J226)</f>
        <v/>
      </c>
      <c r="L226" s="44">
        <f>IF('RPT2'!$J226="","",'RPT2'!$J226)</f>
        <v/>
      </c>
      <c r="M226" s="44">
        <f>IF('RPT3'!$J226="","",'RPT3'!$J226)</f>
        <v/>
      </c>
    </row>
    <row r="227">
      <c r="A227" s="16" t="inlineStr">
        <is>
          <t>Projected AWP / Rx - w/ Exclusions - Retail 90 - Brand - Year 2</t>
        </is>
      </c>
      <c r="B227" s="2" t="n"/>
      <c r="C227" s="43">
        <f>IF(Combine="Y", $G227, 0)</f>
        <v/>
      </c>
      <c r="D227" s="2" t="n"/>
      <c r="E227" s="4" t="n"/>
      <c r="F227" s="2" t="n"/>
      <c r="G227" s="43">
        <f>IF(G143=0,0,SUMPRODUCT($K143:$M143,$K227:$M227)/G143)</f>
        <v/>
      </c>
      <c r="H227" s="2" t="n"/>
      <c r="I227" s="4" t="n"/>
      <c r="J227" s="2" t="n"/>
      <c r="K227" s="44">
        <f>IF('RPT1'!$J227="","",'RPT1'!$J227)</f>
        <v/>
      </c>
      <c r="L227" s="44">
        <f>IF('RPT2'!$J227="","",'RPT2'!$J227)</f>
        <v/>
      </c>
      <c r="M227" s="44">
        <f>IF('RPT3'!$J227="","",'RPT3'!$J227)</f>
        <v/>
      </c>
    </row>
    <row r="228">
      <c r="A228" s="16" t="inlineStr">
        <is>
          <t>Projected AWP / Rx - w/ Exclusions - Retail 90 - Brand - Year 3</t>
        </is>
      </c>
      <c r="B228" s="2" t="n"/>
      <c r="C228" s="43">
        <f>IF(Combine="Y", $G228, 0)</f>
        <v/>
      </c>
      <c r="D228" s="2" t="n"/>
      <c r="E228" s="4" t="n"/>
      <c r="F228" s="2" t="n"/>
      <c r="G228" s="43">
        <f>IF(G144=0,0,SUMPRODUCT($K144:$M144,$K228:$M228)/G144)</f>
        <v/>
      </c>
      <c r="H228" s="2" t="n"/>
      <c r="I228" s="4" t="n"/>
      <c r="J228" s="2" t="n"/>
      <c r="K228" s="44">
        <f>IF('RPT1'!$J228="","",'RPT1'!$J228)</f>
        <v/>
      </c>
      <c r="L228" s="44">
        <f>IF('RPT2'!$J228="","",'RPT2'!$J228)</f>
        <v/>
      </c>
      <c r="M228" s="44">
        <f>IF('RPT3'!$J228="","",'RPT3'!$J228)</f>
        <v/>
      </c>
    </row>
    <row r="229">
      <c r="A229" s="16" t="inlineStr">
        <is>
          <t>Projected AWP / Rx - w/ Exclusions - Retail 90 - Brand - Year 4</t>
        </is>
      </c>
      <c r="B229" s="2" t="n"/>
      <c r="C229" s="43">
        <f>IF(Combine="Y", $G229, 0)</f>
        <v/>
      </c>
      <c r="D229" s="2" t="n"/>
      <c r="E229" s="4" t="n"/>
      <c r="F229" s="2" t="n"/>
      <c r="G229" s="43">
        <f>IF(G145=0,0,SUMPRODUCT($K145:$M145,$K229:$M229)/G145)</f>
        <v/>
      </c>
      <c r="H229" s="2" t="n"/>
      <c r="I229" s="4" t="n"/>
      <c r="J229" s="2" t="n"/>
      <c r="K229" s="44">
        <f>IF('RPT1'!$J229="","",'RPT1'!$J229)</f>
        <v/>
      </c>
      <c r="L229" s="44">
        <f>IF('RPT2'!$J229="","",'RPT2'!$J229)</f>
        <v/>
      </c>
      <c r="M229" s="44">
        <f>IF('RPT3'!$J229="","",'RPT3'!$J229)</f>
        <v/>
      </c>
    </row>
    <row r="230">
      <c r="A230" s="16" t="inlineStr">
        <is>
          <t>Projected AWP / Rx - w/ Exclusions - Retail 90 - Brand - Year 5</t>
        </is>
      </c>
      <c r="B230" s="2" t="n"/>
      <c r="C230" s="43">
        <f>IF(Combine="Y", $G230, 0)</f>
        <v/>
      </c>
      <c r="D230" s="2" t="n"/>
      <c r="E230" s="4" t="n"/>
      <c r="F230" s="2" t="n"/>
      <c r="G230" s="43">
        <f>IF(G146=0,0,SUMPRODUCT($K146:$M146,$K230:$M230)/G146)</f>
        <v/>
      </c>
      <c r="H230" s="2" t="n"/>
      <c r="I230" s="4" t="n"/>
      <c r="J230" s="2" t="n"/>
      <c r="K230" s="44">
        <f>IF('RPT1'!$J230="","",'RPT1'!$J230)</f>
        <v/>
      </c>
      <c r="L230" s="44">
        <f>IF('RPT2'!$J230="","",'RPT2'!$J230)</f>
        <v/>
      </c>
      <c r="M230" s="44">
        <f>IF('RPT3'!$J230="","",'RPT3'!$J230)</f>
        <v/>
      </c>
    </row>
    <row r="231">
      <c r="A231" s="16" t="inlineStr">
        <is>
          <t>Projected AWP / Rx - w/ Exclusions - Retail 90 - Generic - Year 1</t>
        </is>
      </c>
      <c r="B231" s="2" t="n"/>
      <c r="C231" s="43">
        <f>IF(Combine="Y", $G231, 0)</f>
        <v/>
      </c>
      <c r="D231" s="2" t="n"/>
      <c r="E231" s="4" t="n"/>
      <c r="F231" s="2" t="n"/>
      <c r="G231" s="43">
        <f>IF(G147=0,0,SUMPRODUCT($K147:$M147,$K231:$M231)/G147)</f>
        <v/>
      </c>
      <c r="H231" s="2" t="n"/>
      <c r="I231" s="4" t="n"/>
      <c r="J231" s="2" t="n"/>
      <c r="K231" s="44">
        <f>IF('RPT1'!$J231="","",'RPT1'!$J231)</f>
        <v/>
      </c>
      <c r="L231" s="44">
        <f>IF('RPT2'!$J231="","",'RPT2'!$J231)</f>
        <v/>
      </c>
      <c r="M231" s="44">
        <f>IF('RPT3'!$J231="","",'RPT3'!$J231)</f>
        <v/>
      </c>
    </row>
    <row r="232">
      <c r="A232" s="16" t="inlineStr">
        <is>
          <t>Projected AWP / Rx - w/ Exclusions - Retail 90 - Generic - Year 2</t>
        </is>
      </c>
      <c r="B232" s="2" t="n"/>
      <c r="C232" s="43">
        <f>IF(Combine="Y", $G232, 0)</f>
        <v/>
      </c>
      <c r="D232" s="2" t="n"/>
      <c r="E232" s="4" t="n"/>
      <c r="F232" s="2" t="n"/>
      <c r="G232" s="43">
        <f>IF(G148=0,0,SUMPRODUCT($K148:$M148,$K232:$M232)/G148)</f>
        <v/>
      </c>
      <c r="H232" s="2" t="n"/>
      <c r="I232" s="4" t="n"/>
      <c r="J232" s="2" t="n"/>
      <c r="K232" s="44">
        <f>IF('RPT1'!$J232="","",'RPT1'!$J232)</f>
        <v/>
      </c>
      <c r="L232" s="44">
        <f>IF('RPT2'!$J232="","",'RPT2'!$J232)</f>
        <v/>
      </c>
      <c r="M232" s="44">
        <f>IF('RPT3'!$J232="","",'RPT3'!$J232)</f>
        <v/>
      </c>
    </row>
    <row r="233">
      <c r="A233" s="16" t="inlineStr">
        <is>
          <t>Projected AWP / Rx - w/ Exclusions - Retail 90 - Generic - Year 3</t>
        </is>
      </c>
      <c r="B233" s="2" t="n"/>
      <c r="C233" s="43">
        <f>IF(Combine="Y", $G233, 0)</f>
        <v/>
      </c>
      <c r="D233" s="2" t="n"/>
      <c r="E233" s="4" t="n"/>
      <c r="F233" s="2" t="n"/>
      <c r="G233" s="43">
        <f>IF(G149=0,0,SUMPRODUCT($K149:$M149,$K233:$M233)/G149)</f>
        <v/>
      </c>
      <c r="H233" s="2" t="n"/>
      <c r="I233" s="4" t="n"/>
      <c r="J233" s="2" t="n"/>
      <c r="K233" s="44">
        <f>IF('RPT1'!$J233="","",'RPT1'!$J233)</f>
        <v/>
      </c>
      <c r="L233" s="44">
        <f>IF('RPT2'!$J233="","",'RPT2'!$J233)</f>
        <v/>
      </c>
      <c r="M233" s="44">
        <f>IF('RPT3'!$J233="","",'RPT3'!$J233)</f>
        <v/>
      </c>
    </row>
    <row r="234">
      <c r="A234" s="16" t="inlineStr">
        <is>
          <t>Projected AWP / Rx - w/ Exclusions - Retail 90 - Generic - Year 4</t>
        </is>
      </c>
      <c r="B234" s="2" t="n"/>
      <c r="C234" s="43">
        <f>IF(Combine="Y", $G234, 0)</f>
        <v/>
      </c>
      <c r="D234" s="2" t="n"/>
      <c r="E234" s="4" t="n"/>
      <c r="F234" s="2" t="n"/>
      <c r="G234" s="43">
        <f>IF(G150=0,0,SUMPRODUCT($K150:$M150,$K234:$M234)/G150)</f>
        <v/>
      </c>
      <c r="H234" s="2" t="n"/>
      <c r="I234" s="4" t="n"/>
      <c r="J234" s="2" t="n"/>
      <c r="K234" s="44">
        <f>IF('RPT1'!$J234="","",'RPT1'!$J234)</f>
        <v/>
      </c>
      <c r="L234" s="44">
        <f>IF('RPT2'!$J234="","",'RPT2'!$J234)</f>
        <v/>
      </c>
      <c r="M234" s="44">
        <f>IF('RPT3'!$J234="","",'RPT3'!$J234)</f>
        <v/>
      </c>
    </row>
    <row r="235">
      <c r="A235" s="16" t="inlineStr">
        <is>
          <t>Projected AWP / Rx - w/ Exclusions - Retail 90 - Generic - Year 5</t>
        </is>
      </c>
      <c r="B235" s="2" t="n"/>
      <c r="C235" s="43">
        <f>IF(Combine="Y", $G235, 0)</f>
        <v/>
      </c>
      <c r="D235" s="2" t="n"/>
      <c r="E235" s="4" t="n"/>
      <c r="F235" s="2" t="n"/>
      <c r="G235" s="43">
        <f>IF(G151=0,0,SUMPRODUCT($K151:$M151,$K235:$M235)/G151)</f>
        <v/>
      </c>
      <c r="H235" s="2" t="n"/>
      <c r="I235" s="4" t="n"/>
      <c r="J235" s="2" t="n"/>
      <c r="K235" s="44">
        <f>IF('RPT1'!$J235="","",'RPT1'!$J235)</f>
        <v/>
      </c>
      <c r="L235" s="44">
        <f>IF('RPT2'!$J235="","",'RPT2'!$J235)</f>
        <v/>
      </c>
      <c r="M235" s="44">
        <f>IF('RPT3'!$J235="","",'RPT3'!$J235)</f>
        <v/>
      </c>
    </row>
    <row r="236">
      <c r="A236" s="16" t="inlineStr">
        <is>
          <t>Projected AWP / Rx - w/ Exclusions - Specialty - Brand - Year 1</t>
        </is>
      </c>
      <c r="B236" s="2" t="n"/>
      <c r="C236" s="43">
        <f>IF(Combine="Y", $G236, 0)</f>
        <v/>
      </c>
      <c r="D236" s="2" t="n"/>
      <c r="E236" s="4" t="n"/>
      <c r="F236" s="2" t="n"/>
      <c r="G236" s="43">
        <f>IF(G152=0,0,SUMPRODUCT($K152:$M152,$K236:$M236)/G152)</f>
        <v/>
      </c>
      <c r="H236" s="2" t="n"/>
      <c r="I236" s="4" t="n"/>
      <c r="J236" s="2" t="n"/>
      <c r="K236" s="44">
        <f>IF('RPT1'!$J236="","",'RPT1'!$J236)</f>
        <v/>
      </c>
      <c r="L236" s="44">
        <f>IF('RPT2'!$J236="","",'RPT2'!$J236)</f>
        <v/>
      </c>
      <c r="M236" s="44">
        <f>IF('RPT3'!$J236="","",'RPT3'!$J236)</f>
        <v/>
      </c>
    </row>
    <row r="237">
      <c r="A237" s="16" t="inlineStr">
        <is>
          <t>Projected AWP / Rx - w/ Exclusions - Specialty - Brand - Year 2</t>
        </is>
      </c>
      <c r="B237" s="2" t="n"/>
      <c r="C237" s="43">
        <f>IF(Combine="Y", $G237, 0)</f>
        <v/>
      </c>
      <c r="D237" s="2" t="n"/>
      <c r="E237" s="4" t="n"/>
      <c r="F237" s="2" t="n"/>
      <c r="G237" s="43">
        <f>IF(G153=0,0,SUMPRODUCT($K153:$M153,$K237:$M237)/G153)</f>
        <v/>
      </c>
      <c r="H237" s="2" t="n"/>
      <c r="I237" s="4" t="n"/>
      <c r="J237" s="2" t="n"/>
      <c r="K237" s="44">
        <f>IF('RPT1'!$J237="","",'RPT1'!$J237)</f>
        <v/>
      </c>
      <c r="L237" s="44">
        <f>IF('RPT2'!$J237="","",'RPT2'!$J237)</f>
        <v/>
      </c>
      <c r="M237" s="44">
        <f>IF('RPT3'!$J237="","",'RPT3'!$J237)</f>
        <v/>
      </c>
    </row>
    <row r="238">
      <c r="A238" s="16" t="inlineStr">
        <is>
          <t>Projected AWP / Rx - w/ Exclusions - Specialty - Brand - Year 3</t>
        </is>
      </c>
      <c r="B238" s="2" t="n"/>
      <c r="C238" s="43">
        <f>IF(Combine="Y", $G238, 0)</f>
        <v/>
      </c>
      <c r="D238" s="2" t="n"/>
      <c r="E238" s="4" t="n"/>
      <c r="F238" s="2" t="n"/>
      <c r="G238" s="43">
        <f>IF(G154=0,0,SUMPRODUCT($K154:$M154,$K238:$M238)/G154)</f>
        <v/>
      </c>
      <c r="H238" s="2" t="n"/>
      <c r="I238" s="4" t="n"/>
      <c r="J238" s="2" t="n"/>
      <c r="K238" s="44">
        <f>IF('RPT1'!$J238="","",'RPT1'!$J238)</f>
        <v/>
      </c>
      <c r="L238" s="44">
        <f>IF('RPT2'!$J238="","",'RPT2'!$J238)</f>
        <v/>
      </c>
      <c r="M238" s="44">
        <f>IF('RPT3'!$J238="","",'RPT3'!$J238)</f>
        <v/>
      </c>
    </row>
    <row r="239">
      <c r="A239" s="16" t="inlineStr">
        <is>
          <t>Projected AWP / Rx - w/ Exclusions - Specialty - Brand - Year 4</t>
        </is>
      </c>
      <c r="B239" s="2" t="n"/>
      <c r="C239" s="43">
        <f>IF(Combine="Y", $G239, 0)</f>
        <v/>
      </c>
      <c r="D239" s="2" t="n"/>
      <c r="E239" s="4" t="n"/>
      <c r="F239" s="2" t="n"/>
      <c r="G239" s="43">
        <f>IF(G155=0,0,SUMPRODUCT($K155:$M155,$K239:$M239)/G155)</f>
        <v/>
      </c>
      <c r="H239" s="2" t="n"/>
      <c r="I239" s="4" t="n"/>
      <c r="J239" s="2" t="n"/>
      <c r="K239" s="44">
        <f>IF('RPT1'!$J239="","",'RPT1'!$J239)</f>
        <v/>
      </c>
      <c r="L239" s="44">
        <f>IF('RPT2'!$J239="","",'RPT2'!$J239)</f>
        <v/>
      </c>
      <c r="M239" s="44">
        <f>IF('RPT3'!$J239="","",'RPT3'!$J239)</f>
        <v/>
      </c>
    </row>
    <row r="240">
      <c r="A240" s="16" t="inlineStr">
        <is>
          <t>Projected AWP / Rx - w/ Exclusions - Specialty - Brand - Year 5</t>
        </is>
      </c>
      <c r="B240" s="2" t="n"/>
      <c r="C240" s="43">
        <f>IF(Combine="Y", $G240, 0)</f>
        <v/>
      </c>
      <c r="D240" s="2" t="n"/>
      <c r="E240" s="4" t="n"/>
      <c r="F240" s="2" t="n"/>
      <c r="G240" s="43">
        <f>IF(G156=0,0,SUMPRODUCT($K156:$M156,$K240:$M240)/G156)</f>
        <v/>
      </c>
      <c r="H240" s="2" t="n"/>
      <c r="I240" s="4" t="n"/>
      <c r="J240" s="2" t="n"/>
      <c r="K240" s="44">
        <f>IF('RPT1'!$J240="","",'RPT1'!$J240)</f>
        <v/>
      </c>
      <c r="L240" s="44">
        <f>IF('RPT2'!$J240="","",'RPT2'!$J240)</f>
        <v/>
      </c>
      <c r="M240" s="44">
        <f>IF('RPT3'!$J240="","",'RPT3'!$J240)</f>
        <v/>
      </c>
    </row>
    <row r="241">
      <c r="A241" s="16" t="inlineStr">
        <is>
          <t>Projected AWP / Rx - w/ Exclusions - Specialty - Generic - Year 1</t>
        </is>
      </c>
      <c r="B241" s="2" t="n"/>
      <c r="C241" s="43">
        <f>IF(Combine="Y", $G241, 0)</f>
        <v/>
      </c>
      <c r="D241" s="2" t="n"/>
      <c r="E241" s="4" t="n"/>
      <c r="F241" s="2" t="n"/>
      <c r="G241" s="43">
        <f>IF(G157=0,0,SUMPRODUCT($K157:$M157,$K241:$M241)/G157)</f>
        <v/>
      </c>
      <c r="H241" s="2" t="n"/>
      <c r="I241" s="4" t="n"/>
      <c r="J241" s="2" t="n"/>
      <c r="K241" s="44">
        <f>IF('RPT1'!$J241="","",'RPT1'!$J241)</f>
        <v/>
      </c>
      <c r="L241" s="44">
        <f>IF('RPT2'!$J241="","",'RPT2'!$J241)</f>
        <v/>
      </c>
      <c r="M241" s="44">
        <f>IF('RPT3'!$J241="","",'RPT3'!$J241)</f>
        <v/>
      </c>
    </row>
    <row r="242">
      <c r="A242" s="16" t="inlineStr">
        <is>
          <t>Projected AWP / Rx - w/ Exclusions - Specialty - Generic - Year 2</t>
        </is>
      </c>
      <c r="B242" s="2" t="n"/>
      <c r="C242" s="43">
        <f>IF(Combine="Y", $G242, 0)</f>
        <v/>
      </c>
      <c r="D242" s="2" t="n"/>
      <c r="E242" s="4" t="n"/>
      <c r="F242" s="2" t="n"/>
      <c r="G242" s="43">
        <f>IF(G158=0,0,SUMPRODUCT($K158:$M158,$K242:$M242)/G158)</f>
        <v/>
      </c>
      <c r="H242" s="2" t="n"/>
      <c r="I242" s="4" t="n"/>
      <c r="J242" s="2" t="n"/>
      <c r="K242" s="44">
        <f>IF('RPT1'!$J242="","",'RPT1'!$J242)</f>
        <v/>
      </c>
      <c r="L242" s="44">
        <f>IF('RPT2'!$J242="","",'RPT2'!$J242)</f>
        <v/>
      </c>
      <c r="M242" s="44">
        <f>IF('RPT3'!$J242="","",'RPT3'!$J242)</f>
        <v/>
      </c>
    </row>
    <row r="243">
      <c r="A243" s="16" t="inlineStr">
        <is>
          <t>Projected AWP / Rx - w/ Exclusions - Specialty - Generic - Year 3</t>
        </is>
      </c>
      <c r="B243" s="2" t="n"/>
      <c r="C243" s="43">
        <f>IF(Combine="Y", $G243, 0)</f>
        <v/>
      </c>
      <c r="D243" s="2" t="n"/>
      <c r="E243" s="4" t="n"/>
      <c r="F243" s="2" t="n"/>
      <c r="G243" s="43">
        <f>IF(G159=0,0,SUMPRODUCT($K159:$M159,$K243:$M243)/G159)</f>
        <v/>
      </c>
      <c r="H243" s="2" t="n"/>
      <c r="I243" s="4" t="n"/>
      <c r="J243" s="2" t="n"/>
      <c r="K243" s="44">
        <f>IF('RPT1'!$J243="","",'RPT1'!$J243)</f>
        <v/>
      </c>
      <c r="L243" s="44">
        <f>IF('RPT2'!$J243="","",'RPT2'!$J243)</f>
        <v/>
      </c>
      <c r="M243" s="44">
        <f>IF('RPT3'!$J243="","",'RPT3'!$J243)</f>
        <v/>
      </c>
    </row>
    <row r="244">
      <c r="A244" s="16" t="inlineStr">
        <is>
          <t>Projected AWP / Rx - w/ Exclusions - Specialty - Generic - Year 4</t>
        </is>
      </c>
      <c r="B244" s="2" t="n"/>
      <c r="C244" s="43">
        <f>IF(Combine="Y", $G244, 0)</f>
        <v/>
      </c>
      <c r="D244" s="2" t="n"/>
      <c r="E244" s="4" t="n"/>
      <c r="F244" s="2" t="n"/>
      <c r="G244" s="43">
        <f>IF(G160=0,0,SUMPRODUCT($K160:$M160,$K244:$M244)/G160)</f>
        <v/>
      </c>
      <c r="H244" s="2" t="n"/>
      <c r="I244" s="4" t="n"/>
      <c r="J244" s="2" t="n"/>
      <c r="K244" s="44">
        <f>IF('RPT1'!$J244="","",'RPT1'!$J244)</f>
        <v/>
      </c>
      <c r="L244" s="44">
        <f>IF('RPT2'!$J244="","",'RPT2'!$J244)</f>
        <v/>
      </c>
      <c r="M244" s="44">
        <f>IF('RPT3'!$J244="","",'RPT3'!$J244)</f>
        <v/>
      </c>
    </row>
    <row r="245">
      <c r="A245" s="16" t="inlineStr">
        <is>
          <t>Projected AWP / Rx - w/ Exclusions - Specialty - Generic - Year 5</t>
        </is>
      </c>
      <c r="B245" s="2" t="n"/>
      <c r="C245" s="43">
        <f>IF(Combine="Y", $G245, 0)</f>
        <v/>
      </c>
      <c r="D245" s="2" t="n"/>
      <c r="E245" s="4" t="n"/>
      <c r="F245" s="2" t="n"/>
      <c r="G245" s="43">
        <f>IF(G161=0,0,SUMPRODUCT($K161:$M161,$K245:$M245)/G161)</f>
        <v/>
      </c>
      <c r="H245" s="2" t="n"/>
      <c r="I245" s="4" t="n"/>
      <c r="J245" s="2" t="n"/>
      <c r="K245" s="44">
        <f>IF('RPT1'!$J245="","",'RPT1'!$J245)</f>
        <v/>
      </c>
      <c r="L245" s="44">
        <f>IF('RPT2'!$J245="","",'RPT2'!$J245)</f>
        <v/>
      </c>
      <c r="M245" s="44">
        <f>IF('RPT3'!$J245="","",'RPT3'!$J245)</f>
        <v/>
      </c>
    </row>
    <row r="246">
      <c r="A246" s="31" t="n"/>
      <c r="B246" s="2" t="n"/>
      <c r="C246" s="14" t="n"/>
      <c r="D246" s="2" t="n"/>
      <c r="E246" s="4" t="n"/>
      <c r="F246" s="2" t="n"/>
      <c r="G246" s="14" t="n"/>
      <c r="H246" s="2" t="n"/>
      <c r="I246" s="4" t="n"/>
      <c r="J246" s="2" t="n"/>
      <c r="K246" s="32" t="n"/>
      <c r="L246" s="32" t="n"/>
      <c r="M246" s="32" t="n"/>
    </row>
    <row r="247">
      <c r="A247" s="12" t="inlineStr">
        <is>
          <t>Base Scripts - w/o Exclusions</t>
        </is>
      </c>
      <c r="B247" s="2" t="n"/>
      <c r="C247" s="14" t="n"/>
      <c r="D247" s="2" t="n"/>
      <c r="E247" s="4" t="n"/>
      <c r="F247" s="2" t="n"/>
      <c r="G247" s="14" t="n"/>
      <c r="H247" s="2" t="n"/>
      <c r="I247" s="4" t="n"/>
      <c r="J247" s="2" t="n"/>
      <c r="K247" s="32">
        <f>IF('RPT1'!$J247="","",'RPT1'!$J247)</f>
        <v/>
      </c>
      <c r="L247" s="32">
        <f>IF('RPT2'!$J247="","",'RPT2'!$J247)</f>
        <v/>
      </c>
      <c r="M247" s="32">
        <f>IF('RPT3'!$J247="","",'RPT3'!$J247)</f>
        <v/>
      </c>
    </row>
    <row r="248">
      <c r="A248" s="16" t="inlineStr">
        <is>
          <t>Base Scripts - w/o Exclusions - Mail - Brand - Base - Maintenance</t>
        </is>
      </c>
      <c r="B248" s="2" t="n"/>
      <c r="C248" s="33">
        <f>IF(Combine="Y", $G248, 0)</f>
        <v/>
      </c>
      <c r="D248" s="2" t="n"/>
      <c r="E248" s="4" t="n"/>
      <c r="F248" s="2" t="n"/>
      <c r="G248" s="33">
        <f>SUM($K248:$M248)</f>
        <v/>
      </c>
      <c r="H248" s="2" t="n"/>
      <c r="I248" s="4" t="n"/>
      <c r="J248" s="2" t="n"/>
      <c r="K248" s="34">
        <f>IF('RPT1'!$J248="","",'RPT1'!$J248)</f>
        <v/>
      </c>
      <c r="L248" s="34">
        <f>IF('RPT2'!$J248="","",'RPT2'!$J248)</f>
        <v/>
      </c>
      <c r="M248" s="34">
        <f>IF('RPT3'!$J248="","",'RPT3'!$J248)</f>
        <v/>
      </c>
    </row>
    <row r="249">
      <c r="A249" s="16" t="inlineStr">
        <is>
          <t>Base Scripts - w/o Exclusions - Mail - Generic - Base - Maintenance</t>
        </is>
      </c>
      <c r="B249" s="2" t="n"/>
      <c r="C249" s="33">
        <f>IF(Combine="Y", $G249, 0)</f>
        <v/>
      </c>
      <c r="D249" s="2" t="n"/>
      <c r="E249" s="4" t="n"/>
      <c r="F249" s="2" t="n"/>
      <c r="G249" s="33">
        <f>SUM($K249:$M249)</f>
        <v/>
      </c>
      <c r="H249" s="2" t="n"/>
      <c r="I249" s="4" t="n"/>
      <c r="J249" s="2" t="n"/>
      <c r="K249" s="34">
        <f>IF('RPT1'!$J249="","",'RPT1'!$J249)</f>
        <v/>
      </c>
      <c r="L249" s="34">
        <f>IF('RPT2'!$J249="","",'RPT2'!$J249)</f>
        <v/>
      </c>
      <c r="M249" s="34">
        <f>IF('RPT3'!$J249="","",'RPT3'!$J249)</f>
        <v/>
      </c>
    </row>
    <row r="250">
      <c r="A250" s="16" t="inlineStr">
        <is>
          <t>Base Scripts - w/o Exclusions - Retail 30 - Brand - Base - Maintenance</t>
        </is>
      </c>
      <c r="B250" s="2" t="n"/>
      <c r="C250" s="33">
        <f>IF(Combine="Y", $G250, 0)</f>
        <v/>
      </c>
      <c r="D250" s="2" t="n"/>
      <c r="E250" s="4" t="n"/>
      <c r="F250" s="2" t="n"/>
      <c r="G250" s="33">
        <f>SUM($K250:$M250)</f>
        <v/>
      </c>
      <c r="H250" s="2" t="n"/>
      <c r="I250" s="4" t="n"/>
      <c r="J250" s="2" t="n"/>
      <c r="K250" s="34">
        <f>IF('RPT1'!$J250="","",'RPT1'!$J250)</f>
        <v/>
      </c>
      <c r="L250" s="34">
        <f>IF('RPT2'!$J250="","",'RPT2'!$J250)</f>
        <v/>
      </c>
      <c r="M250" s="34">
        <f>IF('RPT3'!$J250="","",'RPT3'!$J250)</f>
        <v/>
      </c>
    </row>
    <row r="251">
      <c r="A251" s="16" t="inlineStr">
        <is>
          <t>Base Scripts - w/o Exclusions - Retail 30 - Generic - Base - Maintenance</t>
        </is>
      </c>
      <c r="B251" s="2" t="n"/>
      <c r="C251" s="33">
        <f>IF(Combine="Y", $G251, 0)</f>
        <v/>
      </c>
      <c r="D251" s="2" t="n"/>
      <c r="E251" s="4" t="n"/>
      <c r="F251" s="2" t="n"/>
      <c r="G251" s="33">
        <f>SUM($K251:$M251)</f>
        <v/>
      </c>
      <c r="H251" s="2" t="n"/>
      <c r="I251" s="4" t="n"/>
      <c r="J251" s="2" t="n"/>
      <c r="K251" s="34">
        <f>IF('RPT1'!$J251="","",'RPT1'!$J251)</f>
        <v/>
      </c>
      <c r="L251" s="34">
        <f>IF('RPT2'!$J251="","",'RPT2'!$J251)</f>
        <v/>
      </c>
      <c r="M251" s="34">
        <f>IF('RPT3'!$J251="","",'RPT3'!$J251)</f>
        <v/>
      </c>
    </row>
    <row r="252">
      <c r="A252" s="16" t="inlineStr">
        <is>
          <t>Base Scripts - w/o Exclusions - Retail 90 - Brand - Base - Maintenance</t>
        </is>
      </c>
      <c r="B252" s="2" t="n"/>
      <c r="C252" s="33">
        <f>IF(Combine="Y", $G252, 0)</f>
        <v/>
      </c>
      <c r="D252" s="2" t="n"/>
      <c r="E252" s="4" t="n"/>
      <c r="F252" s="2" t="n"/>
      <c r="G252" s="33">
        <f>SUM($K252:$M252)</f>
        <v/>
      </c>
      <c r="H252" s="2" t="n"/>
      <c r="I252" s="4" t="n"/>
      <c r="J252" s="2" t="n"/>
      <c r="K252" s="34">
        <f>IF('RPT1'!$J252="","",'RPT1'!$J252)</f>
        <v/>
      </c>
      <c r="L252" s="34">
        <f>IF('RPT2'!$J252="","",'RPT2'!$J252)</f>
        <v/>
      </c>
      <c r="M252" s="34">
        <f>IF('RPT3'!$J252="","",'RPT3'!$J252)</f>
        <v/>
      </c>
    </row>
    <row r="253">
      <c r="A253" s="16" t="inlineStr">
        <is>
          <t>Base Scripts - w/o Exclusions - Retail 90 - Generic - Base - Maintenance</t>
        </is>
      </c>
      <c r="B253" s="2" t="n"/>
      <c r="C253" s="33">
        <f>IF(Combine="Y", $G253, 0)</f>
        <v/>
      </c>
      <c r="D253" s="2" t="n"/>
      <c r="E253" s="4" t="n"/>
      <c r="F253" s="2" t="n"/>
      <c r="G253" s="33">
        <f>SUM($K253:$M253)</f>
        <v/>
      </c>
      <c r="H253" s="2" t="n"/>
      <c r="I253" s="4" t="n"/>
      <c r="J253" s="2" t="n"/>
      <c r="K253" s="34">
        <f>IF('RPT1'!$J253="","",'RPT1'!$J253)</f>
        <v/>
      </c>
      <c r="L253" s="34">
        <f>IF('RPT2'!$J253="","",'RPT2'!$J253)</f>
        <v/>
      </c>
      <c r="M253" s="34">
        <f>IF('RPT3'!$J253="","",'RPT3'!$J253)</f>
        <v/>
      </c>
    </row>
    <row r="254">
      <c r="A254" s="16" t="inlineStr">
        <is>
          <t>Base Scripts - w/o Exclusions - Specialty - Brand - Base - Maintenance</t>
        </is>
      </c>
      <c r="B254" s="2" t="n"/>
      <c r="C254" s="33">
        <f>IF(Combine="Y", $G254, 0)</f>
        <v/>
      </c>
      <c r="D254" s="2" t="n"/>
      <c r="E254" s="4" t="n"/>
      <c r="F254" s="2" t="n"/>
      <c r="G254" s="33">
        <f>SUM($K254:$M254)</f>
        <v/>
      </c>
      <c r="H254" s="2" t="n"/>
      <c r="I254" s="4" t="n"/>
      <c r="J254" s="2" t="n"/>
      <c r="K254" s="34">
        <f>IF('RPT1'!$J254="","",'RPT1'!$J254)</f>
        <v/>
      </c>
      <c r="L254" s="34">
        <f>IF('RPT2'!$J254="","",'RPT2'!$J254)</f>
        <v/>
      </c>
      <c r="M254" s="34">
        <f>IF('RPT3'!$J254="","",'RPT3'!$J254)</f>
        <v/>
      </c>
    </row>
    <row r="255">
      <c r="A255" s="16" t="inlineStr">
        <is>
          <t>Base Scripts - w/o Exclusions - Specialty - Generic - Base - Maintenance</t>
        </is>
      </c>
      <c r="B255" s="2" t="n"/>
      <c r="C255" s="33">
        <f>IF(Combine="Y", $G255, 0)</f>
        <v/>
      </c>
      <c r="D255" s="2" t="n"/>
      <c r="E255" s="4" t="n"/>
      <c r="F255" s="2" t="n"/>
      <c r="G255" s="33">
        <f>SUM($K255:$M255)</f>
        <v/>
      </c>
      <c r="H255" s="2" t="n"/>
      <c r="I255" s="4" t="n"/>
      <c r="J255" s="2" t="n"/>
      <c r="K255" s="34">
        <f>IF('RPT1'!$J255="","",'RPT1'!$J255)</f>
        <v/>
      </c>
      <c r="L255" s="34">
        <f>IF('RPT2'!$J255="","",'RPT2'!$J255)</f>
        <v/>
      </c>
      <c r="M255" s="34">
        <f>IF('RPT3'!$J255="","",'RPT3'!$J255)</f>
        <v/>
      </c>
    </row>
    <row r="256">
      <c r="A256" s="16" t="inlineStr">
        <is>
          <t>Base Scripts - w/o Exclusions - Mail - Brand - Base - Non-Maintenance</t>
        </is>
      </c>
      <c r="B256" s="2" t="n"/>
      <c r="C256" s="33">
        <f>IF(Combine="Y", $G256, 0)</f>
        <v/>
      </c>
      <c r="D256" s="2" t="n"/>
      <c r="E256" s="4" t="n"/>
      <c r="F256" s="2" t="n"/>
      <c r="G256" s="33">
        <f>SUM($K256:$M256)</f>
        <v/>
      </c>
      <c r="H256" s="2" t="n"/>
      <c r="I256" s="4" t="n"/>
      <c r="J256" s="2" t="n"/>
      <c r="K256" s="34">
        <f>IF('RPT1'!$J256="","",'RPT1'!$J256)</f>
        <v/>
      </c>
      <c r="L256" s="34">
        <f>IF('RPT2'!$J256="","",'RPT2'!$J256)</f>
        <v/>
      </c>
      <c r="M256" s="34">
        <f>IF('RPT3'!$J256="","",'RPT3'!$J256)</f>
        <v/>
      </c>
    </row>
    <row r="257">
      <c r="A257" s="16" t="inlineStr">
        <is>
          <t>Base Scripts - w/o Exclusions - Mail - Generic - Base - Non-Maintenance</t>
        </is>
      </c>
      <c r="B257" s="2" t="n"/>
      <c r="C257" s="33">
        <f>IF(Combine="Y", $G257, 0)</f>
        <v/>
      </c>
      <c r="D257" s="2" t="n"/>
      <c r="E257" s="4" t="n"/>
      <c r="F257" s="2" t="n"/>
      <c r="G257" s="33">
        <f>SUM($K257:$M257)</f>
        <v/>
      </c>
      <c r="H257" s="2" t="n"/>
      <c r="I257" s="4" t="n"/>
      <c r="J257" s="2" t="n"/>
      <c r="K257" s="34">
        <f>IF('RPT1'!$J257="","",'RPT1'!$J257)</f>
        <v/>
      </c>
      <c r="L257" s="34">
        <f>IF('RPT2'!$J257="","",'RPT2'!$J257)</f>
        <v/>
      </c>
      <c r="M257" s="34">
        <f>IF('RPT3'!$J257="","",'RPT3'!$J257)</f>
        <v/>
      </c>
    </row>
    <row r="258">
      <c r="A258" s="16" t="inlineStr">
        <is>
          <t>Base Scripts - w/o Exclusions - Retail 30 - Brand - Base - Non-Maintenance</t>
        </is>
      </c>
      <c r="B258" s="2" t="n"/>
      <c r="C258" s="33">
        <f>IF(Combine="Y", $G258, 0)</f>
        <v/>
      </c>
      <c r="D258" s="2" t="n"/>
      <c r="E258" s="4" t="n"/>
      <c r="F258" s="2" t="n"/>
      <c r="G258" s="33">
        <f>SUM($K258:$M258)</f>
        <v/>
      </c>
      <c r="H258" s="2" t="n"/>
      <c r="I258" s="4" t="n"/>
      <c r="J258" s="2" t="n"/>
      <c r="K258" s="34">
        <f>IF('RPT1'!$J258="","",'RPT1'!$J258)</f>
        <v/>
      </c>
      <c r="L258" s="34">
        <f>IF('RPT2'!$J258="","",'RPT2'!$J258)</f>
        <v/>
      </c>
      <c r="M258" s="34">
        <f>IF('RPT3'!$J258="","",'RPT3'!$J258)</f>
        <v/>
      </c>
    </row>
    <row r="259">
      <c r="A259" s="16" t="inlineStr">
        <is>
          <t>Base Scripts - w/o Exclusions - Retail 30 - Generic - Base - Non-Maintenance</t>
        </is>
      </c>
      <c r="B259" s="2" t="n"/>
      <c r="C259" s="33">
        <f>IF(Combine="Y", $G259, 0)</f>
        <v/>
      </c>
      <c r="D259" s="2" t="n"/>
      <c r="E259" s="4" t="n"/>
      <c r="F259" s="2" t="n"/>
      <c r="G259" s="33">
        <f>SUM($K259:$M259)</f>
        <v/>
      </c>
      <c r="H259" s="2" t="n"/>
      <c r="I259" s="4" t="n"/>
      <c r="J259" s="2" t="n"/>
      <c r="K259" s="34">
        <f>IF('RPT1'!$J259="","",'RPT1'!$J259)</f>
        <v/>
      </c>
      <c r="L259" s="34">
        <f>IF('RPT2'!$J259="","",'RPT2'!$J259)</f>
        <v/>
      </c>
      <c r="M259" s="34">
        <f>IF('RPT3'!$J259="","",'RPT3'!$J259)</f>
        <v/>
      </c>
    </row>
    <row r="260">
      <c r="A260" s="16" t="inlineStr">
        <is>
          <t>Base Scripts - w/o Exclusions - Retail 90 - Brand - Base - Non-Maintenance</t>
        </is>
      </c>
      <c r="B260" s="2" t="n"/>
      <c r="C260" s="33">
        <f>IF(Combine="Y", $G260, 0)</f>
        <v/>
      </c>
      <c r="D260" s="2" t="n"/>
      <c r="E260" s="4" t="n"/>
      <c r="F260" s="2" t="n"/>
      <c r="G260" s="33">
        <f>SUM($K260:$M260)</f>
        <v/>
      </c>
      <c r="H260" s="2" t="n"/>
      <c r="I260" s="4" t="n"/>
      <c r="J260" s="2" t="n"/>
      <c r="K260" s="34">
        <f>IF('RPT1'!$J260="","",'RPT1'!$J260)</f>
        <v/>
      </c>
      <c r="L260" s="34">
        <f>IF('RPT2'!$J260="","",'RPT2'!$J260)</f>
        <v/>
      </c>
      <c r="M260" s="34">
        <f>IF('RPT3'!$J260="","",'RPT3'!$J260)</f>
        <v/>
      </c>
    </row>
    <row r="261">
      <c r="A261" s="16" t="inlineStr">
        <is>
          <t>Base Scripts - w/o Exclusions - Retail 90 - Generic - Base - Non-Maintenance</t>
        </is>
      </c>
      <c r="B261" s="2" t="n"/>
      <c r="C261" s="33">
        <f>IF(Combine="Y", $G261, 0)</f>
        <v/>
      </c>
      <c r="D261" s="2" t="n"/>
      <c r="E261" s="4" t="n"/>
      <c r="F261" s="2" t="n"/>
      <c r="G261" s="33">
        <f>SUM($K261:$M261)</f>
        <v/>
      </c>
      <c r="H261" s="2" t="n"/>
      <c r="I261" s="4" t="n"/>
      <c r="J261" s="2" t="n"/>
      <c r="K261" s="34">
        <f>IF('RPT1'!$J261="","",'RPT1'!$J261)</f>
        <v/>
      </c>
      <c r="L261" s="34">
        <f>IF('RPT2'!$J261="","",'RPT2'!$J261)</f>
        <v/>
      </c>
      <c r="M261" s="34">
        <f>IF('RPT3'!$J261="","",'RPT3'!$J261)</f>
        <v/>
      </c>
    </row>
    <row r="262">
      <c r="A262" s="16" t="inlineStr">
        <is>
          <t>Base Scripts - w/o Exclusions - Specialty - Brand - Base - Non-Maintenance</t>
        </is>
      </c>
      <c r="B262" s="2" t="n"/>
      <c r="C262" s="33">
        <f>IF(Combine="Y", $G262, 0)</f>
        <v/>
      </c>
      <c r="D262" s="2" t="n"/>
      <c r="E262" s="4" t="n"/>
      <c r="F262" s="2" t="n"/>
      <c r="G262" s="33">
        <f>SUM($K262:$M262)</f>
        <v/>
      </c>
      <c r="H262" s="2" t="n"/>
      <c r="I262" s="4" t="n"/>
      <c r="J262" s="2" t="n"/>
      <c r="K262" s="34">
        <f>IF('RPT1'!$J262="","",'RPT1'!$J262)</f>
        <v/>
      </c>
      <c r="L262" s="34">
        <f>IF('RPT2'!$J262="","",'RPT2'!$J262)</f>
        <v/>
      </c>
      <c r="M262" s="34">
        <f>IF('RPT3'!$J262="","",'RPT3'!$J262)</f>
        <v/>
      </c>
    </row>
    <row r="263">
      <c r="A263" s="16" t="inlineStr">
        <is>
          <t>Base Scripts - w/o Exclusions - Specialty - Generic - Base - Non-Maintenance</t>
        </is>
      </c>
      <c r="B263" s="2" t="n"/>
      <c r="C263" s="33">
        <f>IF(Combine="Y", $G263, 0)</f>
        <v/>
      </c>
      <c r="D263" s="2" t="n"/>
      <c r="E263" s="4" t="n"/>
      <c r="F263" s="2" t="n"/>
      <c r="G263" s="33">
        <f>SUM($K263:$M263)</f>
        <v/>
      </c>
      <c r="H263" s="2" t="n"/>
      <c r="I263" s="4" t="n"/>
      <c r="J263" s="2" t="n"/>
      <c r="K263" s="34">
        <f>IF('RPT1'!$J263="","",'RPT1'!$J263)</f>
        <v/>
      </c>
      <c r="L263" s="34">
        <f>IF('RPT2'!$J263="","",'RPT2'!$J263)</f>
        <v/>
      </c>
      <c r="M263" s="34">
        <f>IF('RPT3'!$J263="","",'RPT3'!$J263)</f>
        <v/>
      </c>
    </row>
    <row r="264">
      <c r="A264" s="16" t="inlineStr">
        <is>
          <t>Base Scripts - w/o Exclusions - Mail - Brand - Base - Total</t>
        </is>
      </c>
      <c r="B264" s="2" t="n"/>
      <c r="C264" s="33">
        <f>IF(Combine="Y", $G264, 0)</f>
        <v/>
      </c>
      <c r="D264" s="2" t="n"/>
      <c r="E264" s="4" t="n"/>
      <c r="F264" s="2" t="n"/>
      <c r="G264" s="33">
        <f>SUM($K264:$M264)</f>
        <v/>
      </c>
      <c r="H264" s="2" t="n"/>
      <c r="I264" s="4" t="n"/>
      <c r="J264" s="2" t="n"/>
      <c r="K264" s="34">
        <f>IF('RPT1'!$J264="","",'RPT1'!$J264)</f>
        <v/>
      </c>
      <c r="L264" s="34">
        <f>IF('RPT2'!$J264="","",'RPT2'!$J264)</f>
        <v/>
      </c>
      <c r="M264" s="34">
        <f>IF('RPT3'!$J264="","",'RPT3'!$J264)</f>
        <v/>
      </c>
    </row>
    <row r="265">
      <c r="A265" s="16" t="inlineStr">
        <is>
          <t>Base Scripts - w/o Exclusions - Mail - Generic - Base - Total</t>
        </is>
      </c>
      <c r="B265" s="2" t="n"/>
      <c r="C265" s="33">
        <f>IF(Combine="Y", $G265, 0)</f>
        <v/>
      </c>
      <c r="D265" s="2" t="n"/>
      <c r="E265" s="4" t="n"/>
      <c r="F265" s="2" t="n"/>
      <c r="G265" s="33">
        <f>SUM($K265:$M265)</f>
        <v/>
      </c>
      <c r="H265" s="2" t="n"/>
      <c r="I265" s="4" t="n"/>
      <c r="J265" s="2" t="n"/>
      <c r="K265" s="34">
        <f>IF('RPT1'!$J265="","",'RPT1'!$J265)</f>
        <v/>
      </c>
      <c r="L265" s="34">
        <f>IF('RPT2'!$J265="","",'RPT2'!$J265)</f>
        <v/>
      </c>
      <c r="M265" s="34">
        <f>IF('RPT3'!$J265="","",'RPT3'!$J265)</f>
        <v/>
      </c>
    </row>
    <row r="266">
      <c r="A266" s="16" t="inlineStr">
        <is>
          <t>Base Scripts - w/o Exclusions - Retail 30 - Brand - Base - Total</t>
        </is>
      </c>
      <c r="B266" s="2" t="n"/>
      <c r="C266" s="33">
        <f>IF(Combine="Y", $G266, 0)</f>
        <v/>
      </c>
      <c r="D266" s="2" t="n"/>
      <c r="E266" s="4" t="n"/>
      <c r="F266" s="2" t="n"/>
      <c r="G266" s="33">
        <f>SUM($K266:$M266)</f>
        <v/>
      </c>
      <c r="H266" s="2" t="n"/>
      <c r="I266" s="4" t="n"/>
      <c r="J266" s="2" t="n"/>
      <c r="K266" s="34">
        <f>IF('RPT1'!$J266="","",'RPT1'!$J266)</f>
        <v/>
      </c>
      <c r="L266" s="34">
        <f>IF('RPT2'!$J266="","",'RPT2'!$J266)</f>
        <v/>
      </c>
      <c r="M266" s="34">
        <f>IF('RPT3'!$J266="","",'RPT3'!$J266)</f>
        <v/>
      </c>
    </row>
    <row r="267">
      <c r="A267" s="16" t="inlineStr">
        <is>
          <t>Base Scripts - w/o Exclusions - Retail 30 - Generic - Base - Total</t>
        </is>
      </c>
      <c r="B267" s="2" t="n"/>
      <c r="C267" s="33">
        <f>IF(Combine="Y", $G267, 0)</f>
        <v/>
      </c>
      <c r="D267" s="2" t="n"/>
      <c r="E267" s="4" t="n"/>
      <c r="F267" s="2" t="n"/>
      <c r="G267" s="33">
        <f>SUM($K267:$M267)</f>
        <v/>
      </c>
      <c r="H267" s="2" t="n"/>
      <c r="I267" s="4" t="n"/>
      <c r="J267" s="2" t="n"/>
      <c r="K267" s="34">
        <f>IF('RPT1'!$J267="","",'RPT1'!$J267)</f>
        <v/>
      </c>
      <c r="L267" s="34">
        <f>IF('RPT2'!$J267="","",'RPT2'!$J267)</f>
        <v/>
      </c>
      <c r="M267" s="34">
        <f>IF('RPT3'!$J267="","",'RPT3'!$J267)</f>
        <v/>
      </c>
    </row>
    <row r="268">
      <c r="A268" s="16" t="inlineStr">
        <is>
          <t>Base Scripts - w/o Exclusions - Retail 90 - Brand - Base - Total</t>
        </is>
      </c>
      <c r="B268" s="2" t="n"/>
      <c r="C268" s="33">
        <f>IF(Combine="Y", $G268, 0)</f>
        <v/>
      </c>
      <c r="D268" s="2" t="n"/>
      <c r="E268" s="4" t="n"/>
      <c r="F268" s="2" t="n"/>
      <c r="G268" s="33">
        <f>SUM($K268:$M268)</f>
        <v/>
      </c>
      <c r="H268" s="2" t="n"/>
      <c r="I268" s="4" t="n"/>
      <c r="J268" s="2" t="n"/>
      <c r="K268" s="34">
        <f>IF('RPT1'!$J268="","",'RPT1'!$J268)</f>
        <v/>
      </c>
      <c r="L268" s="34">
        <f>IF('RPT2'!$J268="","",'RPT2'!$J268)</f>
        <v/>
      </c>
      <c r="M268" s="34">
        <f>IF('RPT3'!$J268="","",'RPT3'!$J268)</f>
        <v/>
      </c>
    </row>
    <row r="269">
      <c r="A269" s="16" t="inlineStr">
        <is>
          <t>Base Scripts - w/o Exclusions - Retail 90 - Generic - Base - Total</t>
        </is>
      </c>
      <c r="B269" s="2" t="n"/>
      <c r="C269" s="33">
        <f>IF(Combine="Y", $G269, 0)</f>
        <v/>
      </c>
      <c r="D269" s="2" t="n"/>
      <c r="E269" s="4" t="n"/>
      <c r="F269" s="2" t="n"/>
      <c r="G269" s="33">
        <f>SUM($K269:$M269)</f>
        <v/>
      </c>
      <c r="H269" s="2" t="n"/>
      <c r="I269" s="4" t="n"/>
      <c r="J269" s="2" t="n"/>
      <c r="K269" s="34">
        <f>IF('RPT1'!$J269="","",'RPT1'!$J269)</f>
        <v/>
      </c>
      <c r="L269" s="34">
        <f>IF('RPT2'!$J269="","",'RPT2'!$J269)</f>
        <v/>
      </c>
      <c r="M269" s="34">
        <f>IF('RPT3'!$J269="","",'RPT3'!$J269)</f>
        <v/>
      </c>
    </row>
    <row r="270">
      <c r="A270" s="16" t="inlineStr">
        <is>
          <t>Base Scripts - w/o Exclusions - Specialty - Brand - Base - Total</t>
        </is>
      </c>
      <c r="B270" s="2" t="n"/>
      <c r="C270" s="33">
        <f>IF(Combine="Y", $G270, 0)</f>
        <v/>
      </c>
      <c r="D270" s="2" t="n"/>
      <c r="E270" s="4" t="n"/>
      <c r="F270" s="2" t="n"/>
      <c r="G270" s="33">
        <f>SUM($K270:$M270)</f>
        <v/>
      </c>
      <c r="H270" s="2" t="n"/>
      <c r="I270" s="4" t="n"/>
      <c r="J270" s="2" t="n"/>
      <c r="K270" s="34">
        <f>IF('RPT1'!$J270="","",'RPT1'!$J270)</f>
        <v/>
      </c>
      <c r="L270" s="34">
        <f>IF('RPT2'!$J270="","",'RPT2'!$J270)</f>
        <v/>
      </c>
      <c r="M270" s="34">
        <f>IF('RPT3'!$J270="","",'RPT3'!$J270)</f>
        <v/>
      </c>
    </row>
    <row r="271">
      <c r="A271" s="16" t="inlineStr">
        <is>
          <t>Base Scripts - w/o Exclusions - Specialty - Generic - Base - Total</t>
        </is>
      </c>
      <c r="B271" s="2" t="n"/>
      <c r="C271" s="33">
        <f>IF(Combine="Y", $G271, 0)</f>
        <v/>
      </c>
      <c r="D271" s="2" t="n"/>
      <c r="E271" s="4" t="n"/>
      <c r="F271" s="2" t="n"/>
      <c r="G271" s="33">
        <f>SUM($K271:$M271)</f>
        <v/>
      </c>
      <c r="H271" s="2" t="n"/>
      <c r="I271" s="4" t="n"/>
      <c r="J271" s="2" t="n"/>
      <c r="K271" s="34">
        <f>IF('RPT1'!$J271="","",'RPT1'!$J271)</f>
        <v/>
      </c>
      <c r="L271" s="34">
        <f>IF('RPT2'!$J271="","",'RPT2'!$J271)</f>
        <v/>
      </c>
      <c r="M271" s="34">
        <f>IF('RPT3'!$J271="","",'RPT3'!$J271)</f>
        <v/>
      </c>
    </row>
    <row r="272">
      <c r="A272" s="31" t="n"/>
      <c r="B272" s="2" t="n"/>
      <c r="C272" s="14" t="n"/>
      <c r="D272" s="2" t="n"/>
      <c r="E272" s="4" t="n"/>
      <c r="F272" s="2" t="n"/>
      <c r="G272" s="14" t="n"/>
      <c r="H272" s="2" t="n"/>
      <c r="I272" s="4" t="n"/>
      <c r="J272" s="2" t="n"/>
      <c r="K272" s="32" t="n"/>
      <c r="L272" s="32" t="n"/>
      <c r="M272" s="32" t="n"/>
    </row>
    <row r="273">
      <c r="A273" s="12" t="inlineStr">
        <is>
          <t>Base Scripts - w/ Exclusions</t>
        </is>
      </c>
      <c r="B273" s="2" t="n"/>
      <c r="C273" s="14" t="n"/>
      <c r="D273" s="2" t="n"/>
      <c r="E273" s="4" t="n"/>
      <c r="F273" s="2" t="n"/>
      <c r="G273" s="14" t="n"/>
      <c r="H273" s="2" t="n"/>
      <c r="I273" s="4" t="n"/>
      <c r="J273" s="2" t="n"/>
      <c r="K273" s="32">
        <f>IF('RPT1'!$J273="","",'RPT1'!$J273)</f>
        <v/>
      </c>
      <c r="L273" s="32">
        <f>IF('RPT2'!$J273="","",'RPT2'!$J273)</f>
        <v/>
      </c>
      <c r="M273" s="32">
        <f>IF('RPT3'!$J273="","",'RPT3'!$J273)</f>
        <v/>
      </c>
    </row>
    <row r="274">
      <c r="A274" s="16" t="inlineStr">
        <is>
          <t>Base Scripts - w/ Exclusions - Mail - Brand - Base - Maintenance</t>
        </is>
      </c>
      <c r="B274" s="2" t="n"/>
      <c r="C274" s="33">
        <f>IF(Combine="Y", $G274, 0)</f>
        <v/>
      </c>
      <c r="D274" s="2" t="n"/>
      <c r="E274" s="4" t="n"/>
      <c r="F274" s="2" t="n"/>
      <c r="G274" s="33">
        <f>SUM($K274:$M274)</f>
        <v/>
      </c>
      <c r="H274" s="2" t="n"/>
      <c r="I274" s="4" t="n"/>
      <c r="J274" s="2" t="n"/>
      <c r="K274" s="34">
        <f>IF('RPT1'!$J274="","",'RPT1'!$J274)</f>
        <v/>
      </c>
      <c r="L274" s="34">
        <f>IF('RPT2'!$J274="","",'RPT2'!$J274)</f>
        <v/>
      </c>
      <c r="M274" s="34">
        <f>IF('RPT3'!$J274="","",'RPT3'!$J274)</f>
        <v/>
      </c>
    </row>
    <row r="275">
      <c r="A275" s="16" t="inlineStr">
        <is>
          <t>Base Scripts - w/ Exclusions - Mail - Generic - Base - Maintenance</t>
        </is>
      </c>
      <c r="B275" s="2" t="n"/>
      <c r="C275" s="33">
        <f>IF(Combine="Y", $G275, 0)</f>
        <v/>
      </c>
      <c r="D275" s="2" t="n"/>
      <c r="E275" s="4" t="n"/>
      <c r="F275" s="2" t="n"/>
      <c r="G275" s="33">
        <f>SUM($K275:$M275)</f>
        <v/>
      </c>
      <c r="H275" s="2" t="n"/>
      <c r="I275" s="4" t="n"/>
      <c r="J275" s="2" t="n"/>
      <c r="K275" s="34">
        <f>IF('RPT1'!$J275="","",'RPT1'!$J275)</f>
        <v/>
      </c>
      <c r="L275" s="34">
        <f>IF('RPT2'!$J275="","",'RPT2'!$J275)</f>
        <v/>
      </c>
      <c r="M275" s="34">
        <f>IF('RPT3'!$J275="","",'RPT3'!$J275)</f>
        <v/>
      </c>
    </row>
    <row r="276">
      <c r="A276" s="16" t="inlineStr">
        <is>
          <t>Base Scripts - w/ Exclusions - Retail 30 - Brand - Base - Maintenance</t>
        </is>
      </c>
      <c r="B276" s="2" t="n"/>
      <c r="C276" s="33">
        <f>IF(Combine="Y", $G276, 0)</f>
        <v/>
      </c>
      <c r="D276" s="2" t="n"/>
      <c r="E276" s="4" t="n"/>
      <c r="F276" s="2" t="n"/>
      <c r="G276" s="33">
        <f>SUM($K276:$M276)</f>
        <v/>
      </c>
      <c r="H276" s="2" t="n"/>
      <c r="I276" s="4" t="n"/>
      <c r="J276" s="2" t="n"/>
      <c r="K276" s="34">
        <f>IF('RPT1'!$J276="","",'RPT1'!$J276)</f>
        <v/>
      </c>
      <c r="L276" s="34">
        <f>IF('RPT2'!$J276="","",'RPT2'!$J276)</f>
        <v/>
      </c>
      <c r="M276" s="34">
        <f>IF('RPT3'!$J276="","",'RPT3'!$J276)</f>
        <v/>
      </c>
    </row>
    <row r="277">
      <c r="A277" s="16" t="inlineStr">
        <is>
          <t>Base Scripts - w/ Exclusions - Retail 30 - Generic - Base - Maintenance</t>
        </is>
      </c>
      <c r="B277" s="2" t="n"/>
      <c r="C277" s="33">
        <f>IF(Combine="Y", $G277, 0)</f>
        <v/>
      </c>
      <c r="D277" s="2" t="n"/>
      <c r="E277" s="4" t="n"/>
      <c r="F277" s="2" t="n"/>
      <c r="G277" s="33">
        <f>SUM($K277:$M277)</f>
        <v/>
      </c>
      <c r="H277" s="2" t="n"/>
      <c r="I277" s="4" t="n"/>
      <c r="J277" s="2" t="n"/>
      <c r="K277" s="34">
        <f>IF('RPT1'!$J277="","",'RPT1'!$J277)</f>
        <v/>
      </c>
      <c r="L277" s="34">
        <f>IF('RPT2'!$J277="","",'RPT2'!$J277)</f>
        <v/>
      </c>
      <c r="M277" s="34">
        <f>IF('RPT3'!$J277="","",'RPT3'!$J277)</f>
        <v/>
      </c>
    </row>
    <row r="278">
      <c r="A278" s="16" t="inlineStr">
        <is>
          <t>Base Scripts - w/ Exclusions - Retail 90 - Brand - Base - Maintenance</t>
        </is>
      </c>
      <c r="B278" s="2" t="n"/>
      <c r="C278" s="33">
        <f>IF(Combine="Y", $G278, 0)</f>
        <v/>
      </c>
      <c r="D278" s="2" t="n"/>
      <c r="E278" s="4" t="n"/>
      <c r="F278" s="2" t="n"/>
      <c r="G278" s="33">
        <f>SUM($K278:$M278)</f>
        <v/>
      </c>
      <c r="H278" s="2" t="n"/>
      <c r="I278" s="4" t="n"/>
      <c r="J278" s="2" t="n"/>
      <c r="K278" s="34">
        <f>IF('RPT1'!$J278="","",'RPT1'!$J278)</f>
        <v/>
      </c>
      <c r="L278" s="34">
        <f>IF('RPT2'!$J278="","",'RPT2'!$J278)</f>
        <v/>
      </c>
      <c r="M278" s="34">
        <f>IF('RPT3'!$J278="","",'RPT3'!$J278)</f>
        <v/>
      </c>
    </row>
    <row r="279">
      <c r="A279" s="16" t="inlineStr">
        <is>
          <t>Base Scripts - w/ Exclusions - Retail 90 - Generic - Base - Maintenance</t>
        </is>
      </c>
      <c r="B279" s="2" t="n"/>
      <c r="C279" s="33">
        <f>IF(Combine="Y", $G279, 0)</f>
        <v/>
      </c>
      <c r="D279" s="2" t="n"/>
      <c r="E279" s="4" t="n"/>
      <c r="F279" s="2" t="n"/>
      <c r="G279" s="33">
        <f>SUM($K279:$M279)</f>
        <v/>
      </c>
      <c r="H279" s="2" t="n"/>
      <c r="I279" s="4" t="n"/>
      <c r="J279" s="2" t="n"/>
      <c r="K279" s="34">
        <f>IF('RPT1'!$J279="","",'RPT1'!$J279)</f>
        <v/>
      </c>
      <c r="L279" s="34">
        <f>IF('RPT2'!$J279="","",'RPT2'!$J279)</f>
        <v/>
      </c>
      <c r="M279" s="34">
        <f>IF('RPT3'!$J279="","",'RPT3'!$J279)</f>
        <v/>
      </c>
    </row>
    <row r="280">
      <c r="A280" s="16" t="inlineStr">
        <is>
          <t>Base Scripts - w/ Exclusions - Specialty - Brand - Base - Maintenance</t>
        </is>
      </c>
      <c r="B280" s="2" t="n"/>
      <c r="C280" s="33">
        <f>IF(Combine="Y", $G280, 0)</f>
        <v/>
      </c>
      <c r="D280" s="2" t="n"/>
      <c r="E280" s="4" t="n"/>
      <c r="F280" s="2" t="n"/>
      <c r="G280" s="33">
        <f>SUM($K280:$M280)</f>
        <v/>
      </c>
      <c r="H280" s="2" t="n"/>
      <c r="I280" s="4" t="n"/>
      <c r="J280" s="2" t="n"/>
      <c r="K280" s="34">
        <f>IF('RPT1'!$J280="","",'RPT1'!$J280)</f>
        <v/>
      </c>
      <c r="L280" s="34">
        <f>IF('RPT2'!$J280="","",'RPT2'!$J280)</f>
        <v/>
      </c>
      <c r="M280" s="34">
        <f>IF('RPT3'!$J280="","",'RPT3'!$J280)</f>
        <v/>
      </c>
    </row>
    <row r="281">
      <c r="A281" s="16" t="inlineStr">
        <is>
          <t>Base Scripts - w/ Exclusions - Specialty - Generic - Base - Maintenance</t>
        </is>
      </c>
      <c r="B281" s="2" t="n"/>
      <c r="C281" s="33">
        <f>IF(Combine="Y", $G281, 0)</f>
        <v/>
      </c>
      <c r="D281" s="2" t="n"/>
      <c r="E281" s="4" t="n"/>
      <c r="F281" s="2" t="n"/>
      <c r="G281" s="33">
        <f>SUM($K281:$M281)</f>
        <v/>
      </c>
      <c r="H281" s="2" t="n"/>
      <c r="I281" s="4" t="n"/>
      <c r="J281" s="2" t="n"/>
      <c r="K281" s="34">
        <f>IF('RPT1'!$J281="","",'RPT1'!$J281)</f>
        <v/>
      </c>
      <c r="L281" s="34">
        <f>IF('RPT2'!$J281="","",'RPT2'!$J281)</f>
        <v/>
      </c>
      <c r="M281" s="34">
        <f>IF('RPT3'!$J281="","",'RPT3'!$J281)</f>
        <v/>
      </c>
    </row>
    <row r="282">
      <c r="A282" s="16" t="inlineStr">
        <is>
          <t>Base Scripts - w/ Exclusions - Mail - Brand - Base - Non-Maintenance</t>
        </is>
      </c>
      <c r="B282" s="2" t="n"/>
      <c r="C282" s="33">
        <f>IF(Combine="Y", $G282, 0)</f>
        <v/>
      </c>
      <c r="D282" s="2" t="n"/>
      <c r="E282" s="4" t="n"/>
      <c r="F282" s="2" t="n"/>
      <c r="G282" s="33">
        <f>SUM($K282:$M282)</f>
        <v/>
      </c>
      <c r="H282" s="2" t="n"/>
      <c r="I282" s="4" t="n"/>
      <c r="J282" s="2" t="n"/>
      <c r="K282" s="34">
        <f>IF('RPT1'!$J282="","",'RPT1'!$J282)</f>
        <v/>
      </c>
      <c r="L282" s="34">
        <f>IF('RPT2'!$J282="","",'RPT2'!$J282)</f>
        <v/>
      </c>
      <c r="M282" s="34">
        <f>IF('RPT3'!$J282="","",'RPT3'!$J282)</f>
        <v/>
      </c>
    </row>
    <row r="283">
      <c r="A283" s="16" t="inlineStr">
        <is>
          <t>Base Scripts - w/ Exclusions - Mail - Generic - Base - Non-Maintenance</t>
        </is>
      </c>
      <c r="B283" s="2" t="n"/>
      <c r="C283" s="33">
        <f>IF(Combine="Y", $G283, 0)</f>
        <v/>
      </c>
      <c r="D283" s="2" t="n"/>
      <c r="E283" s="4" t="n"/>
      <c r="F283" s="2" t="n"/>
      <c r="G283" s="33">
        <f>SUM($K283:$M283)</f>
        <v/>
      </c>
      <c r="H283" s="2" t="n"/>
      <c r="I283" s="4" t="n"/>
      <c r="J283" s="2" t="n"/>
      <c r="K283" s="34">
        <f>IF('RPT1'!$J283="","",'RPT1'!$J283)</f>
        <v/>
      </c>
      <c r="L283" s="34">
        <f>IF('RPT2'!$J283="","",'RPT2'!$J283)</f>
        <v/>
      </c>
      <c r="M283" s="34">
        <f>IF('RPT3'!$J283="","",'RPT3'!$J283)</f>
        <v/>
      </c>
    </row>
    <row r="284">
      <c r="A284" s="16" t="inlineStr">
        <is>
          <t>Base Scripts - w/ Exclusions - Retail 30 - Brand - Base - Non-Maintenance</t>
        </is>
      </c>
      <c r="B284" s="2" t="n"/>
      <c r="C284" s="33">
        <f>IF(Combine="Y", $G284, 0)</f>
        <v/>
      </c>
      <c r="D284" s="2" t="n"/>
      <c r="E284" s="4" t="n"/>
      <c r="F284" s="2" t="n"/>
      <c r="G284" s="33">
        <f>SUM($K284:$M284)</f>
        <v/>
      </c>
      <c r="H284" s="2" t="n"/>
      <c r="I284" s="4" t="n"/>
      <c r="J284" s="2" t="n"/>
      <c r="K284" s="34">
        <f>IF('RPT1'!$J284="","",'RPT1'!$J284)</f>
        <v/>
      </c>
      <c r="L284" s="34">
        <f>IF('RPT2'!$J284="","",'RPT2'!$J284)</f>
        <v/>
      </c>
      <c r="M284" s="34">
        <f>IF('RPT3'!$J284="","",'RPT3'!$J284)</f>
        <v/>
      </c>
    </row>
    <row r="285">
      <c r="A285" s="16" t="inlineStr">
        <is>
          <t>Base Scripts - w/ Exclusions - Retail 30 - Generic - Base - Non-Maintenance</t>
        </is>
      </c>
      <c r="B285" s="2" t="n"/>
      <c r="C285" s="33">
        <f>IF(Combine="Y", $G285, 0)</f>
        <v/>
      </c>
      <c r="D285" s="2" t="n"/>
      <c r="E285" s="4" t="n"/>
      <c r="F285" s="2" t="n"/>
      <c r="G285" s="33">
        <f>SUM($K285:$M285)</f>
        <v/>
      </c>
      <c r="H285" s="2" t="n"/>
      <c r="I285" s="4" t="n"/>
      <c r="J285" s="2" t="n"/>
      <c r="K285" s="34">
        <f>IF('RPT1'!$J285="","",'RPT1'!$J285)</f>
        <v/>
      </c>
      <c r="L285" s="34">
        <f>IF('RPT2'!$J285="","",'RPT2'!$J285)</f>
        <v/>
      </c>
      <c r="M285" s="34">
        <f>IF('RPT3'!$J285="","",'RPT3'!$J285)</f>
        <v/>
      </c>
    </row>
    <row r="286">
      <c r="A286" s="16" t="inlineStr">
        <is>
          <t>Base Scripts - w/ Exclusions - Retail 90 - Brand - Base - Non-Maintenance</t>
        </is>
      </c>
      <c r="B286" s="2" t="n"/>
      <c r="C286" s="33">
        <f>IF(Combine="Y", $G286, 0)</f>
        <v/>
      </c>
      <c r="D286" s="2" t="n"/>
      <c r="E286" s="4" t="n"/>
      <c r="F286" s="2" t="n"/>
      <c r="G286" s="33">
        <f>SUM($K286:$M286)</f>
        <v/>
      </c>
      <c r="H286" s="2" t="n"/>
      <c r="I286" s="4" t="n"/>
      <c r="J286" s="2" t="n"/>
      <c r="K286" s="34">
        <f>IF('RPT1'!$J286="","",'RPT1'!$J286)</f>
        <v/>
      </c>
      <c r="L286" s="34">
        <f>IF('RPT2'!$J286="","",'RPT2'!$J286)</f>
        <v/>
      </c>
      <c r="M286" s="34">
        <f>IF('RPT3'!$J286="","",'RPT3'!$J286)</f>
        <v/>
      </c>
    </row>
    <row r="287">
      <c r="A287" s="16" t="inlineStr">
        <is>
          <t>Base Scripts - w/ Exclusions - Retail 90 - Generic - Base - Non-Maintenance</t>
        </is>
      </c>
      <c r="B287" s="2" t="n"/>
      <c r="C287" s="33">
        <f>IF(Combine="Y", $G287, 0)</f>
        <v/>
      </c>
      <c r="D287" s="2" t="n"/>
      <c r="E287" s="4" t="n"/>
      <c r="F287" s="2" t="n"/>
      <c r="G287" s="33">
        <f>SUM($K287:$M287)</f>
        <v/>
      </c>
      <c r="H287" s="2" t="n"/>
      <c r="I287" s="4" t="n"/>
      <c r="J287" s="2" t="n"/>
      <c r="K287" s="34">
        <f>IF('RPT1'!$J287="","",'RPT1'!$J287)</f>
        <v/>
      </c>
      <c r="L287" s="34">
        <f>IF('RPT2'!$J287="","",'RPT2'!$J287)</f>
        <v/>
      </c>
      <c r="M287" s="34">
        <f>IF('RPT3'!$J287="","",'RPT3'!$J287)</f>
        <v/>
      </c>
    </row>
    <row r="288">
      <c r="A288" s="16" t="inlineStr">
        <is>
          <t>Base Scripts - w/ Exclusions - Specialty - Brand - Base - Non-Maintenance</t>
        </is>
      </c>
      <c r="B288" s="2" t="n"/>
      <c r="C288" s="33">
        <f>IF(Combine="Y", $G288, 0)</f>
        <v/>
      </c>
      <c r="D288" s="2" t="n"/>
      <c r="E288" s="4" t="n"/>
      <c r="F288" s="2" t="n"/>
      <c r="G288" s="33">
        <f>SUM($K288:$M288)</f>
        <v/>
      </c>
      <c r="H288" s="2" t="n"/>
      <c r="I288" s="4" t="n"/>
      <c r="J288" s="2" t="n"/>
      <c r="K288" s="34">
        <f>IF('RPT1'!$J288="","",'RPT1'!$J288)</f>
        <v/>
      </c>
      <c r="L288" s="34">
        <f>IF('RPT2'!$J288="","",'RPT2'!$J288)</f>
        <v/>
      </c>
      <c r="M288" s="34">
        <f>IF('RPT3'!$J288="","",'RPT3'!$J288)</f>
        <v/>
      </c>
    </row>
    <row r="289">
      <c r="A289" s="16" t="inlineStr">
        <is>
          <t>Base Scripts - w/ Exclusions - Specialty - Generic - Base - Non-Maintenance</t>
        </is>
      </c>
      <c r="B289" s="2" t="n"/>
      <c r="C289" s="33">
        <f>IF(Combine="Y", $G289, 0)</f>
        <v/>
      </c>
      <c r="D289" s="2" t="n"/>
      <c r="E289" s="4" t="n"/>
      <c r="F289" s="2" t="n"/>
      <c r="G289" s="33">
        <f>SUM($K289:$M289)</f>
        <v/>
      </c>
      <c r="H289" s="2" t="n"/>
      <c r="I289" s="4" t="n"/>
      <c r="J289" s="2" t="n"/>
      <c r="K289" s="34">
        <f>IF('RPT1'!$J289="","",'RPT1'!$J289)</f>
        <v/>
      </c>
      <c r="L289" s="34">
        <f>IF('RPT2'!$J289="","",'RPT2'!$J289)</f>
        <v/>
      </c>
      <c r="M289" s="34">
        <f>IF('RPT3'!$J289="","",'RPT3'!$J289)</f>
        <v/>
      </c>
    </row>
    <row r="290">
      <c r="A290" s="16" t="inlineStr">
        <is>
          <t>Base Scripts - w/ Exclusions - Mail - Brand - Base - Total</t>
        </is>
      </c>
      <c r="B290" s="2" t="n"/>
      <c r="C290" s="33">
        <f>IF(Combine="Y", $G290, 0)</f>
        <v/>
      </c>
      <c r="D290" s="2" t="n"/>
      <c r="E290" s="4" t="n"/>
      <c r="F290" s="2" t="n"/>
      <c r="G290" s="33">
        <f>SUM($K290:$M290)</f>
        <v/>
      </c>
      <c r="H290" s="2" t="n"/>
      <c r="I290" s="4" t="n"/>
      <c r="J290" s="2" t="n"/>
      <c r="K290" s="34">
        <f>IF('RPT1'!$J290="","",'RPT1'!$J290)</f>
        <v/>
      </c>
      <c r="L290" s="34">
        <f>IF('RPT2'!$J290="","",'RPT2'!$J290)</f>
        <v/>
      </c>
      <c r="M290" s="34">
        <f>IF('RPT3'!$J290="","",'RPT3'!$J290)</f>
        <v/>
      </c>
    </row>
    <row r="291">
      <c r="A291" s="16" t="inlineStr">
        <is>
          <t>Base Scripts - w/ Exclusions - Mail - Generic - Base - Total</t>
        </is>
      </c>
      <c r="B291" s="2" t="n"/>
      <c r="C291" s="33">
        <f>IF(Combine="Y", $G291, 0)</f>
        <v/>
      </c>
      <c r="D291" s="2" t="n"/>
      <c r="E291" s="4" t="n"/>
      <c r="F291" s="2" t="n"/>
      <c r="G291" s="33">
        <f>SUM($K291:$M291)</f>
        <v/>
      </c>
      <c r="H291" s="2" t="n"/>
      <c r="I291" s="4" t="n"/>
      <c r="J291" s="2" t="n"/>
      <c r="K291" s="34">
        <f>IF('RPT1'!$J291="","",'RPT1'!$J291)</f>
        <v/>
      </c>
      <c r="L291" s="34">
        <f>IF('RPT2'!$J291="","",'RPT2'!$J291)</f>
        <v/>
      </c>
      <c r="M291" s="34">
        <f>IF('RPT3'!$J291="","",'RPT3'!$J291)</f>
        <v/>
      </c>
    </row>
    <row r="292">
      <c r="A292" s="16" t="inlineStr">
        <is>
          <t>Base Scripts - w/ Exclusions - Retail 30 - Brand - Base - Total</t>
        </is>
      </c>
      <c r="B292" s="2" t="n"/>
      <c r="C292" s="33">
        <f>IF(Combine="Y", $G292, 0)</f>
        <v/>
      </c>
      <c r="D292" s="2" t="n"/>
      <c r="E292" s="4" t="n"/>
      <c r="F292" s="2" t="n"/>
      <c r="G292" s="33">
        <f>SUM($K292:$M292)</f>
        <v/>
      </c>
      <c r="H292" s="2" t="n"/>
      <c r="I292" s="4" t="n"/>
      <c r="J292" s="2" t="n"/>
      <c r="K292" s="34">
        <f>IF('RPT1'!$J292="","",'RPT1'!$J292)</f>
        <v/>
      </c>
      <c r="L292" s="34">
        <f>IF('RPT2'!$J292="","",'RPT2'!$J292)</f>
        <v/>
      </c>
      <c r="M292" s="34">
        <f>IF('RPT3'!$J292="","",'RPT3'!$J292)</f>
        <v/>
      </c>
    </row>
    <row r="293">
      <c r="A293" s="16" t="inlineStr">
        <is>
          <t>Base Scripts - w/ Exclusions - Retail 30 - Generic - Base - Total</t>
        </is>
      </c>
      <c r="B293" s="2" t="n"/>
      <c r="C293" s="33">
        <f>IF(Combine="Y", $G293, 0)</f>
        <v/>
      </c>
      <c r="D293" s="2" t="n"/>
      <c r="E293" s="4" t="n"/>
      <c r="F293" s="2" t="n"/>
      <c r="G293" s="33">
        <f>SUM($K293:$M293)</f>
        <v/>
      </c>
      <c r="H293" s="2" t="n"/>
      <c r="I293" s="4" t="n"/>
      <c r="J293" s="2" t="n"/>
      <c r="K293" s="34">
        <f>IF('RPT1'!$J293="","",'RPT1'!$J293)</f>
        <v/>
      </c>
      <c r="L293" s="34">
        <f>IF('RPT2'!$J293="","",'RPT2'!$J293)</f>
        <v/>
      </c>
      <c r="M293" s="34">
        <f>IF('RPT3'!$J293="","",'RPT3'!$J293)</f>
        <v/>
      </c>
    </row>
    <row r="294">
      <c r="A294" s="16" t="inlineStr">
        <is>
          <t>Base Scripts - w/ Exclusions - Retail 90 - Brand - Base - Total</t>
        </is>
      </c>
      <c r="B294" s="2" t="n"/>
      <c r="C294" s="33">
        <f>IF(Combine="Y", $G294, 0)</f>
        <v/>
      </c>
      <c r="D294" s="2" t="n"/>
      <c r="E294" s="4" t="n"/>
      <c r="F294" s="2" t="n"/>
      <c r="G294" s="33">
        <f>SUM($K294:$M294)</f>
        <v/>
      </c>
      <c r="H294" s="2" t="n"/>
      <c r="I294" s="4" t="n"/>
      <c r="J294" s="2" t="n"/>
      <c r="K294" s="34">
        <f>IF('RPT1'!$J294="","",'RPT1'!$J294)</f>
        <v/>
      </c>
      <c r="L294" s="34">
        <f>IF('RPT2'!$J294="","",'RPT2'!$J294)</f>
        <v/>
      </c>
      <c r="M294" s="34">
        <f>IF('RPT3'!$J294="","",'RPT3'!$J294)</f>
        <v/>
      </c>
    </row>
    <row r="295">
      <c r="A295" s="16" t="inlineStr">
        <is>
          <t>Base Scripts - w/ Exclusions - Retail 90 - Generic - Base - Total</t>
        </is>
      </c>
      <c r="B295" s="2" t="n"/>
      <c r="C295" s="33">
        <f>IF(Combine="Y", $G295, 0)</f>
        <v/>
      </c>
      <c r="D295" s="2" t="n"/>
      <c r="E295" s="4" t="n"/>
      <c r="F295" s="2" t="n"/>
      <c r="G295" s="33">
        <f>SUM($K295:$M295)</f>
        <v/>
      </c>
      <c r="H295" s="2" t="n"/>
      <c r="I295" s="4" t="n"/>
      <c r="J295" s="2" t="n"/>
      <c r="K295" s="34">
        <f>IF('RPT1'!$J295="","",'RPT1'!$J295)</f>
        <v/>
      </c>
      <c r="L295" s="34">
        <f>IF('RPT2'!$J295="","",'RPT2'!$J295)</f>
        <v/>
      </c>
      <c r="M295" s="34">
        <f>IF('RPT3'!$J295="","",'RPT3'!$J295)</f>
        <v/>
      </c>
    </row>
    <row r="296">
      <c r="A296" s="16" t="inlineStr">
        <is>
          <t>Base Scripts - w/ Exclusions - Specialty - Brand - Base - Total</t>
        </is>
      </c>
      <c r="B296" s="2" t="n"/>
      <c r="C296" s="33">
        <f>IF(Combine="Y", $G296, 0)</f>
        <v/>
      </c>
      <c r="D296" s="2" t="n"/>
      <c r="E296" s="4" t="n"/>
      <c r="F296" s="2" t="n"/>
      <c r="G296" s="33">
        <f>SUM($K296:$M296)</f>
        <v/>
      </c>
      <c r="H296" s="2" t="n"/>
      <c r="I296" s="4" t="n"/>
      <c r="J296" s="2" t="n"/>
      <c r="K296" s="34">
        <f>IF('RPT1'!$J296="","",'RPT1'!$J296)</f>
        <v/>
      </c>
      <c r="L296" s="34">
        <f>IF('RPT2'!$J296="","",'RPT2'!$J296)</f>
        <v/>
      </c>
      <c r="M296" s="34">
        <f>IF('RPT3'!$J296="","",'RPT3'!$J296)</f>
        <v/>
      </c>
    </row>
    <row r="297">
      <c r="A297" s="16" t="inlineStr">
        <is>
          <t>Base Scripts - w/ Exclusions - Specialty - Generic - Base - Total</t>
        </is>
      </c>
      <c r="B297" s="2" t="n"/>
      <c r="C297" s="33">
        <f>IF(Combine="Y", $G297, 0)</f>
        <v/>
      </c>
      <c r="D297" s="2" t="n"/>
      <c r="E297" s="4" t="n"/>
      <c r="F297" s="2" t="n"/>
      <c r="G297" s="33">
        <f>SUM($K297:$M297)</f>
        <v/>
      </c>
      <c r="H297" s="2" t="n"/>
      <c r="I297" s="4" t="n"/>
      <c r="J297" s="2" t="n"/>
      <c r="K297" s="34">
        <f>IF('RPT1'!$J297="","",'RPT1'!$J297)</f>
        <v/>
      </c>
      <c r="L297" s="34">
        <f>IF('RPT2'!$J297="","",'RPT2'!$J297)</f>
        <v/>
      </c>
      <c r="M297" s="34">
        <f>IF('RPT3'!$J297="","",'RPT3'!$J297)</f>
        <v/>
      </c>
    </row>
    <row r="298">
      <c r="A298" s="31" t="n"/>
      <c r="B298" s="2" t="n"/>
      <c r="C298" s="14" t="n"/>
      <c r="D298" s="2" t="n"/>
      <c r="E298" s="4" t="n"/>
      <c r="F298" s="2" t="n"/>
      <c r="G298" s="14" t="n"/>
      <c r="H298" s="2" t="n"/>
      <c r="I298" s="4" t="n"/>
      <c r="J298" s="2" t="n"/>
      <c r="K298" s="32" t="n"/>
      <c r="L298" s="32" t="n"/>
      <c r="M298" s="32" t="n"/>
    </row>
    <row r="299">
      <c r="A299" s="12" t="inlineStr">
        <is>
          <t>Base AWP / Rx - w/o Exclusions</t>
        </is>
      </c>
      <c r="B299" s="2" t="n"/>
      <c r="C299" s="14" t="n"/>
      <c r="D299" s="2" t="n"/>
      <c r="E299" s="4" t="n"/>
      <c r="F299" s="2" t="n"/>
      <c r="G299" s="14" t="n"/>
      <c r="H299" s="2" t="n"/>
      <c r="I299" s="4" t="n"/>
      <c r="J299" s="2" t="n"/>
      <c r="K299" s="32">
        <f>IF('RPT1'!$J299="","",'RPT1'!$J299)</f>
        <v/>
      </c>
      <c r="L299" s="32">
        <f>IF('RPT2'!$J299="","",'RPT2'!$J299)</f>
        <v/>
      </c>
      <c r="M299" s="32">
        <f>IF('RPT3'!$J299="","",'RPT3'!$J299)</f>
        <v/>
      </c>
    </row>
    <row r="300">
      <c r="A300" s="16" t="inlineStr">
        <is>
          <t>Base AWP / Rx - w/o Exclusions - Mail - Brand - Base - Maintenance</t>
        </is>
      </c>
      <c r="B300" s="2" t="n"/>
      <c r="C300" s="43">
        <f>IF(Combine="Y", $G300, 0)</f>
        <v/>
      </c>
      <c r="D300" s="2" t="n"/>
      <c r="E300" s="4" t="n"/>
      <c r="F300" s="2" t="n"/>
      <c r="G300" s="43">
        <f>IF(G248=0,0,SUMPRODUCT($K248:$M248,$K300:$M300)/G248)</f>
        <v/>
      </c>
      <c r="H300" s="2" t="n"/>
      <c r="I300" s="4" t="n"/>
      <c r="J300" s="2" t="n"/>
      <c r="K300" s="44">
        <f>IF('RPT1'!$J300="","",'RPT1'!$J300)</f>
        <v/>
      </c>
      <c r="L300" s="44">
        <f>IF('RPT2'!$J300="","",'RPT2'!$J300)</f>
        <v/>
      </c>
      <c r="M300" s="44">
        <f>IF('RPT3'!$J300="","",'RPT3'!$J300)</f>
        <v/>
      </c>
    </row>
    <row r="301">
      <c r="A301" s="16" t="inlineStr">
        <is>
          <t>Base AWP / Rx - w/o Exclusions - Mail - Generic - Base - Maintenance</t>
        </is>
      </c>
      <c r="B301" s="2" t="n"/>
      <c r="C301" s="43">
        <f>IF(Combine="Y", $G301, 0)</f>
        <v/>
      </c>
      <c r="D301" s="2" t="n"/>
      <c r="E301" s="4" t="n"/>
      <c r="F301" s="2" t="n"/>
      <c r="G301" s="43">
        <f>IF(G249=0,0,SUMPRODUCT($K249:$M249,$K301:$M301)/G249)</f>
        <v/>
      </c>
      <c r="H301" s="2" t="n"/>
      <c r="I301" s="4" t="n"/>
      <c r="J301" s="2" t="n"/>
      <c r="K301" s="44">
        <f>IF('RPT1'!$J301="","",'RPT1'!$J301)</f>
        <v/>
      </c>
      <c r="L301" s="44">
        <f>IF('RPT2'!$J301="","",'RPT2'!$J301)</f>
        <v/>
      </c>
      <c r="M301" s="44">
        <f>IF('RPT3'!$J301="","",'RPT3'!$J301)</f>
        <v/>
      </c>
    </row>
    <row r="302">
      <c r="A302" s="16" t="inlineStr">
        <is>
          <t>Base AWP / Rx - w/o Exclusions - Retail 30 - Brand - Base - Maintenance</t>
        </is>
      </c>
      <c r="B302" s="2" t="n"/>
      <c r="C302" s="43">
        <f>IF(Combine="Y", $G302, 0)</f>
        <v/>
      </c>
      <c r="D302" s="2" t="n"/>
      <c r="E302" s="4" t="n"/>
      <c r="F302" s="2" t="n"/>
      <c r="G302" s="43">
        <f>IF(G250=0,0,SUMPRODUCT($K250:$M250,$K302:$M302)/G250)</f>
        <v/>
      </c>
      <c r="H302" s="2" t="n"/>
      <c r="I302" s="4" t="n"/>
      <c r="J302" s="2" t="n"/>
      <c r="K302" s="44">
        <f>IF('RPT1'!$J302="","",'RPT1'!$J302)</f>
        <v/>
      </c>
      <c r="L302" s="44">
        <f>IF('RPT2'!$J302="","",'RPT2'!$J302)</f>
        <v/>
      </c>
      <c r="M302" s="44">
        <f>IF('RPT3'!$J302="","",'RPT3'!$J302)</f>
        <v/>
      </c>
    </row>
    <row r="303">
      <c r="A303" s="16" t="inlineStr">
        <is>
          <t>Base AWP / Rx - w/o Exclusions - Retail 30 - Generic - Base - Maintenance</t>
        </is>
      </c>
      <c r="B303" s="2" t="n"/>
      <c r="C303" s="43">
        <f>IF(Combine="Y", $G303, 0)</f>
        <v/>
      </c>
      <c r="D303" s="2" t="n"/>
      <c r="E303" s="4" t="n"/>
      <c r="F303" s="2" t="n"/>
      <c r="G303" s="43">
        <f>IF(G251=0,0,SUMPRODUCT($K251:$M251,$K303:$M303)/G251)</f>
        <v/>
      </c>
      <c r="H303" s="2" t="n"/>
      <c r="I303" s="4" t="n"/>
      <c r="J303" s="2" t="n"/>
      <c r="K303" s="44">
        <f>IF('RPT1'!$J303="","",'RPT1'!$J303)</f>
        <v/>
      </c>
      <c r="L303" s="44">
        <f>IF('RPT2'!$J303="","",'RPT2'!$J303)</f>
        <v/>
      </c>
      <c r="M303" s="44">
        <f>IF('RPT3'!$J303="","",'RPT3'!$J303)</f>
        <v/>
      </c>
    </row>
    <row r="304">
      <c r="A304" s="16" t="inlineStr">
        <is>
          <t>Base AWP / Rx - w/o Exclusions - Retail 90 - Brand - Base - Maintenance</t>
        </is>
      </c>
      <c r="B304" s="2" t="n"/>
      <c r="C304" s="43">
        <f>IF(Combine="Y", $G304, 0)</f>
        <v/>
      </c>
      <c r="D304" s="2" t="n"/>
      <c r="E304" s="4" t="n"/>
      <c r="F304" s="2" t="n"/>
      <c r="G304" s="43">
        <f>IF(G252=0,0,SUMPRODUCT($K252:$M252,$K304:$M304)/G252)</f>
        <v/>
      </c>
      <c r="H304" s="2" t="n"/>
      <c r="I304" s="4" t="n"/>
      <c r="J304" s="2" t="n"/>
      <c r="K304" s="44">
        <f>IF('RPT1'!$J304="","",'RPT1'!$J304)</f>
        <v/>
      </c>
      <c r="L304" s="44">
        <f>IF('RPT2'!$J304="","",'RPT2'!$J304)</f>
        <v/>
      </c>
      <c r="M304" s="44">
        <f>IF('RPT3'!$J304="","",'RPT3'!$J304)</f>
        <v/>
      </c>
    </row>
    <row r="305">
      <c r="A305" s="16" t="inlineStr">
        <is>
          <t>Base AWP / Rx - w/o Exclusions - Retail 90 - Generic - Base - Maintenance</t>
        </is>
      </c>
      <c r="B305" s="2" t="n"/>
      <c r="C305" s="43">
        <f>IF(Combine="Y", $G305, 0)</f>
        <v/>
      </c>
      <c r="D305" s="2" t="n"/>
      <c r="E305" s="4" t="n"/>
      <c r="F305" s="2" t="n"/>
      <c r="G305" s="43">
        <f>IF(G253=0,0,SUMPRODUCT($K253:$M253,$K305:$M305)/G253)</f>
        <v/>
      </c>
      <c r="H305" s="2" t="n"/>
      <c r="I305" s="4" t="n"/>
      <c r="J305" s="2" t="n"/>
      <c r="K305" s="44">
        <f>IF('RPT1'!$J305="","",'RPT1'!$J305)</f>
        <v/>
      </c>
      <c r="L305" s="44">
        <f>IF('RPT2'!$J305="","",'RPT2'!$J305)</f>
        <v/>
      </c>
      <c r="M305" s="44">
        <f>IF('RPT3'!$J305="","",'RPT3'!$J305)</f>
        <v/>
      </c>
    </row>
    <row r="306">
      <c r="A306" s="16" t="inlineStr">
        <is>
          <t>Base AWP / Rx - w/o Exclusions - Specialty - Brand - Base - Maintenance</t>
        </is>
      </c>
      <c r="B306" s="2" t="n"/>
      <c r="C306" s="43">
        <f>IF(Combine="Y", $G306, 0)</f>
        <v/>
      </c>
      <c r="D306" s="2" t="n"/>
      <c r="E306" s="4" t="n"/>
      <c r="F306" s="2" t="n"/>
      <c r="G306" s="43">
        <f>IF(G254=0,0,SUMPRODUCT($K254:$M254,$K306:$M306)/G254)</f>
        <v/>
      </c>
      <c r="H306" s="2" t="n"/>
      <c r="I306" s="4" t="n"/>
      <c r="J306" s="2" t="n"/>
      <c r="K306" s="44">
        <f>IF('RPT1'!$J306="","",'RPT1'!$J306)</f>
        <v/>
      </c>
      <c r="L306" s="44">
        <f>IF('RPT2'!$J306="","",'RPT2'!$J306)</f>
        <v/>
      </c>
      <c r="M306" s="44">
        <f>IF('RPT3'!$J306="","",'RPT3'!$J306)</f>
        <v/>
      </c>
    </row>
    <row r="307">
      <c r="A307" s="16" t="inlineStr">
        <is>
          <t>Base AWP / Rx - w/o Exclusions - Specialty - Generic - Base - Maintenance</t>
        </is>
      </c>
      <c r="B307" s="2" t="n"/>
      <c r="C307" s="43">
        <f>IF(Combine="Y", $G307, 0)</f>
        <v/>
      </c>
      <c r="D307" s="2" t="n"/>
      <c r="E307" s="4" t="n"/>
      <c r="F307" s="2" t="n"/>
      <c r="G307" s="43">
        <f>IF(G255=0,0,SUMPRODUCT($K255:$M255,$K307:$M307)/G255)</f>
        <v/>
      </c>
      <c r="H307" s="2" t="n"/>
      <c r="I307" s="4" t="n"/>
      <c r="J307" s="2" t="n"/>
      <c r="K307" s="44">
        <f>IF('RPT1'!$J307="","",'RPT1'!$J307)</f>
        <v/>
      </c>
      <c r="L307" s="44">
        <f>IF('RPT2'!$J307="","",'RPT2'!$J307)</f>
        <v/>
      </c>
      <c r="M307" s="44">
        <f>IF('RPT3'!$J307="","",'RPT3'!$J307)</f>
        <v/>
      </c>
    </row>
    <row r="308">
      <c r="A308" s="16" t="inlineStr">
        <is>
          <t>Base AWP / Rx - w/o Exclusions - Mail - Brand - Base - Non-Maintenance</t>
        </is>
      </c>
      <c r="B308" s="2" t="n"/>
      <c r="C308" s="43">
        <f>IF(Combine="Y", $G308, 0)</f>
        <v/>
      </c>
      <c r="D308" s="2" t="n"/>
      <c r="E308" s="4" t="n"/>
      <c r="F308" s="2" t="n"/>
      <c r="G308" s="43">
        <f>IF(G256=0,0,SUMPRODUCT($K256:$M256,$K308:$M308)/G256)</f>
        <v/>
      </c>
      <c r="H308" s="2" t="n"/>
      <c r="I308" s="4" t="n"/>
      <c r="J308" s="2" t="n"/>
      <c r="K308" s="44">
        <f>IF('RPT1'!$J308="","",'RPT1'!$J308)</f>
        <v/>
      </c>
      <c r="L308" s="44">
        <f>IF('RPT2'!$J308="","",'RPT2'!$J308)</f>
        <v/>
      </c>
      <c r="M308" s="44">
        <f>IF('RPT3'!$J308="","",'RPT3'!$J308)</f>
        <v/>
      </c>
    </row>
    <row r="309">
      <c r="A309" s="16" t="inlineStr">
        <is>
          <t>Base AWP / Rx - w/o Exclusions - Mail - Generic - Base - Non-Maintenance</t>
        </is>
      </c>
      <c r="B309" s="2" t="n"/>
      <c r="C309" s="43">
        <f>IF(Combine="Y", $G309, 0)</f>
        <v/>
      </c>
      <c r="D309" s="2" t="n"/>
      <c r="E309" s="4" t="n"/>
      <c r="F309" s="2" t="n"/>
      <c r="G309" s="43">
        <f>IF(G257=0,0,SUMPRODUCT($K257:$M257,$K309:$M309)/G257)</f>
        <v/>
      </c>
      <c r="H309" s="2" t="n"/>
      <c r="I309" s="4" t="n"/>
      <c r="J309" s="2" t="n"/>
      <c r="K309" s="44">
        <f>IF('RPT1'!$J309="","",'RPT1'!$J309)</f>
        <v/>
      </c>
      <c r="L309" s="44">
        <f>IF('RPT2'!$J309="","",'RPT2'!$J309)</f>
        <v/>
      </c>
      <c r="M309" s="44">
        <f>IF('RPT3'!$J309="","",'RPT3'!$J309)</f>
        <v/>
      </c>
    </row>
    <row r="310">
      <c r="A310" s="16" t="inlineStr">
        <is>
          <t>Base AWP / Rx - w/o Exclusions - Retail 30 - Brand - Base - Non-Maintenance</t>
        </is>
      </c>
      <c r="B310" s="2" t="n"/>
      <c r="C310" s="43">
        <f>IF(Combine="Y", $G310, 0)</f>
        <v/>
      </c>
      <c r="D310" s="2" t="n"/>
      <c r="E310" s="4" t="n"/>
      <c r="F310" s="2" t="n"/>
      <c r="G310" s="43">
        <f>IF(G258=0,0,SUMPRODUCT($K258:$M258,$K310:$M310)/G258)</f>
        <v/>
      </c>
      <c r="H310" s="2" t="n"/>
      <c r="I310" s="4" t="n"/>
      <c r="J310" s="2" t="n"/>
      <c r="K310" s="44">
        <f>IF('RPT1'!$J310="","",'RPT1'!$J310)</f>
        <v/>
      </c>
      <c r="L310" s="44">
        <f>IF('RPT2'!$J310="","",'RPT2'!$J310)</f>
        <v/>
      </c>
      <c r="M310" s="44">
        <f>IF('RPT3'!$J310="","",'RPT3'!$J310)</f>
        <v/>
      </c>
    </row>
    <row r="311">
      <c r="A311" s="16" t="inlineStr">
        <is>
          <t>Base AWP / Rx - w/o Exclusions - Retail 30 - Generic - Base - Non-Maintenance</t>
        </is>
      </c>
      <c r="B311" s="2" t="n"/>
      <c r="C311" s="43">
        <f>IF(Combine="Y", $G311, 0)</f>
        <v/>
      </c>
      <c r="D311" s="2" t="n"/>
      <c r="E311" s="4" t="n"/>
      <c r="F311" s="2" t="n"/>
      <c r="G311" s="43">
        <f>IF(G259=0,0,SUMPRODUCT($K259:$M259,$K311:$M311)/G259)</f>
        <v/>
      </c>
      <c r="H311" s="2" t="n"/>
      <c r="I311" s="4" t="n"/>
      <c r="J311" s="2" t="n"/>
      <c r="K311" s="44">
        <f>IF('RPT1'!$J311="","",'RPT1'!$J311)</f>
        <v/>
      </c>
      <c r="L311" s="44">
        <f>IF('RPT2'!$J311="","",'RPT2'!$J311)</f>
        <v/>
      </c>
      <c r="M311" s="44">
        <f>IF('RPT3'!$J311="","",'RPT3'!$J311)</f>
        <v/>
      </c>
    </row>
    <row r="312">
      <c r="A312" s="16" t="inlineStr">
        <is>
          <t>Base AWP / Rx - w/o Exclusions - Retail 90 - Brand - Base - Non-Maintenance</t>
        </is>
      </c>
      <c r="B312" s="2" t="n"/>
      <c r="C312" s="43">
        <f>IF(Combine="Y", $G312, 0)</f>
        <v/>
      </c>
      <c r="D312" s="2" t="n"/>
      <c r="E312" s="4" t="n"/>
      <c r="F312" s="2" t="n"/>
      <c r="G312" s="43">
        <f>IF(G260=0,0,SUMPRODUCT($K260:$M260,$K312:$M312)/G260)</f>
        <v/>
      </c>
      <c r="H312" s="2" t="n"/>
      <c r="I312" s="4" t="n"/>
      <c r="J312" s="2" t="n"/>
      <c r="K312" s="44">
        <f>IF('RPT1'!$J312="","",'RPT1'!$J312)</f>
        <v/>
      </c>
      <c r="L312" s="44">
        <f>IF('RPT2'!$J312="","",'RPT2'!$J312)</f>
        <v/>
      </c>
      <c r="M312" s="44">
        <f>IF('RPT3'!$J312="","",'RPT3'!$J312)</f>
        <v/>
      </c>
    </row>
    <row r="313">
      <c r="A313" s="16" t="inlineStr">
        <is>
          <t>Base AWP / Rx - w/o Exclusions - Retail 90 - Generic - Base - Non-Maintenance</t>
        </is>
      </c>
      <c r="B313" s="2" t="n"/>
      <c r="C313" s="43">
        <f>IF(Combine="Y", $G313, 0)</f>
        <v/>
      </c>
      <c r="D313" s="2" t="n"/>
      <c r="E313" s="4" t="n"/>
      <c r="F313" s="2" t="n"/>
      <c r="G313" s="43">
        <f>IF(G261=0,0,SUMPRODUCT($K261:$M261,$K313:$M313)/G261)</f>
        <v/>
      </c>
      <c r="H313" s="2" t="n"/>
      <c r="I313" s="4" t="n"/>
      <c r="J313" s="2" t="n"/>
      <c r="K313" s="44">
        <f>IF('RPT1'!$J313="","",'RPT1'!$J313)</f>
        <v/>
      </c>
      <c r="L313" s="44">
        <f>IF('RPT2'!$J313="","",'RPT2'!$J313)</f>
        <v/>
      </c>
      <c r="M313" s="44">
        <f>IF('RPT3'!$J313="","",'RPT3'!$J313)</f>
        <v/>
      </c>
    </row>
    <row r="314">
      <c r="A314" s="16" t="inlineStr">
        <is>
          <t>Base AWP / Rx - w/o Exclusions - Specialty - Brand - Base - Non-Maintenance</t>
        </is>
      </c>
      <c r="B314" s="2" t="n"/>
      <c r="C314" s="43">
        <f>IF(Combine="Y", $G314, 0)</f>
        <v/>
      </c>
      <c r="D314" s="2" t="n"/>
      <c r="E314" s="4" t="n"/>
      <c r="F314" s="2" t="n"/>
      <c r="G314" s="43">
        <f>IF(G262=0,0,SUMPRODUCT($K262:$M262,$K314:$M314)/G262)</f>
        <v/>
      </c>
      <c r="H314" s="2" t="n"/>
      <c r="I314" s="4" t="n"/>
      <c r="J314" s="2" t="n"/>
      <c r="K314" s="44">
        <f>IF('RPT1'!$J314="","",'RPT1'!$J314)</f>
        <v/>
      </c>
      <c r="L314" s="44">
        <f>IF('RPT2'!$J314="","",'RPT2'!$J314)</f>
        <v/>
      </c>
      <c r="M314" s="44">
        <f>IF('RPT3'!$J314="","",'RPT3'!$J314)</f>
        <v/>
      </c>
    </row>
    <row r="315">
      <c r="A315" s="16" t="inlineStr">
        <is>
          <t>Base AWP / Rx - w/o Exclusions - Specialty - Generic - Base - Non-Maintenance</t>
        </is>
      </c>
      <c r="B315" s="2" t="n"/>
      <c r="C315" s="43">
        <f>IF(Combine="Y", $G315, 0)</f>
        <v/>
      </c>
      <c r="D315" s="2" t="n"/>
      <c r="E315" s="4" t="n"/>
      <c r="F315" s="2" t="n"/>
      <c r="G315" s="43">
        <f>IF(G263=0,0,SUMPRODUCT($K263:$M263,$K315:$M315)/G263)</f>
        <v/>
      </c>
      <c r="H315" s="2" t="n"/>
      <c r="I315" s="4" t="n"/>
      <c r="J315" s="2" t="n"/>
      <c r="K315" s="44">
        <f>IF('RPT1'!$J315="","",'RPT1'!$J315)</f>
        <v/>
      </c>
      <c r="L315" s="44">
        <f>IF('RPT2'!$J315="","",'RPT2'!$J315)</f>
        <v/>
      </c>
      <c r="M315" s="44">
        <f>IF('RPT3'!$J315="","",'RPT3'!$J315)</f>
        <v/>
      </c>
    </row>
    <row r="316">
      <c r="A316" s="16" t="inlineStr">
        <is>
          <t>Base AWP / Rx - w/o Exclusions - Mail - Brand - Base - Total</t>
        </is>
      </c>
      <c r="B316" s="2" t="n"/>
      <c r="C316" s="43">
        <f>IF(Combine="Y", $G316, 0)</f>
        <v/>
      </c>
      <c r="D316" s="2" t="n"/>
      <c r="E316" s="4" t="n"/>
      <c r="F316" s="2" t="n"/>
      <c r="G316" s="43">
        <f>IF(G264=0,0,SUMPRODUCT($K264:$M264,$K316:$M316)/G264)</f>
        <v/>
      </c>
      <c r="H316" s="2" t="n"/>
      <c r="I316" s="4" t="n"/>
      <c r="J316" s="2" t="n"/>
      <c r="K316" s="44">
        <f>IF('RPT1'!$J316="","",'RPT1'!$J316)</f>
        <v/>
      </c>
      <c r="L316" s="44">
        <f>IF('RPT2'!$J316="","",'RPT2'!$J316)</f>
        <v/>
      </c>
      <c r="M316" s="44">
        <f>IF('RPT3'!$J316="","",'RPT3'!$J316)</f>
        <v/>
      </c>
    </row>
    <row r="317">
      <c r="A317" s="16" t="inlineStr">
        <is>
          <t>Base AWP / Rx - w/o Exclusions - Mail - Generic - Base - Total</t>
        </is>
      </c>
      <c r="B317" s="2" t="n"/>
      <c r="C317" s="43">
        <f>IF(Combine="Y", $G317, 0)</f>
        <v/>
      </c>
      <c r="D317" s="2" t="n"/>
      <c r="E317" s="4" t="n"/>
      <c r="F317" s="2" t="n"/>
      <c r="G317" s="43">
        <f>IF(G265=0,0,SUMPRODUCT($K265:$M265,$K317:$M317)/G265)</f>
        <v/>
      </c>
      <c r="H317" s="2" t="n"/>
      <c r="I317" s="4" t="n"/>
      <c r="J317" s="2" t="n"/>
      <c r="K317" s="44">
        <f>IF('RPT1'!$J317="","",'RPT1'!$J317)</f>
        <v/>
      </c>
      <c r="L317" s="44">
        <f>IF('RPT2'!$J317="","",'RPT2'!$J317)</f>
        <v/>
      </c>
      <c r="M317" s="44">
        <f>IF('RPT3'!$J317="","",'RPT3'!$J317)</f>
        <v/>
      </c>
    </row>
    <row r="318">
      <c r="A318" s="16" t="inlineStr">
        <is>
          <t>Base AWP / Rx - w/o Exclusions - Retail 30 - Brand - Base - Total</t>
        </is>
      </c>
      <c r="B318" s="2" t="n"/>
      <c r="C318" s="43">
        <f>IF(Combine="Y", $G318, 0)</f>
        <v/>
      </c>
      <c r="D318" s="2" t="n"/>
      <c r="E318" s="4" t="n"/>
      <c r="F318" s="2" t="n"/>
      <c r="G318" s="43">
        <f>IF(G266=0,0,SUMPRODUCT($K266:$M266,$K318:$M318)/G266)</f>
        <v/>
      </c>
      <c r="H318" s="2" t="n"/>
      <c r="I318" s="4" t="n"/>
      <c r="J318" s="2" t="n"/>
      <c r="K318" s="44">
        <f>IF('RPT1'!$J318="","",'RPT1'!$J318)</f>
        <v/>
      </c>
      <c r="L318" s="44">
        <f>IF('RPT2'!$J318="","",'RPT2'!$J318)</f>
        <v/>
      </c>
      <c r="M318" s="44">
        <f>IF('RPT3'!$J318="","",'RPT3'!$J318)</f>
        <v/>
      </c>
    </row>
    <row r="319">
      <c r="A319" s="16" t="inlineStr">
        <is>
          <t>Base AWP / Rx - w/o Exclusions - Retail 30 - Generic - Base - Total</t>
        </is>
      </c>
      <c r="B319" s="2" t="n"/>
      <c r="C319" s="43">
        <f>IF(Combine="Y", $G319, 0)</f>
        <v/>
      </c>
      <c r="D319" s="2" t="n"/>
      <c r="E319" s="4" t="n"/>
      <c r="F319" s="2" t="n"/>
      <c r="G319" s="43">
        <f>IF(G267=0,0,SUMPRODUCT($K267:$M267,$K319:$M319)/G267)</f>
        <v/>
      </c>
      <c r="H319" s="2" t="n"/>
      <c r="I319" s="4" t="n"/>
      <c r="J319" s="2" t="n"/>
      <c r="K319" s="44">
        <f>IF('RPT1'!$J319="","",'RPT1'!$J319)</f>
        <v/>
      </c>
      <c r="L319" s="44">
        <f>IF('RPT2'!$J319="","",'RPT2'!$J319)</f>
        <v/>
      </c>
      <c r="M319" s="44">
        <f>IF('RPT3'!$J319="","",'RPT3'!$J319)</f>
        <v/>
      </c>
    </row>
    <row r="320">
      <c r="A320" s="16" t="inlineStr">
        <is>
          <t>Base AWP / Rx - w/o Exclusions - Retail 90 - Brand - Base - Total</t>
        </is>
      </c>
      <c r="B320" s="2" t="n"/>
      <c r="C320" s="43">
        <f>IF(Combine="Y", $G320, 0)</f>
        <v/>
      </c>
      <c r="D320" s="2" t="n"/>
      <c r="E320" s="4" t="n"/>
      <c r="F320" s="2" t="n"/>
      <c r="G320" s="43">
        <f>IF(G268=0,0,SUMPRODUCT($K268:$M268,$K320:$M320)/G268)</f>
        <v/>
      </c>
      <c r="H320" s="2" t="n"/>
      <c r="I320" s="4" t="n"/>
      <c r="J320" s="2" t="n"/>
      <c r="K320" s="44">
        <f>IF('RPT1'!$J320="","",'RPT1'!$J320)</f>
        <v/>
      </c>
      <c r="L320" s="44">
        <f>IF('RPT2'!$J320="","",'RPT2'!$J320)</f>
        <v/>
      </c>
      <c r="M320" s="44">
        <f>IF('RPT3'!$J320="","",'RPT3'!$J320)</f>
        <v/>
      </c>
    </row>
    <row r="321">
      <c r="A321" s="16" t="inlineStr">
        <is>
          <t>Base AWP / Rx - w/o Exclusions - Retail 90 - Generic - Base - Total</t>
        </is>
      </c>
      <c r="B321" s="2" t="n"/>
      <c r="C321" s="43">
        <f>IF(Combine="Y", $G321, 0)</f>
        <v/>
      </c>
      <c r="D321" s="2" t="n"/>
      <c r="E321" s="4" t="n"/>
      <c r="F321" s="2" t="n"/>
      <c r="G321" s="43">
        <f>IF(G269=0,0,SUMPRODUCT($K269:$M269,$K321:$M321)/G269)</f>
        <v/>
      </c>
      <c r="H321" s="2" t="n"/>
      <c r="I321" s="4" t="n"/>
      <c r="J321" s="2" t="n"/>
      <c r="K321" s="44">
        <f>IF('RPT1'!$J321="","",'RPT1'!$J321)</f>
        <v/>
      </c>
      <c r="L321" s="44">
        <f>IF('RPT2'!$J321="","",'RPT2'!$J321)</f>
        <v/>
      </c>
      <c r="M321" s="44">
        <f>IF('RPT3'!$J321="","",'RPT3'!$J321)</f>
        <v/>
      </c>
    </row>
    <row r="322">
      <c r="A322" s="16" t="inlineStr">
        <is>
          <t>Base AWP / Rx - w/o Exclusions - Specialty - Brand - Base - Total</t>
        </is>
      </c>
      <c r="B322" s="2" t="n"/>
      <c r="C322" s="43">
        <f>IF(Combine="Y", $G322, 0)</f>
        <v/>
      </c>
      <c r="D322" s="2" t="n"/>
      <c r="E322" s="4" t="n"/>
      <c r="F322" s="2" t="n"/>
      <c r="G322" s="43">
        <f>IF(G270=0,0,SUMPRODUCT($K270:$M270,$K322:$M322)/G270)</f>
        <v/>
      </c>
      <c r="H322" s="2" t="n"/>
      <c r="I322" s="4" t="n"/>
      <c r="J322" s="2" t="n"/>
      <c r="K322" s="44">
        <f>IF('RPT1'!$J322="","",'RPT1'!$J322)</f>
        <v/>
      </c>
      <c r="L322" s="44">
        <f>IF('RPT2'!$J322="","",'RPT2'!$J322)</f>
        <v/>
      </c>
      <c r="M322" s="44">
        <f>IF('RPT3'!$J322="","",'RPT3'!$J322)</f>
        <v/>
      </c>
    </row>
    <row r="323">
      <c r="A323" s="16" t="inlineStr">
        <is>
          <t>Base AWP / Rx - w/o Exclusions - Specialty - Generic - Base - Total</t>
        </is>
      </c>
      <c r="B323" s="2" t="n"/>
      <c r="C323" s="43">
        <f>IF(Combine="Y", $G323, 0)</f>
        <v/>
      </c>
      <c r="D323" s="2" t="n"/>
      <c r="E323" s="4" t="n"/>
      <c r="F323" s="2" t="n"/>
      <c r="G323" s="43">
        <f>IF(G271=0,0,SUMPRODUCT($K271:$M271,$K323:$M323)/G271)</f>
        <v/>
      </c>
      <c r="H323" s="2" t="n"/>
      <c r="I323" s="4" t="n"/>
      <c r="J323" s="2" t="n"/>
      <c r="K323" s="44">
        <f>IF('RPT1'!$J323="","",'RPT1'!$J323)</f>
        <v/>
      </c>
      <c r="L323" s="44">
        <f>IF('RPT2'!$J323="","",'RPT2'!$J323)</f>
        <v/>
      </c>
      <c r="M323" s="44">
        <f>IF('RPT3'!$J323="","",'RPT3'!$J323)</f>
        <v/>
      </c>
    </row>
    <row r="324">
      <c r="A324" s="31" t="n"/>
      <c r="B324" s="2" t="n"/>
      <c r="C324" s="14" t="n"/>
      <c r="D324" s="2" t="n"/>
      <c r="E324" s="4" t="n"/>
      <c r="F324" s="2" t="n"/>
      <c r="G324" s="14" t="n"/>
      <c r="H324" s="2" t="n"/>
      <c r="I324" s="4" t="n"/>
      <c r="J324" s="2" t="n"/>
      <c r="K324" s="32" t="n"/>
      <c r="L324" s="32" t="n"/>
      <c r="M324" s="32" t="n"/>
    </row>
    <row r="325">
      <c r="A325" s="12" t="inlineStr">
        <is>
          <t>Base AWP / Rx - w/ Exclusions</t>
        </is>
      </c>
      <c r="B325" s="2" t="n"/>
      <c r="C325" s="14" t="n"/>
      <c r="D325" s="2" t="n"/>
      <c r="E325" s="4" t="n"/>
      <c r="F325" s="2" t="n"/>
      <c r="G325" s="14" t="n"/>
      <c r="H325" s="2" t="n"/>
      <c r="I325" s="4" t="n"/>
      <c r="J325" s="2" t="n"/>
      <c r="K325" s="32">
        <f>IF('RPT1'!$J325="","",'RPT1'!$J325)</f>
        <v/>
      </c>
      <c r="L325" s="32">
        <f>IF('RPT2'!$J325="","",'RPT2'!$J325)</f>
        <v/>
      </c>
      <c r="M325" s="32">
        <f>IF('RPT3'!$J325="","",'RPT3'!$J325)</f>
        <v/>
      </c>
    </row>
    <row r="326">
      <c r="A326" s="16" t="inlineStr">
        <is>
          <t>Base AWP / Rx - w/ Exclusions - Mail - Brand - Base - Maintenance</t>
        </is>
      </c>
      <c r="B326" s="2" t="n"/>
      <c r="C326" s="43">
        <f>IF(Combine="Y", $G326, 0)</f>
        <v/>
      </c>
      <c r="D326" s="2" t="n"/>
      <c r="E326" s="4" t="n"/>
      <c r="F326" s="2" t="n"/>
      <c r="G326" s="43">
        <f>IF(G274=0,0,SUMPRODUCT($K274:$M274,$K326:$M326)/G274)</f>
        <v/>
      </c>
      <c r="H326" s="2" t="n"/>
      <c r="I326" s="4" t="n"/>
      <c r="J326" s="2" t="n"/>
      <c r="K326" s="44">
        <f>IF('RPT1'!$J326="","",'RPT1'!$J326)</f>
        <v/>
      </c>
      <c r="L326" s="44">
        <f>IF('RPT2'!$J326="","",'RPT2'!$J326)</f>
        <v/>
      </c>
      <c r="M326" s="44">
        <f>IF('RPT3'!$J326="","",'RPT3'!$J326)</f>
        <v/>
      </c>
    </row>
    <row r="327">
      <c r="A327" s="16" t="inlineStr">
        <is>
          <t>Base AWP / Rx - w/ Exclusions - Mail - Generic - Base - Maintenance</t>
        </is>
      </c>
      <c r="B327" s="2" t="n"/>
      <c r="C327" s="43">
        <f>IF(Combine="Y", $G327, 0)</f>
        <v/>
      </c>
      <c r="D327" s="2" t="n"/>
      <c r="E327" s="4" t="n"/>
      <c r="F327" s="2" t="n"/>
      <c r="G327" s="43">
        <f>IF(G275=0,0,SUMPRODUCT($K275:$M275,$K327:$M327)/G275)</f>
        <v/>
      </c>
      <c r="H327" s="2" t="n"/>
      <c r="I327" s="4" t="n"/>
      <c r="J327" s="2" t="n"/>
      <c r="K327" s="44">
        <f>IF('RPT1'!$J327="","",'RPT1'!$J327)</f>
        <v/>
      </c>
      <c r="L327" s="44">
        <f>IF('RPT2'!$J327="","",'RPT2'!$J327)</f>
        <v/>
      </c>
      <c r="M327" s="44">
        <f>IF('RPT3'!$J327="","",'RPT3'!$J327)</f>
        <v/>
      </c>
    </row>
    <row r="328">
      <c r="A328" s="16" t="inlineStr">
        <is>
          <t>Base AWP / Rx - w/ Exclusions - Retail 30 - Brand - Base - Maintenance</t>
        </is>
      </c>
      <c r="B328" s="2" t="n"/>
      <c r="C328" s="43">
        <f>IF(Combine="Y", $G328, 0)</f>
        <v/>
      </c>
      <c r="D328" s="2" t="n"/>
      <c r="E328" s="4" t="n"/>
      <c r="F328" s="2" t="n"/>
      <c r="G328" s="43">
        <f>IF(G276=0,0,SUMPRODUCT($K276:$M276,$K328:$M328)/G276)</f>
        <v/>
      </c>
      <c r="H328" s="2" t="n"/>
      <c r="I328" s="4" t="n"/>
      <c r="J328" s="2" t="n"/>
      <c r="K328" s="44">
        <f>IF('RPT1'!$J328="","",'RPT1'!$J328)</f>
        <v/>
      </c>
      <c r="L328" s="44">
        <f>IF('RPT2'!$J328="","",'RPT2'!$J328)</f>
        <v/>
      </c>
      <c r="M328" s="44">
        <f>IF('RPT3'!$J328="","",'RPT3'!$J328)</f>
        <v/>
      </c>
    </row>
    <row r="329">
      <c r="A329" s="16" t="inlineStr">
        <is>
          <t>Base AWP / Rx - w/ Exclusions - Retail 30 - Generic - Base - Maintenance</t>
        </is>
      </c>
      <c r="B329" s="2" t="n"/>
      <c r="C329" s="43">
        <f>IF(Combine="Y", $G329, 0)</f>
        <v/>
      </c>
      <c r="D329" s="2" t="n"/>
      <c r="E329" s="4" t="n"/>
      <c r="F329" s="2" t="n"/>
      <c r="G329" s="43">
        <f>IF(G277=0,0,SUMPRODUCT($K277:$M277,$K329:$M329)/G277)</f>
        <v/>
      </c>
      <c r="H329" s="2" t="n"/>
      <c r="I329" s="4" t="n"/>
      <c r="J329" s="2" t="n"/>
      <c r="K329" s="44">
        <f>IF('RPT1'!$J329="","",'RPT1'!$J329)</f>
        <v/>
      </c>
      <c r="L329" s="44">
        <f>IF('RPT2'!$J329="","",'RPT2'!$J329)</f>
        <v/>
      </c>
      <c r="M329" s="44">
        <f>IF('RPT3'!$J329="","",'RPT3'!$J329)</f>
        <v/>
      </c>
    </row>
    <row r="330">
      <c r="A330" s="16" t="inlineStr">
        <is>
          <t>Base AWP / Rx - w/ Exclusions - Retail 90 - Brand - Base - Maintenance</t>
        </is>
      </c>
      <c r="B330" s="2" t="n"/>
      <c r="C330" s="43">
        <f>IF(Combine="Y", $G330, 0)</f>
        <v/>
      </c>
      <c r="D330" s="2" t="n"/>
      <c r="E330" s="4" t="n"/>
      <c r="F330" s="2" t="n"/>
      <c r="G330" s="43">
        <f>IF(G278=0,0,SUMPRODUCT($K278:$M278,$K330:$M330)/G278)</f>
        <v/>
      </c>
      <c r="H330" s="2" t="n"/>
      <c r="I330" s="4" t="n"/>
      <c r="J330" s="2" t="n"/>
      <c r="K330" s="44">
        <f>IF('RPT1'!$J330="","",'RPT1'!$J330)</f>
        <v/>
      </c>
      <c r="L330" s="44">
        <f>IF('RPT2'!$J330="","",'RPT2'!$J330)</f>
        <v/>
      </c>
      <c r="M330" s="44">
        <f>IF('RPT3'!$J330="","",'RPT3'!$J330)</f>
        <v/>
      </c>
    </row>
    <row r="331">
      <c r="A331" s="16" t="inlineStr">
        <is>
          <t>Base AWP / Rx - w/ Exclusions - Retail 90 - Generic - Base - Maintenance</t>
        </is>
      </c>
      <c r="B331" s="2" t="n"/>
      <c r="C331" s="43">
        <f>IF(Combine="Y", $G331, 0)</f>
        <v/>
      </c>
      <c r="D331" s="2" t="n"/>
      <c r="E331" s="4" t="n"/>
      <c r="F331" s="2" t="n"/>
      <c r="G331" s="43">
        <f>IF(G279=0,0,SUMPRODUCT($K279:$M279,$K331:$M331)/G279)</f>
        <v/>
      </c>
      <c r="H331" s="2" t="n"/>
      <c r="I331" s="4" t="n"/>
      <c r="J331" s="2" t="n"/>
      <c r="K331" s="44">
        <f>IF('RPT1'!$J331="","",'RPT1'!$J331)</f>
        <v/>
      </c>
      <c r="L331" s="44">
        <f>IF('RPT2'!$J331="","",'RPT2'!$J331)</f>
        <v/>
      </c>
      <c r="M331" s="44">
        <f>IF('RPT3'!$J331="","",'RPT3'!$J331)</f>
        <v/>
      </c>
    </row>
    <row r="332">
      <c r="A332" s="16" t="inlineStr">
        <is>
          <t>Base AWP / Rx - w/ Exclusions - Specialty - Brand - Base - Maintenance</t>
        </is>
      </c>
      <c r="B332" s="2" t="n"/>
      <c r="C332" s="43">
        <f>IF(Combine="Y", $G332, 0)</f>
        <v/>
      </c>
      <c r="D332" s="2" t="n"/>
      <c r="E332" s="4" t="n"/>
      <c r="F332" s="2" t="n"/>
      <c r="G332" s="43">
        <f>IF(G280=0,0,SUMPRODUCT($K280:$M280,$K332:$M332)/G280)</f>
        <v/>
      </c>
      <c r="H332" s="2" t="n"/>
      <c r="I332" s="4" t="n"/>
      <c r="J332" s="2" t="n"/>
      <c r="K332" s="44">
        <f>IF('RPT1'!$J332="","",'RPT1'!$J332)</f>
        <v/>
      </c>
      <c r="L332" s="44">
        <f>IF('RPT2'!$J332="","",'RPT2'!$J332)</f>
        <v/>
      </c>
      <c r="M332" s="44">
        <f>IF('RPT3'!$J332="","",'RPT3'!$J332)</f>
        <v/>
      </c>
    </row>
    <row r="333">
      <c r="A333" s="16" t="inlineStr">
        <is>
          <t>Base AWP / Rx - w/ Exclusions - Specialty - Generic - Base - Maintenance</t>
        </is>
      </c>
      <c r="B333" s="2" t="n"/>
      <c r="C333" s="43">
        <f>IF(Combine="Y", $G333, 0)</f>
        <v/>
      </c>
      <c r="D333" s="2" t="n"/>
      <c r="E333" s="4" t="n"/>
      <c r="F333" s="2" t="n"/>
      <c r="G333" s="43">
        <f>IF(G281=0,0,SUMPRODUCT($K281:$M281,$K333:$M333)/G281)</f>
        <v/>
      </c>
      <c r="H333" s="2" t="n"/>
      <c r="I333" s="4" t="n"/>
      <c r="J333" s="2" t="n"/>
      <c r="K333" s="44">
        <f>IF('RPT1'!$J333="","",'RPT1'!$J333)</f>
        <v/>
      </c>
      <c r="L333" s="44">
        <f>IF('RPT2'!$J333="","",'RPT2'!$J333)</f>
        <v/>
      </c>
      <c r="M333" s="44">
        <f>IF('RPT3'!$J333="","",'RPT3'!$J333)</f>
        <v/>
      </c>
    </row>
    <row r="334">
      <c r="A334" s="16" t="inlineStr">
        <is>
          <t>Base AWP / Rx - w/ Exclusions - Mail - Brand - Base - Non-Maintenance</t>
        </is>
      </c>
      <c r="B334" s="2" t="n"/>
      <c r="C334" s="43">
        <f>IF(Combine="Y", $G334, 0)</f>
        <v/>
      </c>
      <c r="D334" s="2" t="n"/>
      <c r="E334" s="4" t="n"/>
      <c r="F334" s="2" t="n"/>
      <c r="G334" s="43">
        <f>IF(G282=0,0,SUMPRODUCT($K282:$M282,$K334:$M334)/G282)</f>
        <v/>
      </c>
      <c r="H334" s="2" t="n"/>
      <c r="I334" s="4" t="n"/>
      <c r="J334" s="2" t="n"/>
      <c r="K334" s="44">
        <f>IF('RPT1'!$J334="","",'RPT1'!$J334)</f>
        <v/>
      </c>
      <c r="L334" s="44">
        <f>IF('RPT2'!$J334="","",'RPT2'!$J334)</f>
        <v/>
      </c>
      <c r="M334" s="44">
        <f>IF('RPT3'!$J334="","",'RPT3'!$J334)</f>
        <v/>
      </c>
    </row>
    <row r="335">
      <c r="A335" s="16" t="inlineStr">
        <is>
          <t>Base AWP / Rx - w/ Exclusions - Mail - Generic - Base - Non-Maintenance</t>
        </is>
      </c>
      <c r="B335" s="2" t="n"/>
      <c r="C335" s="43">
        <f>IF(Combine="Y", $G335, 0)</f>
        <v/>
      </c>
      <c r="D335" s="2" t="n"/>
      <c r="E335" s="4" t="n"/>
      <c r="F335" s="2" t="n"/>
      <c r="G335" s="43">
        <f>IF(G283=0,0,SUMPRODUCT($K283:$M283,$K335:$M335)/G283)</f>
        <v/>
      </c>
      <c r="H335" s="2" t="n"/>
      <c r="I335" s="4" t="n"/>
      <c r="J335" s="2" t="n"/>
      <c r="K335" s="44">
        <f>IF('RPT1'!$J335="","",'RPT1'!$J335)</f>
        <v/>
      </c>
      <c r="L335" s="44">
        <f>IF('RPT2'!$J335="","",'RPT2'!$J335)</f>
        <v/>
      </c>
      <c r="M335" s="44">
        <f>IF('RPT3'!$J335="","",'RPT3'!$J335)</f>
        <v/>
      </c>
    </row>
    <row r="336">
      <c r="A336" s="16" t="inlineStr">
        <is>
          <t>Base AWP / Rx - w/ Exclusions - Retail 30 - Brand - Base - Non-Maintenance</t>
        </is>
      </c>
      <c r="B336" s="2" t="n"/>
      <c r="C336" s="43">
        <f>IF(Combine="Y", $G336, 0)</f>
        <v/>
      </c>
      <c r="D336" s="2" t="n"/>
      <c r="E336" s="4" t="n"/>
      <c r="F336" s="2" t="n"/>
      <c r="G336" s="43">
        <f>IF(G284=0,0,SUMPRODUCT($K284:$M284,$K336:$M336)/G284)</f>
        <v/>
      </c>
      <c r="H336" s="2" t="n"/>
      <c r="I336" s="4" t="n"/>
      <c r="J336" s="2" t="n"/>
      <c r="K336" s="44">
        <f>IF('RPT1'!$J336="","",'RPT1'!$J336)</f>
        <v/>
      </c>
      <c r="L336" s="44">
        <f>IF('RPT2'!$J336="","",'RPT2'!$J336)</f>
        <v/>
      </c>
      <c r="M336" s="44">
        <f>IF('RPT3'!$J336="","",'RPT3'!$J336)</f>
        <v/>
      </c>
    </row>
    <row r="337">
      <c r="A337" s="16" t="inlineStr">
        <is>
          <t>Base AWP / Rx - w/ Exclusions - Retail 30 - Generic - Base - Non-Maintenance</t>
        </is>
      </c>
      <c r="B337" s="2" t="n"/>
      <c r="C337" s="43">
        <f>IF(Combine="Y", $G337, 0)</f>
        <v/>
      </c>
      <c r="D337" s="2" t="n"/>
      <c r="E337" s="4" t="n"/>
      <c r="F337" s="2" t="n"/>
      <c r="G337" s="43">
        <f>IF(G285=0,0,SUMPRODUCT($K285:$M285,$K337:$M337)/G285)</f>
        <v/>
      </c>
      <c r="H337" s="2" t="n"/>
      <c r="I337" s="4" t="n"/>
      <c r="J337" s="2" t="n"/>
      <c r="K337" s="44">
        <f>IF('RPT1'!$J337="","",'RPT1'!$J337)</f>
        <v/>
      </c>
      <c r="L337" s="44">
        <f>IF('RPT2'!$J337="","",'RPT2'!$J337)</f>
        <v/>
      </c>
      <c r="M337" s="44">
        <f>IF('RPT3'!$J337="","",'RPT3'!$J337)</f>
        <v/>
      </c>
    </row>
    <row r="338">
      <c r="A338" s="16" t="inlineStr">
        <is>
          <t>Base AWP / Rx - w/ Exclusions - Retail 90 - Brand - Base - Non-Maintenance</t>
        </is>
      </c>
      <c r="B338" s="2" t="n"/>
      <c r="C338" s="43">
        <f>IF(Combine="Y", $G338, 0)</f>
        <v/>
      </c>
      <c r="D338" s="2" t="n"/>
      <c r="E338" s="4" t="n"/>
      <c r="F338" s="2" t="n"/>
      <c r="G338" s="43">
        <f>IF(G286=0,0,SUMPRODUCT($K286:$M286,$K338:$M338)/G286)</f>
        <v/>
      </c>
      <c r="H338" s="2" t="n"/>
      <c r="I338" s="4" t="n"/>
      <c r="J338" s="2" t="n"/>
      <c r="K338" s="44">
        <f>IF('RPT1'!$J338="","",'RPT1'!$J338)</f>
        <v/>
      </c>
      <c r="L338" s="44">
        <f>IF('RPT2'!$J338="","",'RPT2'!$J338)</f>
        <v/>
      </c>
      <c r="M338" s="44">
        <f>IF('RPT3'!$J338="","",'RPT3'!$J338)</f>
        <v/>
      </c>
    </row>
    <row r="339">
      <c r="A339" s="16" t="inlineStr">
        <is>
          <t>Base AWP / Rx - w/ Exclusions - Retail 90 - Generic - Base - Non-Maintenance</t>
        </is>
      </c>
      <c r="B339" s="2" t="n"/>
      <c r="C339" s="43">
        <f>IF(Combine="Y", $G339, 0)</f>
        <v/>
      </c>
      <c r="D339" s="2" t="n"/>
      <c r="E339" s="4" t="n"/>
      <c r="F339" s="2" t="n"/>
      <c r="G339" s="43">
        <f>IF(G287=0,0,SUMPRODUCT($K287:$M287,$K339:$M339)/G287)</f>
        <v/>
      </c>
      <c r="H339" s="2" t="n"/>
      <c r="I339" s="4" t="n"/>
      <c r="J339" s="2" t="n"/>
      <c r="K339" s="44">
        <f>IF('RPT1'!$J339="","",'RPT1'!$J339)</f>
        <v/>
      </c>
      <c r="L339" s="44">
        <f>IF('RPT2'!$J339="","",'RPT2'!$J339)</f>
        <v/>
      </c>
      <c r="M339" s="44">
        <f>IF('RPT3'!$J339="","",'RPT3'!$J339)</f>
        <v/>
      </c>
    </row>
    <row r="340">
      <c r="A340" s="16" t="inlineStr">
        <is>
          <t>Base AWP / Rx - w/ Exclusions - Specialty - Brand - Base - Non-Maintenance</t>
        </is>
      </c>
      <c r="B340" s="2" t="n"/>
      <c r="C340" s="43">
        <f>IF(Combine="Y", $G340, 0)</f>
        <v/>
      </c>
      <c r="D340" s="2" t="n"/>
      <c r="E340" s="4" t="n"/>
      <c r="F340" s="2" t="n"/>
      <c r="G340" s="43">
        <f>IF(G288=0,0,SUMPRODUCT($K288:$M288,$K340:$M340)/G288)</f>
        <v/>
      </c>
      <c r="H340" s="2" t="n"/>
      <c r="I340" s="4" t="n"/>
      <c r="J340" s="2" t="n"/>
      <c r="K340" s="44">
        <f>IF('RPT1'!$J340="","",'RPT1'!$J340)</f>
        <v/>
      </c>
      <c r="L340" s="44">
        <f>IF('RPT2'!$J340="","",'RPT2'!$J340)</f>
        <v/>
      </c>
      <c r="M340" s="44">
        <f>IF('RPT3'!$J340="","",'RPT3'!$J340)</f>
        <v/>
      </c>
    </row>
    <row r="341">
      <c r="A341" s="16" t="inlineStr">
        <is>
          <t>Base AWP / Rx - w/ Exclusions - Specialty - Generic - Base - Non-Maintenance</t>
        </is>
      </c>
      <c r="B341" s="2" t="n"/>
      <c r="C341" s="43">
        <f>IF(Combine="Y", $G341, 0)</f>
        <v/>
      </c>
      <c r="D341" s="2" t="n"/>
      <c r="E341" s="4" t="n"/>
      <c r="F341" s="2" t="n"/>
      <c r="G341" s="43">
        <f>IF(G289=0,0,SUMPRODUCT($K289:$M289,$K341:$M341)/G289)</f>
        <v/>
      </c>
      <c r="H341" s="2" t="n"/>
      <c r="I341" s="4" t="n"/>
      <c r="J341" s="2" t="n"/>
      <c r="K341" s="44">
        <f>IF('RPT1'!$J341="","",'RPT1'!$J341)</f>
        <v/>
      </c>
      <c r="L341" s="44">
        <f>IF('RPT2'!$J341="","",'RPT2'!$J341)</f>
        <v/>
      </c>
      <c r="M341" s="44">
        <f>IF('RPT3'!$J341="","",'RPT3'!$J341)</f>
        <v/>
      </c>
    </row>
    <row r="342">
      <c r="A342" s="16" t="inlineStr">
        <is>
          <t>Base AWP / Rx - w/ Exclusions - Mail - Brand - Base - Total</t>
        </is>
      </c>
      <c r="B342" s="2" t="n"/>
      <c r="C342" s="43">
        <f>IF(Combine="Y", $G342, 0)</f>
        <v/>
      </c>
      <c r="D342" s="2" t="n"/>
      <c r="E342" s="4" t="n"/>
      <c r="F342" s="2" t="n"/>
      <c r="G342" s="43">
        <f>IF(G290=0,0,SUMPRODUCT($K290:$M290,$K342:$M342)/G290)</f>
        <v/>
      </c>
      <c r="H342" s="2" t="n"/>
      <c r="I342" s="4" t="n"/>
      <c r="J342" s="2" t="n"/>
      <c r="K342" s="44">
        <f>IF('RPT1'!$J342="","",'RPT1'!$J342)</f>
        <v/>
      </c>
      <c r="L342" s="44">
        <f>IF('RPT2'!$J342="","",'RPT2'!$J342)</f>
        <v/>
      </c>
      <c r="M342" s="44">
        <f>IF('RPT3'!$J342="","",'RPT3'!$J342)</f>
        <v/>
      </c>
    </row>
    <row r="343">
      <c r="A343" s="16" t="inlineStr">
        <is>
          <t>Base AWP / Rx - w/ Exclusions - Mail - Generic - Base - Total</t>
        </is>
      </c>
      <c r="B343" s="2" t="n"/>
      <c r="C343" s="43">
        <f>IF(Combine="Y", $G343, 0)</f>
        <v/>
      </c>
      <c r="D343" s="2" t="n"/>
      <c r="E343" s="4" t="n"/>
      <c r="F343" s="2" t="n"/>
      <c r="G343" s="43">
        <f>IF(G291=0,0,SUMPRODUCT($K291:$M291,$K343:$M343)/G291)</f>
        <v/>
      </c>
      <c r="H343" s="2" t="n"/>
      <c r="I343" s="4" t="n"/>
      <c r="J343" s="2" t="n"/>
      <c r="K343" s="44">
        <f>IF('RPT1'!$J343="","",'RPT1'!$J343)</f>
        <v/>
      </c>
      <c r="L343" s="44">
        <f>IF('RPT2'!$J343="","",'RPT2'!$J343)</f>
        <v/>
      </c>
      <c r="M343" s="44">
        <f>IF('RPT3'!$J343="","",'RPT3'!$J343)</f>
        <v/>
      </c>
    </row>
    <row r="344">
      <c r="A344" s="16" t="inlineStr">
        <is>
          <t>Base AWP / Rx - w/ Exclusions - Retail 30 - Brand - Base - Total</t>
        </is>
      </c>
      <c r="B344" s="2" t="n"/>
      <c r="C344" s="43">
        <f>IF(Combine="Y", $G344, 0)</f>
        <v/>
      </c>
      <c r="D344" s="2" t="n"/>
      <c r="E344" s="4" t="n"/>
      <c r="F344" s="2" t="n"/>
      <c r="G344" s="43">
        <f>IF(G292=0,0,SUMPRODUCT($K292:$M292,$K344:$M344)/G292)</f>
        <v/>
      </c>
      <c r="H344" s="2" t="n"/>
      <c r="I344" s="4" t="n"/>
      <c r="J344" s="2" t="n"/>
      <c r="K344" s="44">
        <f>IF('RPT1'!$J344="","",'RPT1'!$J344)</f>
        <v/>
      </c>
      <c r="L344" s="44">
        <f>IF('RPT2'!$J344="","",'RPT2'!$J344)</f>
        <v/>
      </c>
      <c r="M344" s="44">
        <f>IF('RPT3'!$J344="","",'RPT3'!$J344)</f>
        <v/>
      </c>
    </row>
    <row r="345">
      <c r="A345" s="16" t="inlineStr">
        <is>
          <t>Base AWP / Rx - w/ Exclusions - Retail 30 - Generic - Base - Total</t>
        </is>
      </c>
      <c r="B345" s="2" t="n"/>
      <c r="C345" s="43">
        <f>IF(Combine="Y", $G345, 0)</f>
        <v/>
      </c>
      <c r="D345" s="2" t="n"/>
      <c r="E345" s="4" t="n"/>
      <c r="F345" s="2" t="n"/>
      <c r="G345" s="43">
        <f>IF(G293=0,0,SUMPRODUCT($K293:$M293,$K345:$M345)/G293)</f>
        <v/>
      </c>
      <c r="H345" s="2" t="n"/>
      <c r="I345" s="4" t="n"/>
      <c r="J345" s="2" t="n"/>
      <c r="K345" s="44">
        <f>IF('RPT1'!$J345="","",'RPT1'!$J345)</f>
        <v/>
      </c>
      <c r="L345" s="44">
        <f>IF('RPT2'!$J345="","",'RPT2'!$J345)</f>
        <v/>
      </c>
      <c r="M345" s="44">
        <f>IF('RPT3'!$J345="","",'RPT3'!$J345)</f>
        <v/>
      </c>
    </row>
    <row r="346">
      <c r="A346" s="16" t="inlineStr">
        <is>
          <t>Base AWP / Rx - w/ Exclusions - Retail 90 - Brand - Base - Total</t>
        </is>
      </c>
      <c r="B346" s="2" t="n"/>
      <c r="C346" s="43">
        <f>IF(Combine="Y", $G346, 0)</f>
        <v/>
      </c>
      <c r="D346" s="2" t="n"/>
      <c r="E346" s="4" t="n"/>
      <c r="F346" s="2" t="n"/>
      <c r="G346" s="43">
        <f>IF(G294=0,0,SUMPRODUCT($K294:$M294,$K346:$M346)/G294)</f>
        <v/>
      </c>
      <c r="H346" s="2" t="n"/>
      <c r="I346" s="4" t="n"/>
      <c r="J346" s="2" t="n"/>
      <c r="K346" s="44">
        <f>IF('RPT1'!$J346="","",'RPT1'!$J346)</f>
        <v/>
      </c>
      <c r="L346" s="44">
        <f>IF('RPT2'!$J346="","",'RPT2'!$J346)</f>
        <v/>
      </c>
      <c r="M346" s="44">
        <f>IF('RPT3'!$J346="","",'RPT3'!$J346)</f>
        <v/>
      </c>
    </row>
    <row r="347">
      <c r="A347" s="16" t="inlineStr">
        <is>
          <t>Base AWP / Rx - w/ Exclusions - Retail 90 - Generic - Base - Total</t>
        </is>
      </c>
      <c r="B347" s="2" t="n"/>
      <c r="C347" s="43">
        <f>IF(Combine="Y", $G347, 0)</f>
        <v/>
      </c>
      <c r="D347" s="2" t="n"/>
      <c r="E347" s="4" t="n"/>
      <c r="F347" s="2" t="n"/>
      <c r="G347" s="43">
        <f>IF(G295=0,0,SUMPRODUCT($K295:$M295,$K347:$M347)/G295)</f>
        <v/>
      </c>
      <c r="H347" s="2" t="n"/>
      <c r="I347" s="4" t="n"/>
      <c r="J347" s="2" t="n"/>
      <c r="K347" s="44">
        <f>IF('RPT1'!$J347="","",'RPT1'!$J347)</f>
        <v/>
      </c>
      <c r="L347" s="44">
        <f>IF('RPT2'!$J347="","",'RPT2'!$J347)</f>
        <v/>
      </c>
      <c r="M347" s="44">
        <f>IF('RPT3'!$J347="","",'RPT3'!$J347)</f>
        <v/>
      </c>
    </row>
    <row r="348">
      <c r="A348" s="16" t="inlineStr">
        <is>
          <t>Base AWP / Rx - w/ Exclusions - Specialty - Brand - Base - Total</t>
        </is>
      </c>
      <c r="B348" s="2" t="n"/>
      <c r="C348" s="43">
        <f>IF(Combine="Y", $G348, 0)</f>
        <v/>
      </c>
      <c r="D348" s="2" t="n"/>
      <c r="E348" s="4" t="n"/>
      <c r="F348" s="2" t="n"/>
      <c r="G348" s="43">
        <f>IF(G296=0,0,SUMPRODUCT($K296:$M296,$K348:$M348)/G296)</f>
        <v/>
      </c>
      <c r="H348" s="2" t="n"/>
      <c r="I348" s="4" t="n"/>
      <c r="J348" s="2" t="n"/>
      <c r="K348" s="44">
        <f>IF('RPT1'!$J348="","",'RPT1'!$J348)</f>
        <v/>
      </c>
      <c r="L348" s="44">
        <f>IF('RPT2'!$J348="","",'RPT2'!$J348)</f>
        <v/>
      </c>
      <c r="M348" s="44">
        <f>IF('RPT3'!$J348="","",'RPT3'!$J348)</f>
        <v/>
      </c>
    </row>
    <row r="349">
      <c r="A349" s="16" t="inlineStr">
        <is>
          <t>Base AWP / Rx - w/ Exclusions - Specialty - Generic - Base - Total</t>
        </is>
      </c>
      <c r="B349" s="2" t="n"/>
      <c r="C349" s="43">
        <f>IF(Combine="Y", $G349, 0)</f>
        <v/>
      </c>
      <c r="D349" s="2" t="n"/>
      <c r="E349" s="4" t="n"/>
      <c r="F349" s="2" t="n"/>
      <c r="G349" s="43">
        <f>IF(G297=0,0,SUMPRODUCT($K297:$M297,$K349:$M349)/G297)</f>
        <v/>
      </c>
      <c r="H349" s="2" t="n"/>
      <c r="I349" s="4" t="n"/>
      <c r="J349" s="2" t="n"/>
      <c r="K349" s="44">
        <f>IF('RPT1'!$J349="","",'RPT1'!$J349)</f>
        <v/>
      </c>
      <c r="L349" s="44">
        <f>IF('RPT2'!$J349="","",'RPT2'!$J349)</f>
        <v/>
      </c>
      <c r="M349" s="44">
        <f>IF('RPT3'!$J349="","",'RPT3'!$J349)</f>
        <v/>
      </c>
    </row>
    <row r="350">
      <c r="A350" s="31" t="n"/>
      <c r="B350" s="2" t="n"/>
      <c r="C350" s="14" t="n"/>
      <c r="D350" s="2" t="n"/>
      <c r="E350" s="4" t="n"/>
      <c r="F350" s="2" t="n"/>
      <c r="G350" s="14" t="n"/>
      <c r="H350" s="2" t="n"/>
      <c r="I350" s="4" t="n"/>
      <c r="J350" s="2" t="n"/>
      <c r="K350" s="32" t="n"/>
      <c r="L350" s="32" t="n"/>
      <c r="M350" s="32" t="n"/>
    </row>
    <row r="351">
      <c r="A351" s="12" t="inlineStr">
        <is>
          <t>Rebate Base</t>
        </is>
      </c>
      <c r="B351" s="2" t="n"/>
      <c r="C351" s="14" t="n"/>
      <c r="D351" s="2" t="n"/>
      <c r="E351" s="4" t="n"/>
      <c r="F351" s="2" t="n"/>
      <c r="G351" s="14" t="n"/>
      <c r="H351" s="2" t="n"/>
      <c r="I351" s="4" t="n"/>
      <c r="J351" s="2" t="n"/>
      <c r="K351" s="32">
        <f>IF('RPT1'!$J351="","",'RPT1'!$J351)</f>
        <v/>
      </c>
      <c r="L351" s="32">
        <f>IF('RPT2'!$J351="","",'RPT2'!$J351)</f>
        <v/>
      </c>
      <c r="M351" s="32">
        <f>IF('RPT3'!$J351="","",'RPT3'!$J351)</f>
        <v/>
      </c>
    </row>
    <row r="352">
      <c r="A352" s="16" t="inlineStr">
        <is>
          <t>Rebate Base - Mail - Year 1</t>
        </is>
      </c>
      <c r="B352" s="2" t="n"/>
      <c r="C352" s="43">
        <f>IF(Combine="Y", $G352, 0)</f>
        <v/>
      </c>
      <c r="D352" s="2" t="n"/>
      <c r="E352" s="4" t="n"/>
      <c r="F352" s="2" t="n"/>
      <c r="G352" s="43">
        <f>IF((G122+G548-G553)=0,0,SUM(IF($K352="",0,($K122+$K548-$K553)*$K352),IF($L352="",0,($L122+$L548-$L553)*$L352),IF($M352="",0,($M122+$M548-$M553)*$M352))/(G122+G548-G553))</f>
        <v/>
      </c>
      <c r="H352" s="2" t="n"/>
      <c r="I352" s="4" t="n"/>
      <c r="J352" s="2" t="n"/>
      <c r="K352" s="44">
        <f>IF('RPT1'!$J352="","",'RPT1'!$J352)</f>
        <v/>
      </c>
      <c r="L352" s="44">
        <f>IF('RPT2'!$J352="","",'RPT2'!$J352)</f>
        <v/>
      </c>
      <c r="M352" s="44">
        <f>IF('RPT3'!$J352="","",'RPT3'!$J352)</f>
        <v/>
      </c>
    </row>
    <row r="353">
      <c r="A353" s="16" t="inlineStr">
        <is>
          <t>Rebate Base - Mail - Year 2</t>
        </is>
      </c>
      <c r="B353" s="2" t="n"/>
      <c r="C353" s="43">
        <f>IF(Combine="Y", $G353, 0)</f>
        <v/>
      </c>
      <c r="D353" s="2" t="n"/>
      <c r="E353" s="4" t="n"/>
      <c r="F353" s="2" t="n"/>
      <c r="G353" s="43">
        <f>IF((G123+G549-G554)=0,0,SUM(IF($K353="",0,($K123+$K549-$K554)*$K353),IF($L353="",0,($L123+$L549-$L554)*$L353),IF($M353="",0,($M123+$M549-$M554)*$M353))/(G123+G549-G554))</f>
        <v/>
      </c>
      <c r="H353" s="2" t="n"/>
      <c r="I353" s="4" t="n"/>
      <c r="J353" s="2" t="n"/>
      <c r="K353" s="44">
        <f>IF('RPT1'!$J353="","",'RPT1'!$J353)</f>
        <v/>
      </c>
      <c r="L353" s="44">
        <f>IF('RPT2'!$J353="","",'RPT2'!$J353)</f>
        <v/>
      </c>
      <c r="M353" s="44">
        <f>IF('RPT3'!$J353="","",'RPT3'!$J353)</f>
        <v/>
      </c>
    </row>
    <row r="354">
      <c r="A354" s="16" t="inlineStr">
        <is>
          <t>Rebate Base - Mail - Year 3</t>
        </is>
      </c>
      <c r="B354" s="2" t="n"/>
      <c r="C354" s="43">
        <f>IF(Combine="Y", $G354, 0)</f>
        <v/>
      </c>
      <c r="D354" s="2" t="n"/>
      <c r="E354" s="4" t="n"/>
      <c r="F354" s="2" t="n"/>
      <c r="G354" s="43">
        <f>IF((G124+G550-G555)=0,0,SUM(IF($K354="",0,($K124+$K550-$K555)*$K354),IF($L354="",0,($L124+$L550-$L555)*$L354),IF($M354="",0,($M124+$M550-$M555)*$M354))/(G124+G550-G555))</f>
        <v/>
      </c>
      <c r="H354" s="2" t="n"/>
      <c r="I354" s="4" t="n"/>
      <c r="J354" s="2" t="n"/>
      <c r="K354" s="44">
        <f>IF('RPT1'!$J354="","",'RPT1'!$J354)</f>
        <v/>
      </c>
      <c r="L354" s="44">
        <f>IF('RPT2'!$J354="","",'RPT2'!$J354)</f>
        <v/>
      </c>
      <c r="M354" s="44">
        <f>IF('RPT3'!$J354="","",'RPT3'!$J354)</f>
        <v/>
      </c>
    </row>
    <row r="355">
      <c r="A355" s="16" t="inlineStr">
        <is>
          <t>Rebate Base - Mail - Year 4</t>
        </is>
      </c>
      <c r="B355" s="2" t="n"/>
      <c r="C355" s="43">
        <f>IF(Combine="Y", $G355, 0)</f>
        <v/>
      </c>
      <c r="D355" s="2" t="n"/>
      <c r="E355" s="4" t="n"/>
      <c r="F355" s="2" t="n"/>
      <c r="G355" s="43">
        <f>IF((G125+G551-G556)=0,0,SUM(IF($K355="",0,($K125+$K551-$K556)*$K355),IF($L355="",0,($L125+$L551-$L556)*$L355),IF($M355="",0,($M125+$M551-$M556)*$M355))/(G125+G551-G556))</f>
        <v/>
      </c>
      <c r="H355" s="2" t="n"/>
      <c r="I355" s="4" t="n"/>
      <c r="J355" s="2" t="n"/>
      <c r="K355" s="44">
        <f>IF('RPT1'!$J355="","",'RPT1'!$J355)</f>
        <v/>
      </c>
      <c r="L355" s="44">
        <f>IF('RPT2'!$J355="","",'RPT2'!$J355)</f>
        <v/>
      </c>
      <c r="M355" s="44">
        <f>IF('RPT3'!$J355="","",'RPT3'!$J355)</f>
        <v/>
      </c>
    </row>
    <row r="356">
      <c r="A356" s="16" t="inlineStr">
        <is>
          <t>Rebate Base - Mail - Year 5</t>
        </is>
      </c>
      <c r="B356" s="2" t="n"/>
      <c r="C356" s="43">
        <f>IF(Combine="Y", $G356, 0)</f>
        <v/>
      </c>
      <c r="D356" s="2" t="n"/>
      <c r="E356" s="4" t="n"/>
      <c r="F356" s="2" t="n"/>
      <c r="G356" s="43">
        <f>IF((G126+G552-G557)=0,0,SUM(IF($K356="",0,($K126+$K552-$K557)*$K356),IF($L356="",0,($L126+$L552-$L557)*$L356),IF($M356="",0,($M126+$M552-$M557)*$M356))/(G126+G552-G557))</f>
        <v/>
      </c>
      <c r="H356" s="2" t="n"/>
      <c r="I356" s="4" t="n"/>
      <c r="J356" s="2" t="n"/>
      <c r="K356" s="44">
        <f>IF('RPT1'!$J356="","",'RPT1'!$J356)</f>
        <v/>
      </c>
      <c r="L356" s="44">
        <f>IF('RPT2'!$J356="","",'RPT2'!$J356)</f>
        <v/>
      </c>
      <c r="M356" s="44">
        <f>IF('RPT3'!$J356="","",'RPT3'!$J356)</f>
        <v/>
      </c>
    </row>
    <row r="357">
      <c r="A357" s="16" t="inlineStr">
        <is>
          <t>Rebate Base - Retail 30 - Year 1</t>
        </is>
      </c>
      <c r="B357" s="2" t="n"/>
      <c r="C357" s="43">
        <f>IF(Combine="Y", $G357, 0)</f>
        <v/>
      </c>
      <c r="D357" s="2" t="n"/>
      <c r="E357" s="4" t="n"/>
      <c r="F357" s="2" t="n"/>
      <c r="G357" s="43">
        <f>IF((G132+G558-G563)=0,0,SUM(IF($K357="",0,($K132+$K558-$K563)*$K357),IF($L357="",0,($L132+$L558-$L563)*$L357),IF($M357="",0,($M132+$M558-$M563)*$M357))/(G132+G558-G563))</f>
        <v/>
      </c>
      <c r="H357" s="2" t="n"/>
      <c r="I357" s="4" t="n"/>
      <c r="J357" s="2" t="n"/>
      <c r="K357" s="44">
        <f>IF('RPT1'!$J357="","",'RPT1'!$J357)</f>
        <v/>
      </c>
      <c r="L357" s="44">
        <f>IF('RPT2'!$J357="","",'RPT2'!$J357)</f>
        <v/>
      </c>
      <c r="M357" s="44">
        <f>IF('RPT3'!$J357="","",'RPT3'!$J357)</f>
        <v/>
      </c>
    </row>
    <row r="358">
      <c r="A358" s="16" t="inlineStr">
        <is>
          <t>Rebate Base - Retail 30 - Year 2</t>
        </is>
      </c>
      <c r="B358" s="2" t="n"/>
      <c r="C358" s="43">
        <f>IF(Combine="Y", $G358, 0)</f>
        <v/>
      </c>
      <c r="D358" s="2" t="n"/>
      <c r="E358" s="4" t="n"/>
      <c r="F358" s="2" t="n"/>
      <c r="G358" s="43">
        <f>IF((G133+G559-G564)=0,0,SUM(IF($K358="",0,($K133+$K559-$K564)*$K358),IF($L358="",0,($L133+$L559-$L564)*$L358),IF($M358="",0,($M133+$M559-$M564)*$M358))/(G133+G559-G564))</f>
        <v/>
      </c>
      <c r="H358" s="2" t="n"/>
      <c r="I358" s="4" t="n"/>
      <c r="J358" s="2" t="n"/>
      <c r="K358" s="44">
        <f>IF('RPT1'!$J358="","",'RPT1'!$J358)</f>
        <v/>
      </c>
      <c r="L358" s="44">
        <f>IF('RPT2'!$J358="","",'RPT2'!$J358)</f>
        <v/>
      </c>
      <c r="M358" s="44">
        <f>IF('RPT3'!$J358="","",'RPT3'!$J358)</f>
        <v/>
      </c>
    </row>
    <row r="359">
      <c r="A359" s="16" t="inlineStr">
        <is>
          <t>Rebate Base - Retail 30 - Year 3</t>
        </is>
      </c>
      <c r="B359" s="2" t="n"/>
      <c r="C359" s="43">
        <f>IF(Combine="Y", $G359, 0)</f>
        <v/>
      </c>
      <c r="D359" s="2" t="n"/>
      <c r="E359" s="4" t="n"/>
      <c r="F359" s="2" t="n"/>
      <c r="G359" s="43">
        <f>IF((G134+G560-G565)=0,0,SUM(IF($K359="",0,($K134+$K560-$K565)*$K359),IF($L359="",0,($L134+$L560-$L565)*$L359),IF($M359="",0,($M134+$M560-$M565)*$M359))/(G134+G560-G565))</f>
        <v/>
      </c>
      <c r="H359" s="2" t="n"/>
      <c r="I359" s="4" t="n"/>
      <c r="J359" s="2" t="n"/>
      <c r="K359" s="44">
        <f>IF('RPT1'!$J359="","",'RPT1'!$J359)</f>
        <v/>
      </c>
      <c r="L359" s="44">
        <f>IF('RPT2'!$J359="","",'RPT2'!$J359)</f>
        <v/>
      </c>
      <c r="M359" s="44">
        <f>IF('RPT3'!$J359="","",'RPT3'!$J359)</f>
        <v/>
      </c>
    </row>
    <row r="360">
      <c r="A360" s="16" t="inlineStr">
        <is>
          <t>Rebate Base - Retail 30 - Year 4</t>
        </is>
      </c>
      <c r="B360" s="2" t="n"/>
      <c r="C360" s="43">
        <f>IF(Combine="Y", $G360, 0)</f>
        <v/>
      </c>
      <c r="D360" s="2" t="n"/>
      <c r="E360" s="4" t="n"/>
      <c r="F360" s="2" t="n"/>
      <c r="G360" s="43">
        <f>IF((G135+G561-G566)=0,0,SUM(IF($K360="",0,($K135+$K561-$K566)*$K360),IF($L360="",0,($L135+$L561-$L566)*$L360),IF($M360="",0,($M135+$M561-$M566)*$M360))/(G135+G561-G566))</f>
        <v/>
      </c>
      <c r="H360" s="2" t="n"/>
      <c r="I360" s="4" t="n"/>
      <c r="J360" s="2" t="n"/>
      <c r="K360" s="44">
        <f>IF('RPT1'!$J360="","",'RPT1'!$J360)</f>
        <v/>
      </c>
      <c r="L360" s="44">
        <f>IF('RPT2'!$J360="","",'RPT2'!$J360)</f>
        <v/>
      </c>
      <c r="M360" s="44">
        <f>IF('RPT3'!$J360="","",'RPT3'!$J360)</f>
        <v/>
      </c>
    </row>
    <row r="361">
      <c r="A361" s="16" t="inlineStr">
        <is>
          <t>Rebate Base - Retail 30 - Year 5</t>
        </is>
      </c>
      <c r="B361" s="2" t="n"/>
      <c r="C361" s="43">
        <f>IF(Combine="Y", $G361, 0)</f>
        <v/>
      </c>
      <c r="D361" s="2" t="n"/>
      <c r="E361" s="4" t="n"/>
      <c r="F361" s="2" t="n"/>
      <c r="G361" s="43">
        <f>IF((G136+G562-G567)=0,0,SUM(IF($K361="",0,($K136+$K562-$K567)*$K361),IF($L361="",0,($L136+$L562-$L567)*$L361),IF($M361="",0,($M136+$M562-$M567)*$M361))/(G136+G562-G567))</f>
        <v/>
      </c>
      <c r="H361" s="2" t="n"/>
      <c r="I361" s="4" t="n"/>
      <c r="J361" s="2" t="n"/>
      <c r="K361" s="44">
        <f>IF('RPT1'!$J361="","",'RPT1'!$J361)</f>
        <v/>
      </c>
      <c r="L361" s="44">
        <f>IF('RPT2'!$J361="","",'RPT2'!$J361)</f>
        <v/>
      </c>
      <c r="M361" s="44">
        <f>IF('RPT3'!$J361="","",'RPT3'!$J361)</f>
        <v/>
      </c>
    </row>
    <row r="362">
      <c r="A362" s="16" t="inlineStr">
        <is>
          <t>Rebate Base - Retail 90 - Year 1</t>
        </is>
      </c>
      <c r="B362" s="2" t="n"/>
      <c r="C362" s="43">
        <f>IF(Combine="Y", $G362, 0)</f>
        <v/>
      </c>
      <c r="D362" s="2" t="n"/>
      <c r="E362" s="4" t="n"/>
      <c r="F362" s="2" t="n"/>
      <c r="G362" s="43">
        <f>IF((G142+G568-G573)=0,0,SUM(IF($K362="",0,($K142+$K568-$K573)*$K362),IF($L362="",0,($L142+$L568-$L573)*$L362),IF($M362="",0,($M142+$M568-$M573)*$M362))/(G142+G568-G573))</f>
        <v/>
      </c>
      <c r="H362" s="2" t="n"/>
      <c r="I362" s="4" t="n"/>
      <c r="J362" s="2" t="n"/>
      <c r="K362" s="44">
        <f>IF('RPT1'!$J362="","",'RPT1'!$J362)</f>
        <v/>
      </c>
      <c r="L362" s="44">
        <f>IF('RPT2'!$J362="","",'RPT2'!$J362)</f>
        <v/>
      </c>
      <c r="M362" s="44">
        <f>IF('RPT3'!$J362="","",'RPT3'!$J362)</f>
        <v/>
      </c>
    </row>
    <row r="363">
      <c r="A363" s="16" t="inlineStr">
        <is>
          <t>Rebate Base - Retail 90 - Year 2</t>
        </is>
      </c>
      <c r="B363" s="2" t="n"/>
      <c r="C363" s="43">
        <f>IF(Combine="Y", $G363, 0)</f>
        <v/>
      </c>
      <c r="D363" s="2" t="n"/>
      <c r="E363" s="4" t="n"/>
      <c r="F363" s="2" t="n"/>
      <c r="G363" s="43">
        <f>IF((G143+G569-G574)=0,0,SUM(IF($K363="",0,($K143+$K569-$K574)*$K363),IF($L363="",0,($L143+$L569-$L574)*$L363),IF($M363="",0,($M143+$M569-$M574)*$M363))/(G143+G569-G574))</f>
        <v/>
      </c>
      <c r="H363" s="2" t="n"/>
      <c r="I363" s="4" t="n"/>
      <c r="J363" s="2" t="n"/>
      <c r="K363" s="44">
        <f>IF('RPT1'!$J363="","",'RPT1'!$J363)</f>
        <v/>
      </c>
      <c r="L363" s="44">
        <f>IF('RPT2'!$J363="","",'RPT2'!$J363)</f>
        <v/>
      </c>
      <c r="M363" s="44">
        <f>IF('RPT3'!$J363="","",'RPT3'!$J363)</f>
        <v/>
      </c>
    </row>
    <row r="364">
      <c r="A364" s="16" t="inlineStr">
        <is>
          <t>Rebate Base - Retail 90 - Year 3</t>
        </is>
      </c>
      <c r="B364" s="2" t="n"/>
      <c r="C364" s="43">
        <f>IF(Combine="Y", $G364, 0)</f>
        <v/>
      </c>
      <c r="D364" s="2" t="n"/>
      <c r="E364" s="4" t="n"/>
      <c r="F364" s="2" t="n"/>
      <c r="G364" s="43">
        <f>IF((G144+G570-G575)=0,0,SUM(IF($K364="",0,($K144+$K570-$K575)*$K364),IF($L364="",0,($L144+$L570-$L575)*$L364),IF($M364="",0,($M144+$M570-$M575)*$M364))/(G144+G570-G575))</f>
        <v/>
      </c>
      <c r="H364" s="2" t="n"/>
      <c r="I364" s="4" t="n"/>
      <c r="J364" s="2" t="n"/>
      <c r="K364" s="44">
        <f>IF('RPT1'!$J364="","",'RPT1'!$J364)</f>
        <v/>
      </c>
      <c r="L364" s="44">
        <f>IF('RPT2'!$J364="","",'RPT2'!$J364)</f>
        <v/>
      </c>
      <c r="M364" s="44">
        <f>IF('RPT3'!$J364="","",'RPT3'!$J364)</f>
        <v/>
      </c>
    </row>
    <row r="365">
      <c r="A365" s="16" t="inlineStr">
        <is>
          <t>Rebate Base - Retail 90 - Year 4</t>
        </is>
      </c>
      <c r="B365" s="2" t="n"/>
      <c r="C365" s="43">
        <f>IF(Combine="Y", $G365, 0)</f>
        <v/>
      </c>
      <c r="D365" s="2" t="n"/>
      <c r="E365" s="4" t="n"/>
      <c r="F365" s="2" t="n"/>
      <c r="G365" s="43">
        <f>IF((G145+G571-G576)=0,0,SUM(IF($K365="",0,($K145+$K571-$K576)*$K365),IF($L365="",0,($L145+$L571-$L576)*$L365),IF($M365="",0,($M145+$M571-$M576)*$M365))/(G145+G571-G576))</f>
        <v/>
      </c>
      <c r="H365" s="2" t="n"/>
      <c r="I365" s="4" t="n"/>
      <c r="J365" s="2" t="n"/>
      <c r="K365" s="44">
        <f>IF('RPT1'!$J365="","",'RPT1'!$J365)</f>
        <v/>
      </c>
      <c r="L365" s="44">
        <f>IF('RPT2'!$J365="","",'RPT2'!$J365)</f>
        <v/>
      </c>
      <c r="M365" s="44">
        <f>IF('RPT3'!$J365="","",'RPT3'!$J365)</f>
        <v/>
      </c>
    </row>
    <row r="366">
      <c r="A366" s="16" t="inlineStr">
        <is>
          <t>Rebate Base - Retail 90 - Year 5</t>
        </is>
      </c>
      <c r="B366" s="2" t="n"/>
      <c r="C366" s="43">
        <f>IF(Combine="Y", $G366, 0)</f>
        <v/>
      </c>
      <c r="D366" s="2" t="n"/>
      <c r="E366" s="4" t="n"/>
      <c r="F366" s="2" t="n"/>
      <c r="G366" s="43">
        <f>IF((G146+G572-G577)=0,0,SUM(IF($K366="",0,($K146+$K572-$K577)*$K366),IF($L366="",0,($L146+$L572-$L577)*$L366),IF($M366="",0,($M146+$M572-$M577)*$M366))/(G146+G572-G577))</f>
        <v/>
      </c>
      <c r="H366" s="2" t="n"/>
      <c r="I366" s="4" t="n"/>
      <c r="J366" s="2" t="n"/>
      <c r="K366" s="44">
        <f>IF('RPT1'!$J366="","",'RPT1'!$J366)</f>
        <v/>
      </c>
      <c r="L366" s="44">
        <f>IF('RPT2'!$J366="","",'RPT2'!$J366)</f>
        <v/>
      </c>
      <c r="M366" s="44">
        <f>IF('RPT3'!$J366="","",'RPT3'!$J366)</f>
        <v/>
      </c>
    </row>
    <row r="367">
      <c r="A367" s="16" t="inlineStr">
        <is>
          <t>Rebate Base - Specialty - Year 1</t>
        </is>
      </c>
      <c r="B367" s="2" t="n"/>
      <c r="C367" s="43">
        <f>IF(Combine="Y", $G367, 0)</f>
        <v/>
      </c>
      <c r="D367" s="2" t="n"/>
      <c r="E367" s="4" t="n"/>
      <c r="F367" s="2" t="n"/>
      <c r="G367" s="43">
        <f>IF((G152+G578-G583)=0,0,SUM(IF($K367="",0,($K152+$K578-$K583)*$K367),IF($L367="",0,($L152+$L578-$L583)*$L367),IF($M367="",0,($M152+$M578-$M583)*$M367))/(G152+G578-G583))</f>
        <v/>
      </c>
      <c r="H367" s="2" t="n"/>
      <c r="I367" s="4" t="n"/>
      <c r="J367" s="2" t="n"/>
      <c r="K367" s="44">
        <f>IF('RPT1'!$J367="","",'RPT1'!$J367)</f>
        <v/>
      </c>
      <c r="L367" s="44">
        <f>IF('RPT2'!$J367="","",'RPT2'!$J367)</f>
        <v/>
      </c>
      <c r="M367" s="44">
        <f>IF('RPT3'!$J367="","",'RPT3'!$J367)</f>
        <v/>
      </c>
    </row>
    <row r="368">
      <c r="A368" s="16" t="inlineStr">
        <is>
          <t>Rebate Base - Specialty - Year 2</t>
        </is>
      </c>
      <c r="B368" s="2" t="n"/>
      <c r="C368" s="43">
        <f>IF(Combine="Y", $G368, 0)</f>
        <v/>
      </c>
      <c r="D368" s="2" t="n"/>
      <c r="E368" s="4" t="n"/>
      <c r="F368" s="2" t="n"/>
      <c r="G368" s="43">
        <f>IF((G153+G579-G584)=0,0,SUM(IF($K368="",0,($K153+$K579-$K584)*$K368),IF($L368="",0,($L153+$L579-$L584)*$L368),IF($M368="",0,($M153+$M579-$M584)*$M368))/(G153+G579-G584))</f>
        <v/>
      </c>
      <c r="H368" s="2" t="n"/>
      <c r="I368" s="4" t="n"/>
      <c r="J368" s="2" t="n"/>
      <c r="K368" s="44">
        <f>IF('RPT1'!$J368="","",'RPT1'!$J368)</f>
        <v/>
      </c>
      <c r="L368" s="44">
        <f>IF('RPT2'!$J368="","",'RPT2'!$J368)</f>
        <v/>
      </c>
      <c r="M368" s="44">
        <f>IF('RPT3'!$J368="","",'RPT3'!$J368)</f>
        <v/>
      </c>
    </row>
    <row r="369">
      <c r="A369" s="16" t="inlineStr">
        <is>
          <t>Rebate Base - Specialty - Year 3</t>
        </is>
      </c>
      <c r="B369" s="2" t="n"/>
      <c r="C369" s="43">
        <f>IF(Combine="Y", $G369, 0)</f>
        <v/>
      </c>
      <c r="D369" s="2" t="n"/>
      <c r="E369" s="4" t="n"/>
      <c r="F369" s="2" t="n"/>
      <c r="G369" s="43">
        <f>IF((G154+G580-G585)=0,0,SUM(IF($K369="",0,($K154+$K580-$K585)*$K369),IF($L369="",0,($L154+$L580-$L585)*$L369),IF($M369="",0,($M154+$M580-$M585)*$M369))/(G154+G580-G585))</f>
        <v/>
      </c>
      <c r="H369" s="2" t="n"/>
      <c r="I369" s="4" t="n"/>
      <c r="J369" s="2" t="n"/>
      <c r="K369" s="44">
        <f>IF('RPT1'!$J369="","",'RPT1'!$J369)</f>
        <v/>
      </c>
      <c r="L369" s="44">
        <f>IF('RPT2'!$J369="","",'RPT2'!$J369)</f>
        <v/>
      </c>
      <c r="M369" s="44">
        <f>IF('RPT3'!$J369="","",'RPT3'!$J369)</f>
        <v/>
      </c>
    </row>
    <row r="370">
      <c r="A370" s="16" t="inlineStr">
        <is>
          <t>Rebate Base - Specialty - Year 4</t>
        </is>
      </c>
      <c r="B370" s="2" t="n"/>
      <c r="C370" s="43">
        <f>IF(Combine="Y", $G370, 0)</f>
        <v/>
      </c>
      <c r="D370" s="2" t="n"/>
      <c r="E370" s="4" t="n"/>
      <c r="F370" s="2" t="n"/>
      <c r="G370" s="43">
        <f>IF((G155+G581-G586)=0,0,SUM(IF($K370="",0,($K155+$K581-$K586)*$K370),IF($L370="",0,($L155+$L581-$L586)*$L370),IF($M370="",0,($M155+$M581-$M586)*$M370))/(G155+G581-G586))</f>
        <v/>
      </c>
      <c r="H370" s="2" t="n"/>
      <c r="I370" s="4" t="n"/>
      <c r="J370" s="2" t="n"/>
      <c r="K370" s="44">
        <f>IF('RPT1'!$J370="","",'RPT1'!$J370)</f>
        <v/>
      </c>
      <c r="L370" s="44">
        <f>IF('RPT2'!$J370="","",'RPT2'!$J370)</f>
        <v/>
      </c>
      <c r="M370" s="44">
        <f>IF('RPT3'!$J370="","",'RPT3'!$J370)</f>
        <v/>
      </c>
    </row>
    <row r="371">
      <c r="A371" s="16" t="inlineStr">
        <is>
          <t>Rebate Base - Specialty - Year 5</t>
        </is>
      </c>
      <c r="B371" s="2" t="n"/>
      <c r="C371" s="43">
        <f>IF(Combine="Y", $G371, 0)</f>
        <v/>
      </c>
      <c r="D371" s="2" t="n"/>
      <c r="E371" s="4" t="n"/>
      <c r="F371" s="2" t="n"/>
      <c r="G371" s="43">
        <f>IF((G156+G582-G587)=0,0,SUM(IF($K371="",0,($K156+$K582-$K587)*$K371),IF($L371="",0,($L156+$L582-$L587)*$L371),IF($M371="",0,($M156+$M582-$M587)*$M371))/(G156+G582-G587))</f>
        <v/>
      </c>
      <c r="H371" s="2" t="n"/>
      <c r="I371" s="4" t="n"/>
      <c r="J371" s="2" t="n"/>
      <c r="K371" s="44">
        <f>IF('RPT1'!$J371="","",'RPT1'!$J371)</f>
        <v/>
      </c>
      <c r="L371" s="44">
        <f>IF('RPT2'!$J371="","",'RPT2'!$J371)</f>
        <v/>
      </c>
      <c r="M371" s="44">
        <f>IF('RPT3'!$J371="","",'RPT3'!$J371)</f>
        <v/>
      </c>
    </row>
    <row r="372">
      <c r="A372" s="31" t="n"/>
      <c r="B372" s="2" t="n"/>
      <c r="C372" s="14" t="n"/>
      <c r="D372" s="2" t="n"/>
      <c r="E372" s="4" t="n"/>
      <c r="F372" s="2" t="n"/>
      <c r="G372" s="14" t="n"/>
      <c r="H372" s="2" t="n"/>
      <c r="I372" s="4" t="n"/>
      <c r="J372" s="2" t="n"/>
      <c r="K372" s="32" t="n"/>
      <c r="L372" s="32" t="n"/>
      <c r="M372" s="32" t="n"/>
    </row>
    <row r="373">
      <c r="A373" s="12" t="inlineStr">
        <is>
          <t>Rebate MAF</t>
        </is>
      </c>
      <c r="B373" s="2" t="n"/>
      <c r="C373" s="14" t="n"/>
      <c r="D373" s="2" t="n"/>
      <c r="E373" s="4" t="n"/>
      <c r="F373" s="2" t="n"/>
      <c r="G373" s="14" t="n"/>
      <c r="H373" s="2" t="n"/>
      <c r="I373" s="4" t="n"/>
      <c r="J373" s="2" t="n"/>
      <c r="K373" s="32">
        <f>IF('RPT1'!$J373="","",'RPT1'!$J373)</f>
        <v/>
      </c>
      <c r="L373" s="32">
        <f>IF('RPT2'!$J373="","",'RPT2'!$J373)</f>
        <v/>
      </c>
      <c r="M373" s="32">
        <f>IF('RPT3'!$J373="","",'RPT3'!$J373)</f>
        <v/>
      </c>
    </row>
    <row r="374">
      <c r="A374" s="16" t="inlineStr">
        <is>
          <t>Rebate MAF - Mail - Year 1</t>
        </is>
      </c>
      <c r="B374" s="2" t="n"/>
      <c r="C374" s="43">
        <f>IF(Combine="Y", $G374, 0)</f>
        <v/>
      </c>
      <c r="D374" s="2" t="n"/>
      <c r="E374" s="4" t="n"/>
      <c r="F374" s="2" t="n"/>
      <c r="G374" s="43">
        <f>IF((G122+G548-G553)=0,0,SUM(IF($K374="",0,($K122+$K548-$K553)*$K374),IF($L374="",0,($L122+$L548-$L553)*$L374),IF($M374="",0,($M122+$M548-$M553)*$M374))/(G122+G548-G553))</f>
        <v/>
      </c>
      <c r="H374" s="2" t="n"/>
      <c r="I374" s="4" t="n"/>
      <c r="J374" s="2" t="n"/>
      <c r="K374" s="44">
        <f>IF('RPT1'!$J374="","",'RPT1'!$J374)</f>
        <v/>
      </c>
      <c r="L374" s="44">
        <f>IF('RPT2'!$J374="","",'RPT2'!$J374)</f>
        <v/>
      </c>
      <c r="M374" s="44">
        <f>IF('RPT3'!$J374="","",'RPT3'!$J374)</f>
        <v/>
      </c>
    </row>
    <row r="375">
      <c r="A375" s="16" t="inlineStr">
        <is>
          <t>Rebate MAF - Mail - Year 2</t>
        </is>
      </c>
      <c r="B375" s="2" t="n"/>
      <c r="C375" s="43">
        <f>IF(Combine="Y", $G375, 0)</f>
        <v/>
      </c>
      <c r="D375" s="2" t="n"/>
      <c r="E375" s="4" t="n"/>
      <c r="F375" s="2" t="n"/>
      <c r="G375" s="43">
        <f>IF((G123+G549-G554)=0,0,SUM(IF($K375="",0,($K123+$K549-$K554)*$K375),IF($L375="",0,($L123+$L549-$L554)*$L375),IF($M375="",0,($M123+$M549-$M554)*$M375))/(G123+G549-G554))</f>
        <v/>
      </c>
      <c r="H375" s="2" t="n"/>
      <c r="I375" s="4" t="n"/>
      <c r="J375" s="2" t="n"/>
      <c r="K375" s="44">
        <f>IF('RPT1'!$J375="","",'RPT1'!$J375)</f>
        <v/>
      </c>
      <c r="L375" s="44">
        <f>IF('RPT2'!$J375="","",'RPT2'!$J375)</f>
        <v/>
      </c>
      <c r="M375" s="44">
        <f>IF('RPT3'!$J375="","",'RPT3'!$J375)</f>
        <v/>
      </c>
    </row>
    <row r="376">
      <c r="A376" s="16" t="inlineStr">
        <is>
          <t>Rebate MAF - Mail - Year 3</t>
        </is>
      </c>
      <c r="B376" s="2" t="n"/>
      <c r="C376" s="43">
        <f>IF(Combine="Y", $G376, 0)</f>
        <v/>
      </c>
      <c r="D376" s="2" t="n"/>
      <c r="E376" s="4" t="n"/>
      <c r="F376" s="2" t="n"/>
      <c r="G376" s="43">
        <f>IF((G124+G550-G555)=0,0,SUM(IF($K376="",0,($K124+$K550-$K555)*$K376),IF($L376="",0,($L124+$L550-$L555)*$L376),IF($M376="",0,($M124+$M550-$M555)*$M376))/(G124+G550-G555))</f>
        <v/>
      </c>
      <c r="H376" s="2" t="n"/>
      <c r="I376" s="4" t="n"/>
      <c r="J376" s="2" t="n"/>
      <c r="K376" s="44">
        <f>IF('RPT1'!$J376="","",'RPT1'!$J376)</f>
        <v/>
      </c>
      <c r="L376" s="44">
        <f>IF('RPT2'!$J376="","",'RPT2'!$J376)</f>
        <v/>
      </c>
      <c r="M376" s="44">
        <f>IF('RPT3'!$J376="","",'RPT3'!$J376)</f>
        <v/>
      </c>
    </row>
    <row r="377">
      <c r="A377" s="16" t="inlineStr">
        <is>
          <t>Rebate MAF - Mail - Year 4</t>
        </is>
      </c>
      <c r="B377" s="2" t="n"/>
      <c r="C377" s="43">
        <f>IF(Combine="Y", $G377, 0)</f>
        <v/>
      </c>
      <c r="D377" s="2" t="n"/>
      <c r="E377" s="4" t="n"/>
      <c r="F377" s="2" t="n"/>
      <c r="G377" s="43">
        <f>IF((G125+G551-G556)=0,0,SUM(IF($K377="",0,($K125+$K551-$K556)*$K377),IF($L377="",0,($L125+$L551-$L556)*$L377),IF($M377="",0,($M125+$M551-$M556)*$M377))/(G125+G551-G556))</f>
        <v/>
      </c>
      <c r="H377" s="2" t="n"/>
      <c r="I377" s="4" t="n"/>
      <c r="J377" s="2" t="n"/>
      <c r="K377" s="44">
        <f>IF('RPT1'!$J377="","",'RPT1'!$J377)</f>
        <v/>
      </c>
      <c r="L377" s="44">
        <f>IF('RPT2'!$J377="","",'RPT2'!$J377)</f>
        <v/>
      </c>
      <c r="M377" s="44">
        <f>IF('RPT3'!$J377="","",'RPT3'!$J377)</f>
        <v/>
      </c>
    </row>
    <row r="378">
      <c r="A378" s="16" t="inlineStr">
        <is>
          <t>Rebate MAF - Mail - Year 5</t>
        </is>
      </c>
      <c r="B378" s="2" t="n"/>
      <c r="C378" s="43">
        <f>IF(Combine="Y", $G378, 0)</f>
        <v/>
      </c>
      <c r="D378" s="2" t="n"/>
      <c r="E378" s="4" t="n"/>
      <c r="F378" s="2" t="n"/>
      <c r="G378" s="43">
        <f>IF((G126+G552-G557)=0,0,SUM(IF($K378="",0,($K126+$K552-$K557)*$K378),IF($L378="",0,($L126+$L552-$L557)*$L378),IF($M378="",0,($M126+$M552-$M557)*$M378))/(G126+G552-G557))</f>
        <v/>
      </c>
      <c r="H378" s="2" t="n"/>
      <c r="I378" s="4" t="n"/>
      <c r="J378" s="2" t="n"/>
      <c r="K378" s="44">
        <f>IF('RPT1'!$J378="","",'RPT1'!$J378)</f>
        <v/>
      </c>
      <c r="L378" s="44">
        <f>IF('RPT2'!$J378="","",'RPT2'!$J378)</f>
        <v/>
      </c>
      <c r="M378" s="44">
        <f>IF('RPT3'!$J378="","",'RPT3'!$J378)</f>
        <v/>
      </c>
    </row>
    <row r="379">
      <c r="A379" s="16" t="inlineStr">
        <is>
          <t>Rebate MAF - Retail 30 - Year 1</t>
        </is>
      </c>
      <c r="B379" s="2" t="n"/>
      <c r="C379" s="43">
        <f>IF(Combine="Y", $G379, 0)</f>
        <v/>
      </c>
      <c r="D379" s="2" t="n"/>
      <c r="E379" s="4" t="n"/>
      <c r="F379" s="2" t="n"/>
      <c r="G379" s="43">
        <f>IF((G132+G558-G563)=0,0,SUM(IF($K379="",0,($K132+$K558-$K563)*$K379),IF($L379="",0,($L132+$L558-$L563)*$L379),IF($M379="",0,($M132+$M558-$M563)*$M379))/(G132+G558-G563))</f>
        <v/>
      </c>
      <c r="H379" s="2" t="n"/>
      <c r="I379" s="4" t="n"/>
      <c r="J379" s="2" t="n"/>
      <c r="K379" s="44">
        <f>IF('RPT1'!$J379="","",'RPT1'!$J379)</f>
        <v/>
      </c>
      <c r="L379" s="44">
        <f>IF('RPT2'!$J379="","",'RPT2'!$J379)</f>
        <v/>
      </c>
      <c r="M379" s="44">
        <f>IF('RPT3'!$J379="","",'RPT3'!$J379)</f>
        <v/>
      </c>
    </row>
    <row r="380">
      <c r="A380" s="16" t="inlineStr">
        <is>
          <t>Rebate MAF - Retail 30 - Year 2</t>
        </is>
      </c>
      <c r="B380" s="2" t="n"/>
      <c r="C380" s="43">
        <f>IF(Combine="Y", $G380, 0)</f>
        <v/>
      </c>
      <c r="D380" s="2" t="n"/>
      <c r="E380" s="4" t="n"/>
      <c r="F380" s="2" t="n"/>
      <c r="G380" s="43">
        <f>IF((G133+G559-G564)=0,0,SUM(IF($K380="",0,($K133+$K559-$K564)*$K380),IF($L380="",0,($L133+$L559-$L564)*$L380),IF($M380="",0,($M133+$M559-$M564)*$M380))/(G133+G559-G564))</f>
        <v/>
      </c>
      <c r="H380" s="2" t="n"/>
      <c r="I380" s="4" t="n"/>
      <c r="J380" s="2" t="n"/>
      <c r="K380" s="44">
        <f>IF('RPT1'!$J380="","",'RPT1'!$J380)</f>
        <v/>
      </c>
      <c r="L380" s="44">
        <f>IF('RPT2'!$J380="","",'RPT2'!$J380)</f>
        <v/>
      </c>
      <c r="M380" s="44">
        <f>IF('RPT3'!$J380="","",'RPT3'!$J380)</f>
        <v/>
      </c>
    </row>
    <row r="381">
      <c r="A381" s="16" t="inlineStr">
        <is>
          <t>Rebate MAF - Retail 30 - Year 3</t>
        </is>
      </c>
      <c r="B381" s="2" t="n"/>
      <c r="C381" s="43">
        <f>IF(Combine="Y", $G381, 0)</f>
        <v/>
      </c>
      <c r="D381" s="2" t="n"/>
      <c r="E381" s="4" t="n"/>
      <c r="F381" s="2" t="n"/>
      <c r="G381" s="43">
        <f>IF((G134+G560-G565)=0,0,SUM(IF($K381="",0,($K134+$K560-$K565)*$K381),IF($L381="",0,($L134+$L560-$L565)*$L381),IF($M381="",0,($M134+$M560-$M565)*$M381))/(G134+G560-G565))</f>
        <v/>
      </c>
      <c r="H381" s="2" t="n"/>
      <c r="I381" s="4" t="n"/>
      <c r="J381" s="2" t="n"/>
      <c r="K381" s="44">
        <f>IF('RPT1'!$J381="","",'RPT1'!$J381)</f>
        <v/>
      </c>
      <c r="L381" s="44">
        <f>IF('RPT2'!$J381="","",'RPT2'!$J381)</f>
        <v/>
      </c>
      <c r="M381" s="44">
        <f>IF('RPT3'!$J381="","",'RPT3'!$J381)</f>
        <v/>
      </c>
    </row>
    <row r="382">
      <c r="A382" s="16" t="inlineStr">
        <is>
          <t>Rebate MAF - Retail 30 - Year 4</t>
        </is>
      </c>
      <c r="B382" s="2" t="n"/>
      <c r="C382" s="43">
        <f>IF(Combine="Y", $G382, 0)</f>
        <v/>
      </c>
      <c r="D382" s="2" t="n"/>
      <c r="E382" s="4" t="n"/>
      <c r="F382" s="2" t="n"/>
      <c r="G382" s="43">
        <f>IF((G135+G561-G566)=0,0,SUM(IF($K382="",0,($K135+$K561-$K566)*$K382),IF($L382="",0,($L135+$L561-$L566)*$L382),IF($M382="",0,($M135+$M561-$M566)*$M382))/(G135+G561-G566))</f>
        <v/>
      </c>
      <c r="H382" s="2" t="n"/>
      <c r="I382" s="4" t="n"/>
      <c r="J382" s="2" t="n"/>
      <c r="K382" s="44">
        <f>IF('RPT1'!$J382="","",'RPT1'!$J382)</f>
        <v/>
      </c>
      <c r="L382" s="44">
        <f>IF('RPT2'!$J382="","",'RPT2'!$J382)</f>
        <v/>
      </c>
      <c r="M382" s="44">
        <f>IF('RPT3'!$J382="","",'RPT3'!$J382)</f>
        <v/>
      </c>
    </row>
    <row r="383">
      <c r="A383" s="16" t="inlineStr">
        <is>
          <t>Rebate MAF - Retail 30 - Year 5</t>
        </is>
      </c>
      <c r="B383" s="2" t="n"/>
      <c r="C383" s="43">
        <f>IF(Combine="Y", $G383, 0)</f>
        <v/>
      </c>
      <c r="D383" s="2" t="n"/>
      <c r="E383" s="4" t="n"/>
      <c r="F383" s="2" t="n"/>
      <c r="G383" s="43">
        <f>IF((G136+G562-G567)=0,0,SUM(IF($K383="",0,($K136+$K562-$K567)*$K383),IF($L383="",0,($L136+$L562-$L567)*$L383),IF($M383="",0,($M136+$M562-$M567)*$M383))/(G136+G562-G567))</f>
        <v/>
      </c>
      <c r="H383" s="2" t="n"/>
      <c r="I383" s="4" t="n"/>
      <c r="J383" s="2" t="n"/>
      <c r="K383" s="44">
        <f>IF('RPT1'!$J383="","",'RPT1'!$J383)</f>
        <v/>
      </c>
      <c r="L383" s="44">
        <f>IF('RPT2'!$J383="","",'RPT2'!$J383)</f>
        <v/>
      </c>
      <c r="M383" s="44">
        <f>IF('RPT3'!$J383="","",'RPT3'!$J383)</f>
        <v/>
      </c>
    </row>
    <row r="384">
      <c r="A384" s="16" t="inlineStr">
        <is>
          <t>Rebate MAF - Retail 90 - Year 1</t>
        </is>
      </c>
      <c r="B384" s="2" t="n"/>
      <c r="C384" s="43">
        <f>IF(Combine="Y", $G384, 0)</f>
        <v/>
      </c>
      <c r="D384" s="2" t="n"/>
      <c r="E384" s="4" t="n"/>
      <c r="F384" s="2" t="n"/>
      <c r="G384" s="43">
        <f>IF((G142+G568-G573)=0,0,SUM(IF($K384="",0,($K142+$K568-$K573)*$K384),IF($L384="",0,($L142+$L568-$L573)*$L384),IF($M384="",0,($M142+$M568-$M573)*$M384))/(G142+G568-G573))</f>
        <v/>
      </c>
      <c r="H384" s="2" t="n"/>
      <c r="I384" s="4" t="n"/>
      <c r="J384" s="2" t="n"/>
      <c r="K384" s="44">
        <f>IF('RPT1'!$J384="","",'RPT1'!$J384)</f>
        <v/>
      </c>
      <c r="L384" s="44">
        <f>IF('RPT2'!$J384="","",'RPT2'!$J384)</f>
        <v/>
      </c>
      <c r="M384" s="44">
        <f>IF('RPT3'!$J384="","",'RPT3'!$J384)</f>
        <v/>
      </c>
    </row>
    <row r="385">
      <c r="A385" s="16" t="inlineStr">
        <is>
          <t>Rebate MAF - Retail 90 - Year 2</t>
        </is>
      </c>
      <c r="B385" s="2" t="n"/>
      <c r="C385" s="43">
        <f>IF(Combine="Y", $G385, 0)</f>
        <v/>
      </c>
      <c r="D385" s="2" t="n"/>
      <c r="E385" s="4" t="n"/>
      <c r="F385" s="2" t="n"/>
      <c r="G385" s="43">
        <f>IF((G143+G569-G574)=0,0,SUM(IF($K385="",0,($K143+$K569-$K574)*$K385),IF($L385="",0,($L143+$L569-$L574)*$L385),IF($M385="",0,($M143+$M569-$M574)*$M385))/(G143+G569-G574))</f>
        <v/>
      </c>
      <c r="H385" s="2" t="n"/>
      <c r="I385" s="4" t="n"/>
      <c r="J385" s="2" t="n"/>
      <c r="K385" s="44">
        <f>IF('RPT1'!$J385="","",'RPT1'!$J385)</f>
        <v/>
      </c>
      <c r="L385" s="44">
        <f>IF('RPT2'!$J385="","",'RPT2'!$J385)</f>
        <v/>
      </c>
      <c r="M385" s="44">
        <f>IF('RPT3'!$J385="","",'RPT3'!$J385)</f>
        <v/>
      </c>
    </row>
    <row r="386">
      <c r="A386" s="16" t="inlineStr">
        <is>
          <t>Rebate MAF - Retail 90 - Year 3</t>
        </is>
      </c>
      <c r="B386" s="2" t="n"/>
      <c r="C386" s="43">
        <f>IF(Combine="Y", $G386, 0)</f>
        <v/>
      </c>
      <c r="D386" s="2" t="n"/>
      <c r="E386" s="4" t="n"/>
      <c r="F386" s="2" t="n"/>
      <c r="G386" s="43">
        <f>IF((G144+G570-G575)=0,0,SUM(IF($K386="",0,($K144+$K570-$K575)*$K386),IF($L386="",0,($L144+$L570-$L575)*$L386),IF($M386="",0,($M144+$M570-$M575)*$M386))/(G144+G570-G575))</f>
        <v/>
      </c>
      <c r="H386" s="2" t="n"/>
      <c r="I386" s="4" t="n"/>
      <c r="J386" s="2" t="n"/>
      <c r="K386" s="44">
        <f>IF('RPT1'!$J386="","",'RPT1'!$J386)</f>
        <v/>
      </c>
      <c r="L386" s="44">
        <f>IF('RPT2'!$J386="","",'RPT2'!$J386)</f>
        <v/>
      </c>
      <c r="M386" s="44">
        <f>IF('RPT3'!$J386="","",'RPT3'!$J386)</f>
        <v/>
      </c>
    </row>
    <row r="387">
      <c r="A387" s="16" t="inlineStr">
        <is>
          <t>Rebate MAF - Retail 90 - Year 4</t>
        </is>
      </c>
      <c r="B387" s="2" t="n"/>
      <c r="C387" s="43">
        <f>IF(Combine="Y", $G387, 0)</f>
        <v/>
      </c>
      <c r="D387" s="2" t="n"/>
      <c r="E387" s="4" t="n"/>
      <c r="F387" s="2" t="n"/>
      <c r="G387" s="43">
        <f>IF((G145+G571-G576)=0,0,SUM(IF($K387="",0,($K145+$K571-$K576)*$K387),IF($L387="",0,($L145+$L571-$L576)*$L387),IF($M387="",0,($M145+$M571-$M576)*$M387))/(G145+G571-G576))</f>
        <v/>
      </c>
      <c r="H387" s="2" t="n"/>
      <c r="I387" s="4" t="n"/>
      <c r="J387" s="2" t="n"/>
      <c r="K387" s="44">
        <f>IF('RPT1'!$J387="","",'RPT1'!$J387)</f>
        <v/>
      </c>
      <c r="L387" s="44">
        <f>IF('RPT2'!$J387="","",'RPT2'!$J387)</f>
        <v/>
      </c>
      <c r="M387" s="44">
        <f>IF('RPT3'!$J387="","",'RPT3'!$J387)</f>
        <v/>
      </c>
    </row>
    <row r="388">
      <c r="A388" s="16" t="inlineStr">
        <is>
          <t>Rebate MAF - Retail 90 - Year 5</t>
        </is>
      </c>
      <c r="B388" s="2" t="n"/>
      <c r="C388" s="43">
        <f>IF(Combine="Y", $G388, 0)</f>
        <v/>
      </c>
      <c r="D388" s="2" t="n"/>
      <c r="E388" s="4" t="n"/>
      <c r="F388" s="2" t="n"/>
      <c r="G388" s="43">
        <f>IF((G146+G572-G577)=0,0,SUM(IF($K388="",0,($K146+$K572-$K577)*$K388),IF($L388="",0,($L146+$L572-$L577)*$L388),IF($M388="",0,($M146+$M572-$M577)*$M388))/(G146+G572-G577))</f>
        <v/>
      </c>
      <c r="H388" s="2" t="n"/>
      <c r="I388" s="4" t="n"/>
      <c r="J388" s="2" t="n"/>
      <c r="K388" s="44">
        <f>IF('RPT1'!$J388="","",'RPT1'!$J388)</f>
        <v/>
      </c>
      <c r="L388" s="44">
        <f>IF('RPT2'!$J388="","",'RPT2'!$J388)</f>
        <v/>
      </c>
      <c r="M388" s="44">
        <f>IF('RPT3'!$J388="","",'RPT3'!$J388)</f>
        <v/>
      </c>
    </row>
    <row r="389">
      <c r="A389" s="16" t="inlineStr">
        <is>
          <t>Rebate MAF - Specialty - Year 1</t>
        </is>
      </c>
      <c r="B389" s="2" t="n"/>
      <c r="C389" s="43">
        <f>IF(Combine="Y", $G389, 0)</f>
        <v/>
      </c>
      <c r="D389" s="2" t="n"/>
      <c r="E389" s="4" t="n"/>
      <c r="F389" s="2" t="n"/>
      <c r="G389" s="43">
        <f>IF((G152+G578-G583)=0,0,SUM(IF($K389="",0,($K152+$K578-$K583)*$K389),IF($L389="",0,($L152+$L578-$L583)*$L389),IF($M389="",0,($M152+$M578-$M583)*$M389))/(G152+G578-G583))</f>
        <v/>
      </c>
      <c r="H389" s="2" t="n"/>
      <c r="I389" s="4" t="n"/>
      <c r="J389" s="2" t="n"/>
      <c r="K389" s="44">
        <f>IF('RPT1'!$J389="","",'RPT1'!$J389)</f>
        <v/>
      </c>
      <c r="L389" s="44">
        <f>IF('RPT2'!$J389="","",'RPT2'!$J389)</f>
        <v/>
      </c>
      <c r="M389" s="44">
        <f>IF('RPT3'!$J389="","",'RPT3'!$J389)</f>
        <v/>
      </c>
    </row>
    <row r="390">
      <c r="A390" s="16" t="inlineStr">
        <is>
          <t>Rebate MAF - Specialty - Year 2</t>
        </is>
      </c>
      <c r="B390" s="2" t="n"/>
      <c r="C390" s="43">
        <f>IF(Combine="Y", $G390, 0)</f>
        <v/>
      </c>
      <c r="D390" s="2" t="n"/>
      <c r="E390" s="4" t="n"/>
      <c r="F390" s="2" t="n"/>
      <c r="G390" s="43">
        <f>IF((G153+G579-G584)=0,0,SUM(IF($K390="",0,($K153+$K579-$K584)*$K390),IF($L390="",0,($L153+$L579-$L584)*$L390),IF($M390="",0,($M153+$M579-$M584)*$M390))/(G153+G579-G584))</f>
        <v/>
      </c>
      <c r="H390" s="2" t="n"/>
      <c r="I390" s="4" t="n"/>
      <c r="J390" s="2" t="n"/>
      <c r="K390" s="44">
        <f>IF('RPT1'!$J390="","",'RPT1'!$J390)</f>
        <v/>
      </c>
      <c r="L390" s="44">
        <f>IF('RPT2'!$J390="","",'RPT2'!$J390)</f>
        <v/>
      </c>
      <c r="M390" s="44">
        <f>IF('RPT3'!$J390="","",'RPT3'!$J390)</f>
        <v/>
      </c>
    </row>
    <row r="391">
      <c r="A391" s="16" t="inlineStr">
        <is>
          <t>Rebate MAF - Specialty - Year 3</t>
        </is>
      </c>
      <c r="B391" s="2" t="n"/>
      <c r="C391" s="43">
        <f>IF(Combine="Y", $G391, 0)</f>
        <v/>
      </c>
      <c r="D391" s="2" t="n"/>
      <c r="E391" s="4" t="n"/>
      <c r="F391" s="2" t="n"/>
      <c r="G391" s="43">
        <f>IF((G154+G580-G585)=0,0,SUM(IF($K391="",0,($K154+$K580-$K585)*$K391),IF($L391="",0,($L154+$L580-$L585)*$L391),IF($M391="",0,($M154+$M580-$M585)*$M391))/(G154+G580-G585))</f>
        <v/>
      </c>
      <c r="H391" s="2" t="n"/>
      <c r="I391" s="4" t="n"/>
      <c r="J391" s="2" t="n"/>
      <c r="K391" s="44">
        <f>IF('RPT1'!$J391="","",'RPT1'!$J391)</f>
        <v/>
      </c>
      <c r="L391" s="44">
        <f>IF('RPT2'!$J391="","",'RPT2'!$J391)</f>
        <v/>
      </c>
      <c r="M391" s="44">
        <f>IF('RPT3'!$J391="","",'RPT3'!$J391)</f>
        <v/>
      </c>
    </row>
    <row r="392">
      <c r="A392" s="16" t="inlineStr">
        <is>
          <t>Rebate MAF - Specialty - Year 4</t>
        </is>
      </c>
      <c r="B392" s="2" t="n"/>
      <c r="C392" s="43">
        <f>IF(Combine="Y", $G392, 0)</f>
        <v/>
      </c>
      <c r="D392" s="2" t="n"/>
      <c r="E392" s="4" t="n"/>
      <c r="F392" s="2" t="n"/>
      <c r="G392" s="43">
        <f>IF((G155+G581-G586)=0,0,SUM(IF($K392="",0,($K155+$K581-$K586)*$K392),IF($L392="",0,($L155+$L581-$L586)*$L392),IF($M392="",0,($M155+$M581-$M586)*$M392))/(G155+G581-G586))</f>
        <v/>
      </c>
      <c r="H392" s="2" t="n"/>
      <c r="I392" s="4" t="n"/>
      <c r="J392" s="2" t="n"/>
      <c r="K392" s="44">
        <f>IF('RPT1'!$J392="","",'RPT1'!$J392)</f>
        <v/>
      </c>
      <c r="L392" s="44">
        <f>IF('RPT2'!$J392="","",'RPT2'!$J392)</f>
        <v/>
      </c>
      <c r="M392" s="44">
        <f>IF('RPT3'!$J392="","",'RPT3'!$J392)</f>
        <v/>
      </c>
    </row>
    <row r="393">
      <c r="A393" s="16" t="inlineStr">
        <is>
          <t>Rebate MAF - Specialty - Year 5</t>
        </is>
      </c>
      <c r="B393" s="2" t="n"/>
      <c r="C393" s="43">
        <f>IF(Combine="Y", $G393, 0)</f>
        <v/>
      </c>
      <c r="D393" s="2" t="n"/>
      <c r="E393" s="4" t="n"/>
      <c r="F393" s="2" t="n"/>
      <c r="G393" s="43">
        <f>IF((G156+G582-G587)=0,0,SUM(IF($K393="",0,($K156+$K582-$K587)*$K393),IF($L393="",0,($L156+$L582-$L587)*$L393),IF($M393="",0,($M156+$M582-$M587)*$M393))/(G156+G582-G587))</f>
        <v/>
      </c>
      <c r="H393" s="2" t="n"/>
      <c r="I393" s="4" t="n"/>
      <c r="J393" s="2" t="n"/>
      <c r="K393" s="44">
        <f>IF('RPT1'!$J393="","",'RPT1'!$J393)</f>
        <v/>
      </c>
      <c r="L393" s="44">
        <f>IF('RPT2'!$J393="","",'RPT2'!$J393)</f>
        <v/>
      </c>
      <c r="M393" s="44">
        <f>IF('RPT3'!$J393="","",'RPT3'!$J393)</f>
        <v/>
      </c>
    </row>
    <row r="394">
      <c r="A394" s="31" t="n"/>
      <c r="B394" s="2" t="n"/>
      <c r="C394" s="14" t="n"/>
      <c r="D394" s="2" t="n"/>
      <c r="E394" s="4" t="n"/>
      <c r="F394" s="2" t="n"/>
      <c r="G394" s="14" t="n"/>
      <c r="H394" s="2" t="n"/>
      <c r="I394" s="4" t="n"/>
      <c r="J394" s="2" t="n"/>
      <c r="K394" s="32" t="n"/>
      <c r="L394" s="32" t="n"/>
      <c r="M394" s="32" t="n"/>
    </row>
    <row r="395">
      <c r="A395" s="12" t="inlineStr">
        <is>
          <t>Rebate PPL</t>
        </is>
      </c>
      <c r="B395" s="2" t="n"/>
      <c r="C395" s="14" t="n"/>
      <c r="D395" s="2" t="n"/>
      <c r="E395" s="4" t="n"/>
      <c r="F395" s="2" t="n"/>
      <c r="G395" s="14" t="n"/>
      <c r="H395" s="2" t="n"/>
      <c r="I395" s="4" t="n"/>
      <c r="J395" s="2" t="n"/>
      <c r="K395" s="32">
        <f>IF('RPT1'!$J395="","",'RPT1'!$J395)</f>
        <v/>
      </c>
      <c r="L395" s="32">
        <f>IF('RPT2'!$J395="","",'RPT2'!$J395)</f>
        <v/>
      </c>
      <c r="M395" s="32">
        <f>IF('RPT3'!$J395="","",'RPT3'!$J395)</f>
        <v/>
      </c>
    </row>
    <row r="396">
      <c r="A396" s="16" t="inlineStr">
        <is>
          <t>Rebate PPL - Mail - Year 1</t>
        </is>
      </c>
      <c r="B396" s="2" t="n"/>
      <c r="C396" s="43">
        <f>IF(Combine="Y", $G396, 0)</f>
        <v/>
      </c>
      <c r="D396" s="2" t="n"/>
      <c r="E396" s="4" t="n"/>
      <c r="F396" s="2" t="n"/>
      <c r="G396" s="43">
        <f>IF((G122+G548-G553)=0,0,SUM(IF($K396="",0,($K122+$K548-$K553)*$K396),IF($L396="",0,($L122+$L548-$L553)*$L396),IF($M396="",0,($M122+$M548-$M553)*$M396))/(G122+G548-G553))</f>
        <v/>
      </c>
      <c r="H396" s="2" t="n"/>
      <c r="I396" s="4" t="n"/>
      <c r="J396" s="2" t="n"/>
      <c r="K396" s="44">
        <f>IF('RPT1'!$J396="","",'RPT1'!$J396)</f>
        <v/>
      </c>
      <c r="L396" s="44">
        <f>IF('RPT2'!$J396="","",'RPT2'!$J396)</f>
        <v/>
      </c>
      <c r="M396" s="44">
        <f>IF('RPT3'!$J396="","",'RPT3'!$J396)</f>
        <v/>
      </c>
    </row>
    <row r="397">
      <c r="A397" s="16" t="inlineStr">
        <is>
          <t>Rebate PPL - Mail - Year 2</t>
        </is>
      </c>
      <c r="B397" s="2" t="n"/>
      <c r="C397" s="43">
        <f>IF(Combine="Y", $G397, 0)</f>
        <v/>
      </c>
      <c r="D397" s="2" t="n"/>
      <c r="E397" s="4" t="n"/>
      <c r="F397" s="2" t="n"/>
      <c r="G397" s="43">
        <f>IF((G123+G549-G554)=0,0,SUM(IF($K397="",0,($K123+$K549-$K554)*$K397),IF($L397="",0,($L123+$L549-$L554)*$L397),IF($M397="",0,($M123+$M549-$M554)*$M397))/(G123+G549-G554))</f>
        <v/>
      </c>
      <c r="H397" s="2" t="n"/>
      <c r="I397" s="4" t="n"/>
      <c r="J397" s="2" t="n"/>
      <c r="K397" s="44">
        <f>IF('RPT1'!$J397="","",'RPT1'!$J397)</f>
        <v/>
      </c>
      <c r="L397" s="44">
        <f>IF('RPT2'!$J397="","",'RPT2'!$J397)</f>
        <v/>
      </c>
      <c r="M397" s="44">
        <f>IF('RPT3'!$J397="","",'RPT3'!$J397)</f>
        <v/>
      </c>
    </row>
    <row r="398">
      <c r="A398" s="16" t="inlineStr">
        <is>
          <t>Rebate PPL - Mail - Year 3</t>
        </is>
      </c>
      <c r="B398" s="2" t="n"/>
      <c r="C398" s="43">
        <f>IF(Combine="Y", $G398, 0)</f>
        <v/>
      </c>
      <c r="D398" s="2" t="n"/>
      <c r="E398" s="4" t="n"/>
      <c r="F398" s="2" t="n"/>
      <c r="G398" s="43">
        <f>IF((G124+G550-G555)=0,0,SUM(IF($K398="",0,($K124+$K550-$K555)*$K398),IF($L398="",0,($L124+$L550-$L555)*$L398),IF($M398="",0,($M124+$M550-$M555)*$M398))/(G124+G550-G555))</f>
        <v/>
      </c>
      <c r="H398" s="2" t="n"/>
      <c r="I398" s="4" t="n"/>
      <c r="J398" s="2" t="n"/>
      <c r="K398" s="44">
        <f>IF('RPT1'!$J398="","",'RPT1'!$J398)</f>
        <v/>
      </c>
      <c r="L398" s="44">
        <f>IF('RPT2'!$J398="","",'RPT2'!$J398)</f>
        <v/>
      </c>
      <c r="M398" s="44">
        <f>IF('RPT3'!$J398="","",'RPT3'!$J398)</f>
        <v/>
      </c>
    </row>
    <row r="399">
      <c r="A399" s="16" t="inlineStr">
        <is>
          <t>Rebate PPL - Mail - Year 4</t>
        </is>
      </c>
      <c r="B399" s="2" t="n"/>
      <c r="C399" s="43">
        <f>IF(Combine="Y", $G399, 0)</f>
        <v/>
      </c>
      <c r="D399" s="2" t="n"/>
      <c r="E399" s="4" t="n"/>
      <c r="F399" s="2" t="n"/>
      <c r="G399" s="43">
        <f>IF((G125+G551-G556)=0,0,SUM(IF($K399="",0,($K125+$K551-$K556)*$K399),IF($L399="",0,($L125+$L551-$L556)*$L399),IF($M399="",0,($M125+$M551-$M556)*$M399))/(G125+G551-G556))</f>
        <v/>
      </c>
      <c r="H399" s="2" t="n"/>
      <c r="I399" s="4" t="n"/>
      <c r="J399" s="2" t="n"/>
      <c r="K399" s="44">
        <f>IF('RPT1'!$J399="","",'RPT1'!$J399)</f>
        <v/>
      </c>
      <c r="L399" s="44">
        <f>IF('RPT2'!$J399="","",'RPT2'!$J399)</f>
        <v/>
      </c>
      <c r="M399" s="44">
        <f>IF('RPT3'!$J399="","",'RPT3'!$J399)</f>
        <v/>
      </c>
    </row>
    <row r="400">
      <c r="A400" s="16" t="inlineStr">
        <is>
          <t>Rebate PPL - Mail - Year 5</t>
        </is>
      </c>
      <c r="B400" s="2" t="n"/>
      <c r="C400" s="43">
        <f>IF(Combine="Y", $G400, 0)</f>
        <v/>
      </c>
      <c r="D400" s="2" t="n"/>
      <c r="E400" s="4" t="n"/>
      <c r="F400" s="2" t="n"/>
      <c r="G400" s="43">
        <f>IF((G126+G552-G557)=0,0,SUM(IF($K400="",0,($K126+$K552-$K557)*$K400),IF($L400="",0,($L126+$L552-$L557)*$L400),IF($M400="",0,($M126+$M552-$M557)*$M400))/(G126+G552-G557))</f>
        <v/>
      </c>
      <c r="H400" s="2" t="n"/>
      <c r="I400" s="4" t="n"/>
      <c r="J400" s="2" t="n"/>
      <c r="K400" s="44">
        <f>IF('RPT1'!$J400="","",'RPT1'!$J400)</f>
        <v/>
      </c>
      <c r="L400" s="44">
        <f>IF('RPT2'!$J400="","",'RPT2'!$J400)</f>
        <v/>
      </c>
      <c r="M400" s="44">
        <f>IF('RPT3'!$J400="","",'RPT3'!$J400)</f>
        <v/>
      </c>
    </row>
    <row r="401">
      <c r="A401" s="16" t="inlineStr">
        <is>
          <t>Rebate PPL - Retail 30 - Year 1</t>
        </is>
      </c>
      <c r="B401" s="2" t="n"/>
      <c r="C401" s="43">
        <f>IF(Combine="Y", $G401, 0)</f>
        <v/>
      </c>
      <c r="D401" s="2" t="n"/>
      <c r="E401" s="4" t="n"/>
      <c r="F401" s="2" t="n"/>
      <c r="G401" s="43">
        <f>IF((G132+G558-G563)=0,0,SUM(IF($K401="",0,($K132+$K558-$K563)*$K401),IF($L401="",0,($L132+$L558-$L563)*$L401),IF($M401="",0,($M132+$M558-$M563)*$M401))/(G132+G558-G563))</f>
        <v/>
      </c>
      <c r="H401" s="2" t="n"/>
      <c r="I401" s="4" t="n"/>
      <c r="J401" s="2" t="n"/>
      <c r="K401" s="44">
        <f>IF('RPT1'!$J401="","",'RPT1'!$J401)</f>
        <v/>
      </c>
      <c r="L401" s="44">
        <f>IF('RPT2'!$J401="","",'RPT2'!$J401)</f>
        <v/>
      </c>
      <c r="M401" s="44">
        <f>IF('RPT3'!$J401="","",'RPT3'!$J401)</f>
        <v/>
      </c>
    </row>
    <row r="402">
      <c r="A402" s="16" t="inlineStr">
        <is>
          <t>Rebate PPL - Retail 30 - Year 2</t>
        </is>
      </c>
      <c r="B402" s="2" t="n"/>
      <c r="C402" s="43">
        <f>IF(Combine="Y", $G402, 0)</f>
        <v/>
      </c>
      <c r="D402" s="2" t="n"/>
      <c r="E402" s="4" t="n"/>
      <c r="F402" s="2" t="n"/>
      <c r="G402" s="43">
        <f>IF((G133+G559-G564)=0,0,SUM(IF($K402="",0,($K133+$K559-$K564)*$K402),IF($L402="",0,($L133+$L559-$L564)*$L402),IF($M402="",0,($M133+$M559-$M564)*$M402))/(G133+G559-G564))</f>
        <v/>
      </c>
      <c r="H402" s="2" t="n"/>
      <c r="I402" s="4" t="n"/>
      <c r="J402" s="2" t="n"/>
      <c r="K402" s="44">
        <f>IF('RPT1'!$J402="","",'RPT1'!$J402)</f>
        <v/>
      </c>
      <c r="L402" s="44">
        <f>IF('RPT2'!$J402="","",'RPT2'!$J402)</f>
        <v/>
      </c>
      <c r="M402" s="44">
        <f>IF('RPT3'!$J402="","",'RPT3'!$J402)</f>
        <v/>
      </c>
    </row>
    <row r="403">
      <c r="A403" s="16" t="inlineStr">
        <is>
          <t>Rebate PPL - Retail 30 - Year 3</t>
        </is>
      </c>
      <c r="B403" s="2" t="n"/>
      <c r="C403" s="43">
        <f>IF(Combine="Y", $G403, 0)</f>
        <v/>
      </c>
      <c r="D403" s="2" t="n"/>
      <c r="E403" s="4" t="n"/>
      <c r="F403" s="2" t="n"/>
      <c r="G403" s="43">
        <f>IF((G134+G560-G565)=0,0,SUM(IF($K403="",0,($K134+$K560-$K565)*$K403),IF($L403="",0,($L134+$L560-$L565)*$L403),IF($M403="",0,($M134+$M560-$M565)*$M403))/(G134+G560-G565))</f>
        <v/>
      </c>
      <c r="H403" s="2" t="n"/>
      <c r="I403" s="4" t="n"/>
      <c r="J403" s="2" t="n"/>
      <c r="K403" s="44">
        <f>IF('RPT1'!$J403="","",'RPT1'!$J403)</f>
        <v/>
      </c>
      <c r="L403" s="44">
        <f>IF('RPT2'!$J403="","",'RPT2'!$J403)</f>
        <v/>
      </c>
      <c r="M403" s="44">
        <f>IF('RPT3'!$J403="","",'RPT3'!$J403)</f>
        <v/>
      </c>
    </row>
    <row r="404">
      <c r="A404" s="16" t="inlineStr">
        <is>
          <t>Rebate PPL - Retail 30 - Year 4</t>
        </is>
      </c>
      <c r="B404" s="2" t="n"/>
      <c r="C404" s="43">
        <f>IF(Combine="Y", $G404, 0)</f>
        <v/>
      </c>
      <c r="D404" s="2" t="n"/>
      <c r="E404" s="4" t="n"/>
      <c r="F404" s="2" t="n"/>
      <c r="G404" s="43">
        <f>IF((G135+G561-G566)=0,0,SUM(IF($K404="",0,($K135+$K561-$K566)*$K404),IF($L404="",0,($L135+$L561-$L566)*$L404),IF($M404="",0,($M135+$M561-$M566)*$M404))/(G135+G561-G566))</f>
        <v/>
      </c>
      <c r="H404" s="2" t="n"/>
      <c r="I404" s="4" t="n"/>
      <c r="J404" s="2" t="n"/>
      <c r="K404" s="44">
        <f>IF('RPT1'!$J404="","",'RPT1'!$J404)</f>
        <v/>
      </c>
      <c r="L404" s="44">
        <f>IF('RPT2'!$J404="","",'RPT2'!$J404)</f>
        <v/>
      </c>
      <c r="M404" s="44">
        <f>IF('RPT3'!$J404="","",'RPT3'!$J404)</f>
        <v/>
      </c>
    </row>
    <row r="405">
      <c r="A405" s="16" t="inlineStr">
        <is>
          <t>Rebate PPL - Retail 30 - Year 5</t>
        </is>
      </c>
      <c r="B405" s="2" t="n"/>
      <c r="C405" s="43">
        <f>IF(Combine="Y", $G405, 0)</f>
        <v/>
      </c>
      <c r="D405" s="2" t="n"/>
      <c r="E405" s="4" t="n"/>
      <c r="F405" s="2" t="n"/>
      <c r="G405" s="43">
        <f>IF((G136+G562-G567)=0,0,SUM(IF($K405="",0,($K136+$K562-$K567)*$K405),IF($L405="",0,($L136+$L562-$L567)*$L405),IF($M405="",0,($M136+$M562-$M567)*$M405))/(G136+G562-G567))</f>
        <v/>
      </c>
      <c r="H405" s="2" t="n"/>
      <c r="I405" s="4" t="n"/>
      <c r="J405" s="2" t="n"/>
      <c r="K405" s="44">
        <f>IF('RPT1'!$J405="","",'RPT1'!$J405)</f>
        <v/>
      </c>
      <c r="L405" s="44">
        <f>IF('RPT2'!$J405="","",'RPT2'!$J405)</f>
        <v/>
      </c>
      <c r="M405" s="44">
        <f>IF('RPT3'!$J405="","",'RPT3'!$J405)</f>
        <v/>
      </c>
    </row>
    <row r="406">
      <c r="A406" s="16" t="inlineStr">
        <is>
          <t>Rebate PPL - Retail 90 - Year 1</t>
        </is>
      </c>
      <c r="B406" s="2" t="n"/>
      <c r="C406" s="43">
        <f>IF(Combine="Y", $G406, 0)</f>
        <v/>
      </c>
      <c r="D406" s="2" t="n"/>
      <c r="E406" s="4" t="n"/>
      <c r="F406" s="2" t="n"/>
      <c r="G406" s="43">
        <f>IF((G142+G568-G573)=0,0,SUM(IF($K406="",0,($K142+$K568-$K573)*$K406),IF($L406="",0,($L142+$L568-$L573)*$L406),IF($M406="",0,($M142+$M568-$M573)*$M406))/(G142+G568-G573))</f>
        <v/>
      </c>
      <c r="H406" s="2" t="n"/>
      <c r="I406" s="4" t="n"/>
      <c r="J406" s="2" t="n"/>
      <c r="K406" s="44">
        <f>IF('RPT1'!$J406="","",'RPT1'!$J406)</f>
        <v/>
      </c>
      <c r="L406" s="44">
        <f>IF('RPT2'!$J406="","",'RPT2'!$J406)</f>
        <v/>
      </c>
      <c r="M406" s="44">
        <f>IF('RPT3'!$J406="","",'RPT3'!$J406)</f>
        <v/>
      </c>
    </row>
    <row r="407">
      <c r="A407" s="16" t="inlineStr">
        <is>
          <t>Rebate PPL - Retail 90 - Year 2</t>
        </is>
      </c>
      <c r="B407" s="2" t="n"/>
      <c r="C407" s="43">
        <f>IF(Combine="Y", $G407, 0)</f>
        <v/>
      </c>
      <c r="D407" s="2" t="n"/>
      <c r="E407" s="4" t="n"/>
      <c r="F407" s="2" t="n"/>
      <c r="G407" s="43">
        <f>IF((G143+G569-G574)=0,0,SUM(IF($K407="",0,($K143+$K569-$K574)*$K407),IF($L407="",0,($L143+$L569-$L574)*$L407),IF($M407="",0,($M143+$M569-$M574)*$M407))/(G143+G569-G574))</f>
        <v/>
      </c>
      <c r="H407" s="2" t="n"/>
      <c r="I407" s="4" t="n"/>
      <c r="J407" s="2" t="n"/>
      <c r="K407" s="44">
        <f>IF('RPT1'!$J407="","",'RPT1'!$J407)</f>
        <v/>
      </c>
      <c r="L407" s="44">
        <f>IF('RPT2'!$J407="","",'RPT2'!$J407)</f>
        <v/>
      </c>
      <c r="M407" s="44">
        <f>IF('RPT3'!$J407="","",'RPT3'!$J407)</f>
        <v/>
      </c>
    </row>
    <row r="408">
      <c r="A408" s="16" t="inlineStr">
        <is>
          <t>Rebate PPL - Retail 90 - Year 3</t>
        </is>
      </c>
      <c r="B408" s="2" t="n"/>
      <c r="C408" s="43">
        <f>IF(Combine="Y", $G408, 0)</f>
        <v/>
      </c>
      <c r="D408" s="2" t="n"/>
      <c r="E408" s="4" t="n"/>
      <c r="F408" s="2" t="n"/>
      <c r="G408" s="43">
        <f>IF((G144+G570-G575)=0,0,SUM(IF($K408="",0,($K144+$K570-$K575)*$K408),IF($L408="",0,($L144+$L570-$L575)*$L408),IF($M408="",0,($M144+$M570-$M575)*$M408))/(G144+G570-G575))</f>
        <v/>
      </c>
      <c r="H408" s="2" t="n"/>
      <c r="I408" s="4" t="n"/>
      <c r="J408" s="2" t="n"/>
      <c r="K408" s="44">
        <f>IF('RPT1'!$J408="","",'RPT1'!$J408)</f>
        <v/>
      </c>
      <c r="L408" s="44">
        <f>IF('RPT2'!$J408="","",'RPT2'!$J408)</f>
        <v/>
      </c>
      <c r="M408" s="44">
        <f>IF('RPT3'!$J408="","",'RPT3'!$J408)</f>
        <v/>
      </c>
    </row>
    <row r="409">
      <c r="A409" s="16" t="inlineStr">
        <is>
          <t>Rebate PPL - Retail 90 - Year 4</t>
        </is>
      </c>
      <c r="B409" s="2" t="n"/>
      <c r="C409" s="43">
        <f>IF(Combine="Y", $G409, 0)</f>
        <v/>
      </c>
      <c r="D409" s="2" t="n"/>
      <c r="E409" s="4" t="n"/>
      <c r="F409" s="2" t="n"/>
      <c r="G409" s="43">
        <f>IF((G145+G571-G576)=0,0,SUM(IF($K409="",0,($K145+$K571-$K576)*$K409),IF($L409="",0,($L145+$L571-$L576)*$L409),IF($M409="",0,($M145+$M571-$M576)*$M409))/(G145+G571-G576))</f>
        <v/>
      </c>
      <c r="H409" s="2" t="n"/>
      <c r="I409" s="4" t="n"/>
      <c r="J409" s="2" t="n"/>
      <c r="K409" s="44">
        <f>IF('RPT1'!$J409="","",'RPT1'!$J409)</f>
        <v/>
      </c>
      <c r="L409" s="44">
        <f>IF('RPT2'!$J409="","",'RPT2'!$J409)</f>
        <v/>
      </c>
      <c r="M409" s="44">
        <f>IF('RPT3'!$J409="","",'RPT3'!$J409)</f>
        <v/>
      </c>
    </row>
    <row r="410">
      <c r="A410" s="16" t="inlineStr">
        <is>
          <t>Rebate PPL - Retail 90 - Year 5</t>
        </is>
      </c>
      <c r="B410" s="2" t="n"/>
      <c r="C410" s="43">
        <f>IF(Combine="Y", $G410, 0)</f>
        <v/>
      </c>
      <c r="D410" s="2" t="n"/>
      <c r="E410" s="4" t="n"/>
      <c r="F410" s="2" t="n"/>
      <c r="G410" s="43">
        <f>IF((G146+G572-G577)=0,0,SUM(IF($K410="",0,($K146+$K572-$K577)*$K410),IF($L410="",0,($L146+$L572-$L577)*$L410),IF($M410="",0,($M146+$M572-$M577)*$M410))/(G146+G572-G577))</f>
        <v/>
      </c>
      <c r="H410" s="2" t="n"/>
      <c r="I410" s="4" t="n"/>
      <c r="J410" s="2" t="n"/>
      <c r="K410" s="44">
        <f>IF('RPT1'!$J410="","",'RPT1'!$J410)</f>
        <v/>
      </c>
      <c r="L410" s="44">
        <f>IF('RPT2'!$J410="","",'RPT2'!$J410)</f>
        <v/>
      </c>
      <c r="M410" s="44">
        <f>IF('RPT3'!$J410="","",'RPT3'!$J410)</f>
        <v/>
      </c>
    </row>
    <row r="411">
      <c r="A411" s="16" t="inlineStr">
        <is>
          <t>Rebate PPL - Specialty - Year 1</t>
        </is>
      </c>
      <c r="B411" s="2" t="n"/>
      <c r="C411" s="43">
        <f>IF(Combine="Y", $G411, 0)</f>
        <v/>
      </c>
      <c r="D411" s="2" t="n"/>
      <c r="E411" s="4" t="n"/>
      <c r="F411" s="2" t="n"/>
      <c r="G411" s="43">
        <f>IF((G152+G578-G583)=0,0,SUM(IF($K411="",0,($K152+$K578-$K583)*$K411),IF($L411="",0,($L152+$L578-$L583)*$L411),IF($M411="",0,($M152+$M578-$M583)*$M411))/(G152+G578-G583))</f>
        <v/>
      </c>
      <c r="H411" s="2" t="n"/>
      <c r="I411" s="4" t="n"/>
      <c r="J411" s="2" t="n"/>
      <c r="K411" s="44">
        <f>IF('RPT1'!$J411="","",'RPT1'!$J411)</f>
        <v/>
      </c>
      <c r="L411" s="44">
        <f>IF('RPT2'!$J411="","",'RPT2'!$J411)</f>
        <v/>
      </c>
      <c r="M411" s="44">
        <f>IF('RPT3'!$J411="","",'RPT3'!$J411)</f>
        <v/>
      </c>
    </row>
    <row r="412">
      <c r="A412" s="16" t="inlineStr">
        <is>
          <t>Rebate PPL - Specialty - Year 2</t>
        </is>
      </c>
      <c r="B412" s="2" t="n"/>
      <c r="C412" s="43">
        <f>IF(Combine="Y", $G412, 0)</f>
        <v/>
      </c>
      <c r="D412" s="2" t="n"/>
      <c r="E412" s="4" t="n"/>
      <c r="F412" s="2" t="n"/>
      <c r="G412" s="43">
        <f>IF((G153+G579-G584)=0,0,SUM(IF($K412="",0,($K153+$K579-$K584)*$K412),IF($L412="",0,($L153+$L579-$L584)*$L412),IF($M412="",0,($M153+$M579-$M584)*$M412))/(G153+G579-G584))</f>
        <v/>
      </c>
      <c r="H412" s="2" t="n"/>
      <c r="I412" s="4" t="n"/>
      <c r="J412" s="2" t="n"/>
      <c r="K412" s="44">
        <f>IF('RPT1'!$J412="","",'RPT1'!$J412)</f>
        <v/>
      </c>
      <c r="L412" s="44">
        <f>IF('RPT2'!$J412="","",'RPT2'!$J412)</f>
        <v/>
      </c>
      <c r="M412" s="44">
        <f>IF('RPT3'!$J412="","",'RPT3'!$J412)</f>
        <v/>
      </c>
    </row>
    <row r="413">
      <c r="A413" s="16" t="inlineStr">
        <is>
          <t>Rebate PPL - Specialty - Year 3</t>
        </is>
      </c>
      <c r="B413" s="2" t="n"/>
      <c r="C413" s="43">
        <f>IF(Combine="Y", $G413, 0)</f>
        <v/>
      </c>
      <c r="D413" s="2" t="n"/>
      <c r="E413" s="4" t="n"/>
      <c r="F413" s="2" t="n"/>
      <c r="G413" s="43">
        <f>IF((G154+G580-G585)=0,0,SUM(IF($K413="",0,($K154+$K580-$K585)*$K413),IF($L413="",0,($L154+$L580-$L585)*$L413),IF($M413="",0,($M154+$M580-$M585)*$M413))/(G154+G580-G585))</f>
        <v/>
      </c>
      <c r="H413" s="2" t="n"/>
      <c r="I413" s="4" t="n"/>
      <c r="J413" s="2" t="n"/>
      <c r="K413" s="44">
        <f>IF('RPT1'!$J413="","",'RPT1'!$J413)</f>
        <v/>
      </c>
      <c r="L413" s="44">
        <f>IF('RPT2'!$J413="","",'RPT2'!$J413)</f>
        <v/>
      </c>
      <c r="M413" s="44">
        <f>IF('RPT3'!$J413="","",'RPT3'!$J413)</f>
        <v/>
      </c>
    </row>
    <row r="414">
      <c r="A414" s="16" t="inlineStr">
        <is>
          <t>Rebate PPL - Specialty - Year 4</t>
        </is>
      </c>
      <c r="B414" s="2" t="n"/>
      <c r="C414" s="43">
        <f>IF(Combine="Y", $G414, 0)</f>
        <v/>
      </c>
      <c r="D414" s="2" t="n"/>
      <c r="E414" s="4" t="n"/>
      <c r="F414" s="2" t="n"/>
      <c r="G414" s="43">
        <f>IF((G155+G581-G586)=0,0,SUM(IF($K414="",0,($K155+$K581-$K586)*$K414),IF($L414="",0,($L155+$L581-$L586)*$L414),IF($M414="",0,($M155+$M581-$M586)*$M414))/(G155+G581-G586))</f>
        <v/>
      </c>
      <c r="H414" s="2" t="n"/>
      <c r="I414" s="4" t="n"/>
      <c r="J414" s="2" t="n"/>
      <c r="K414" s="44">
        <f>IF('RPT1'!$J414="","",'RPT1'!$J414)</f>
        <v/>
      </c>
      <c r="L414" s="44">
        <f>IF('RPT2'!$J414="","",'RPT2'!$J414)</f>
        <v/>
      </c>
      <c r="M414" s="44">
        <f>IF('RPT3'!$J414="","",'RPT3'!$J414)</f>
        <v/>
      </c>
    </row>
    <row r="415">
      <c r="A415" s="16" t="inlineStr">
        <is>
          <t>Rebate PPL - Specialty - Year 5</t>
        </is>
      </c>
      <c r="B415" s="2" t="n"/>
      <c r="C415" s="43">
        <f>IF(Combine="Y", $G415, 0)</f>
        <v/>
      </c>
      <c r="D415" s="2" t="n"/>
      <c r="E415" s="4" t="n"/>
      <c r="F415" s="2" t="n"/>
      <c r="G415" s="43">
        <f>IF((G156+G582-G587)=0,0,SUM(IF($K415="",0,($K156+$K582-$K587)*$K415),IF($L415="",0,($L156+$L582-$L587)*$L415),IF($M415="",0,($M156+$M582-$M587)*$M415))/(G156+G582-G587))</f>
        <v/>
      </c>
      <c r="H415" s="2" t="n"/>
      <c r="I415" s="4" t="n"/>
      <c r="J415" s="2" t="n"/>
      <c r="K415" s="44">
        <f>IF('RPT1'!$J415="","",'RPT1'!$J415)</f>
        <v/>
      </c>
      <c r="L415" s="44">
        <f>IF('RPT2'!$J415="","",'RPT2'!$J415)</f>
        <v/>
      </c>
      <c r="M415" s="44">
        <f>IF('RPT3'!$J415="","",'RPT3'!$J415)</f>
        <v/>
      </c>
    </row>
    <row r="416">
      <c r="A416" s="31" t="n"/>
      <c r="B416" s="2" t="n"/>
      <c r="C416" s="14" t="n"/>
      <c r="D416" s="2" t="n"/>
      <c r="E416" s="4" t="n"/>
      <c r="F416" s="2" t="n"/>
      <c r="G416" s="14" t="n"/>
      <c r="H416" s="2" t="n"/>
      <c r="I416" s="4" t="n"/>
      <c r="J416" s="2" t="n"/>
      <c r="K416" s="32" t="n"/>
      <c r="L416" s="32" t="n"/>
      <c r="M416" s="32" t="n"/>
    </row>
    <row r="417">
      <c r="A417" s="12" t="inlineStr">
        <is>
          <t>Rebate PPA</t>
        </is>
      </c>
      <c r="B417" s="2" t="n"/>
      <c r="C417" s="14" t="n"/>
      <c r="D417" s="2" t="n"/>
      <c r="E417" s="4" t="n"/>
      <c r="F417" s="2" t="n"/>
      <c r="G417" s="14" t="n"/>
      <c r="H417" s="2" t="n"/>
      <c r="I417" s="4" t="n"/>
      <c r="J417" s="2" t="n"/>
      <c r="K417" s="32">
        <f>IF('RPT1'!$J417="","",'RPT1'!$J417)</f>
        <v/>
      </c>
      <c r="L417" s="32">
        <f>IF('RPT2'!$J417="","",'RPT2'!$J417)</f>
        <v/>
      </c>
      <c r="M417" s="32">
        <f>IF('RPT3'!$J417="","",'RPT3'!$J417)</f>
        <v/>
      </c>
    </row>
    <row r="418">
      <c r="A418" s="16" t="inlineStr">
        <is>
          <t>Rebate PPA - Mail - Year 1</t>
        </is>
      </c>
      <c r="B418" s="2" t="n"/>
      <c r="C418" s="43">
        <f>IF(Combine="Y", $G418, 0)</f>
        <v/>
      </c>
      <c r="D418" s="2" t="n"/>
      <c r="E418" s="4" t="n"/>
      <c r="F418" s="2" t="n"/>
      <c r="G418" s="43">
        <f>IF((G122+G548-G553)=0,0,SUM(IF($K418="",0,($K122+$K548-$K553)*$K418),IF($L418="",0,($L122+$L548-$L553)*$L418),IF($M418="",0,($M122+$M548-$M553)*$M418))/(G122+G548-G553))</f>
        <v/>
      </c>
      <c r="H418" s="2" t="n"/>
      <c r="I418" s="4" t="n"/>
      <c r="J418" s="2" t="n"/>
      <c r="K418" s="44">
        <f>IF('RPT1'!$J418="","",'RPT1'!$J418)</f>
        <v/>
      </c>
      <c r="L418" s="44">
        <f>IF('RPT2'!$J418="","",'RPT2'!$J418)</f>
        <v/>
      </c>
      <c r="M418" s="44">
        <f>IF('RPT3'!$J418="","",'RPT3'!$J418)</f>
        <v/>
      </c>
    </row>
    <row r="419">
      <c r="A419" s="16" t="inlineStr">
        <is>
          <t>Rebate PPA - Mail - Year 2</t>
        </is>
      </c>
      <c r="B419" s="2" t="n"/>
      <c r="C419" s="43">
        <f>IF(Combine="Y", $G419, 0)</f>
        <v/>
      </c>
      <c r="D419" s="2" t="n"/>
      <c r="E419" s="4" t="n"/>
      <c r="F419" s="2" t="n"/>
      <c r="G419" s="43">
        <f>IF((G123+G549-G554)=0,0,SUM(IF($K419="",0,($K123+$K549-$K554)*$K419),IF($L419="",0,($L123+$L549-$L554)*$L419),IF($M419="",0,($M123+$M549-$M554)*$M419))/(G123+G549-G554))</f>
        <v/>
      </c>
      <c r="H419" s="2" t="n"/>
      <c r="I419" s="4" t="n"/>
      <c r="J419" s="2" t="n"/>
      <c r="K419" s="44">
        <f>IF('RPT1'!$J419="","",'RPT1'!$J419)</f>
        <v/>
      </c>
      <c r="L419" s="44">
        <f>IF('RPT2'!$J419="","",'RPT2'!$J419)</f>
        <v/>
      </c>
      <c r="M419" s="44">
        <f>IF('RPT3'!$J419="","",'RPT3'!$J419)</f>
        <v/>
      </c>
    </row>
    <row r="420">
      <c r="A420" s="16" t="inlineStr">
        <is>
          <t>Rebate PPA - Mail - Year 3</t>
        </is>
      </c>
      <c r="B420" s="2" t="n"/>
      <c r="C420" s="43">
        <f>IF(Combine="Y", $G420, 0)</f>
        <v/>
      </c>
      <c r="D420" s="2" t="n"/>
      <c r="E420" s="4" t="n"/>
      <c r="F420" s="2" t="n"/>
      <c r="G420" s="43">
        <f>IF((G124+G550-G555)=0,0,SUM(IF($K420="",0,($K124+$K550-$K555)*$K420),IF($L420="",0,($L124+$L550-$L555)*$L420),IF($M420="",0,($M124+$M550-$M555)*$M420))/(G124+G550-G555))</f>
        <v/>
      </c>
      <c r="H420" s="2" t="n"/>
      <c r="I420" s="4" t="n"/>
      <c r="J420" s="2" t="n"/>
      <c r="K420" s="44">
        <f>IF('RPT1'!$J420="","",'RPT1'!$J420)</f>
        <v/>
      </c>
      <c r="L420" s="44">
        <f>IF('RPT2'!$J420="","",'RPT2'!$J420)</f>
        <v/>
      </c>
      <c r="M420" s="44">
        <f>IF('RPT3'!$J420="","",'RPT3'!$J420)</f>
        <v/>
      </c>
    </row>
    <row r="421">
      <c r="A421" s="16" t="inlineStr">
        <is>
          <t>Rebate PPA - Mail - Year 4</t>
        </is>
      </c>
      <c r="B421" s="2" t="n"/>
      <c r="C421" s="43">
        <f>IF(Combine="Y", $G421, 0)</f>
        <v/>
      </c>
      <c r="D421" s="2" t="n"/>
      <c r="E421" s="4" t="n"/>
      <c r="F421" s="2" t="n"/>
      <c r="G421" s="43">
        <f>IF((G125+G551-G556)=0,0,SUM(IF($K421="",0,($K125+$K551-$K556)*$K421),IF($L421="",0,($L125+$L551-$L556)*$L421),IF($M421="",0,($M125+$M551-$M556)*$M421))/(G125+G551-G556))</f>
        <v/>
      </c>
      <c r="H421" s="2" t="n"/>
      <c r="I421" s="4" t="n"/>
      <c r="J421" s="2" t="n"/>
      <c r="K421" s="44">
        <f>IF('RPT1'!$J421="","",'RPT1'!$J421)</f>
        <v/>
      </c>
      <c r="L421" s="44">
        <f>IF('RPT2'!$J421="","",'RPT2'!$J421)</f>
        <v/>
      </c>
      <c r="M421" s="44">
        <f>IF('RPT3'!$J421="","",'RPT3'!$J421)</f>
        <v/>
      </c>
    </row>
    <row r="422">
      <c r="A422" s="16" t="inlineStr">
        <is>
          <t>Rebate PPA - Mail - Year 5</t>
        </is>
      </c>
      <c r="B422" s="2" t="n"/>
      <c r="C422" s="43">
        <f>IF(Combine="Y", $G422, 0)</f>
        <v/>
      </c>
      <c r="D422" s="2" t="n"/>
      <c r="E422" s="4" t="n"/>
      <c r="F422" s="2" t="n"/>
      <c r="G422" s="43">
        <f>IF((G126+G552-G557)=0,0,SUM(IF($K422="",0,($K126+$K552-$K557)*$K422),IF($L422="",0,($L126+$L552-$L557)*$L422),IF($M422="",0,($M126+$M552-$M557)*$M422))/(G126+G552-G557))</f>
        <v/>
      </c>
      <c r="H422" s="2" t="n"/>
      <c r="I422" s="4" t="n"/>
      <c r="J422" s="2" t="n"/>
      <c r="K422" s="44">
        <f>IF('RPT1'!$J422="","",'RPT1'!$J422)</f>
        <v/>
      </c>
      <c r="L422" s="44">
        <f>IF('RPT2'!$J422="","",'RPT2'!$J422)</f>
        <v/>
      </c>
      <c r="M422" s="44">
        <f>IF('RPT3'!$J422="","",'RPT3'!$J422)</f>
        <v/>
      </c>
    </row>
    <row r="423">
      <c r="A423" s="16" t="inlineStr">
        <is>
          <t>Rebate PPA - Retail 30 - Year 1</t>
        </is>
      </c>
      <c r="B423" s="2" t="n"/>
      <c r="C423" s="43">
        <f>IF(Combine="Y", $G423, 0)</f>
        <v/>
      </c>
      <c r="D423" s="2" t="n"/>
      <c r="E423" s="4" t="n"/>
      <c r="F423" s="2" t="n"/>
      <c r="G423" s="43">
        <f>IF((G132+G558-G563)=0,0,SUM(IF($K423="",0,($K132+$K558-$K563)*$K423),IF($L423="",0,($L132+$L558-$L563)*$L423),IF($M423="",0,($M132+$M558-$M563)*$M423))/(G132+G558-G563))</f>
        <v/>
      </c>
      <c r="H423" s="2" t="n"/>
      <c r="I423" s="4" t="n"/>
      <c r="J423" s="2" t="n"/>
      <c r="K423" s="44">
        <f>IF('RPT1'!$J423="","",'RPT1'!$J423)</f>
        <v/>
      </c>
      <c r="L423" s="44">
        <f>IF('RPT2'!$J423="","",'RPT2'!$J423)</f>
        <v/>
      </c>
      <c r="M423" s="44">
        <f>IF('RPT3'!$J423="","",'RPT3'!$J423)</f>
        <v/>
      </c>
    </row>
    <row r="424">
      <c r="A424" s="16" t="inlineStr">
        <is>
          <t>Rebate PPA - Retail 30 - Year 2</t>
        </is>
      </c>
      <c r="B424" s="2" t="n"/>
      <c r="C424" s="43">
        <f>IF(Combine="Y", $G424, 0)</f>
        <v/>
      </c>
      <c r="D424" s="2" t="n"/>
      <c r="E424" s="4" t="n"/>
      <c r="F424" s="2" t="n"/>
      <c r="G424" s="43">
        <f>IF((G133+G559-G564)=0,0,SUM(IF($K424="",0,($K133+$K559-$K564)*$K424),IF($L424="",0,($L133+$L559-$L564)*$L424),IF($M424="",0,($M133+$M559-$M564)*$M424))/(G133+G559-G564))</f>
        <v/>
      </c>
      <c r="H424" s="2" t="n"/>
      <c r="I424" s="4" t="n"/>
      <c r="J424" s="2" t="n"/>
      <c r="K424" s="44">
        <f>IF('RPT1'!$J424="","",'RPT1'!$J424)</f>
        <v/>
      </c>
      <c r="L424" s="44">
        <f>IF('RPT2'!$J424="","",'RPT2'!$J424)</f>
        <v/>
      </c>
      <c r="M424" s="44">
        <f>IF('RPT3'!$J424="","",'RPT3'!$J424)</f>
        <v/>
      </c>
    </row>
    <row r="425">
      <c r="A425" s="16" t="inlineStr">
        <is>
          <t>Rebate PPA - Retail 30 - Year 3</t>
        </is>
      </c>
      <c r="B425" s="2" t="n"/>
      <c r="C425" s="43">
        <f>IF(Combine="Y", $G425, 0)</f>
        <v/>
      </c>
      <c r="D425" s="2" t="n"/>
      <c r="E425" s="4" t="n"/>
      <c r="F425" s="2" t="n"/>
      <c r="G425" s="43">
        <f>IF((G134+G560-G565)=0,0,SUM(IF($K425="",0,($K134+$K560-$K565)*$K425),IF($L425="",0,($L134+$L560-$L565)*$L425),IF($M425="",0,($M134+$M560-$M565)*$M425))/(G134+G560-G565))</f>
        <v/>
      </c>
      <c r="H425" s="2" t="n"/>
      <c r="I425" s="4" t="n"/>
      <c r="J425" s="2" t="n"/>
      <c r="K425" s="44">
        <f>IF('RPT1'!$J425="","",'RPT1'!$J425)</f>
        <v/>
      </c>
      <c r="L425" s="44">
        <f>IF('RPT2'!$J425="","",'RPT2'!$J425)</f>
        <v/>
      </c>
      <c r="M425" s="44">
        <f>IF('RPT3'!$J425="","",'RPT3'!$J425)</f>
        <v/>
      </c>
    </row>
    <row r="426">
      <c r="A426" s="16" t="inlineStr">
        <is>
          <t>Rebate PPA - Retail 30 - Year 4</t>
        </is>
      </c>
      <c r="B426" s="2" t="n"/>
      <c r="C426" s="43">
        <f>IF(Combine="Y", $G426, 0)</f>
        <v/>
      </c>
      <c r="D426" s="2" t="n"/>
      <c r="E426" s="4" t="n"/>
      <c r="F426" s="2" t="n"/>
      <c r="G426" s="43">
        <f>IF((G135+G561-G566)=0,0,SUM(IF($K426="",0,($K135+$K561-$K566)*$K426),IF($L426="",0,($L135+$L561-$L566)*$L426),IF($M426="",0,($M135+$M561-$M566)*$M426))/(G135+G561-G566))</f>
        <v/>
      </c>
      <c r="H426" s="2" t="n"/>
      <c r="I426" s="4" t="n"/>
      <c r="J426" s="2" t="n"/>
      <c r="K426" s="44">
        <f>IF('RPT1'!$J426="","",'RPT1'!$J426)</f>
        <v/>
      </c>
      <c r="L426" s="44">
        <f>IF('RPT2'!$J426="","",'RPT2'!$J426)</f>
        <v/>
      </c>
      <c r="M426" s="44">
        <f>IF('RPT3'!$J426="","",'RPT3'!$J426)</f>
        <v/>
      </c>
    </row>
    <row r="427">
      <c r="A427" s="16" t="inlineStr">
        <is>
          <t>Rebate PPA - Retail 30 - Year 5</t>
        </is>
      </c>
      <c r="B427" s="2" t="n"/>
      <c r="C427" s="43">
        <f>IF(Combine="Y", $G427, 0)</f>
        <v/>
      </c>
      <c r="D427" s="2" t="n"/>
      <c r="E427" s="4" t="n"/>
      <c r="F427" s="2" t="n"/>
      <c r="G427" s="43">
        <f>IF((G136+G562-G567)=0,0,SUM(IF($K427="",0,($K136+$K562-$K567)*$K427),IF($L427="",0,($L136+$L562-$L567)*$L427),IF($M427="",0,($M136+$M562-$M567)*$M427))/(G136+G562-G567))</f>
        <v/>
      </c>
      <c r="H427" s="2" t="n"/>
      <c r="I427" s="4" t="n"/>
      <c r="J427" s="2" t="n"/>
      <c r="K427" s="44">
        <f>IF('RPT1'!$J427="","",'RPT1'!$J427)</f>
        <v/>
      </c>
      <c r="L427" s="44">
        <f>IF('RPT2'!$J427="","",'RPT2'!$J427)</f>
        <v/>
      </c>
      <c r="M427" s="44">
        <f>IF('RPT3'!$J427="","",'RPT3'!$J427)</f>
        <v/>
      </c>
    </row>
    <row r="428">
      <c r="A428" s="16" t="inlineStr">
        <is>
          <t>Rebate PPA - Retail 90 - Year 1</t>
        </is>
      </c>
      <c r="B428" s="2" t="n"/>
      <c r="C428" s="43">
        <f>IF(Combine="Y", $G428, 0)</f>
        <v/>
      </c>
      <c r="D428" s="2" t="n"/>
      <c r="E428" s="4" t="n"/>
      <c r="F428" s="2" t="n"/>
      <c r="G428" s="43">
        <f>IF((G142+G568-G573)=0,0,SUM(IF($K428="",0,($K142+$K568-$K573)*$K428),IF($L428="",0,($L142+$L568-$L573)*$L428),IF($M428="",0,($M142+$M568-$M573)*$M428))/(G142+G568-G573))</f>
        <v/>
      </c>
      <c r="H428" s="2" t="n"/>
      <c r="I428" s="4" t="n"/>
      <c r="J428" s="2" t="n"/>
      <c r="K428" s="44">
        <f>IF('RPT1'!$J428="","",'RPT1'!$J428)</f>
        <v/>
      </c>
      <c r="L428" s="44">
        <f>IF('RPT2'!$J428="","",'RPT2'!$J428)</f>
        <v/>
      </c>
      <c r="M428" s="44">
        <f>IF('RPT3'!$J428="","",'RPT3'!$J428)</f>
        <v/>
      </c>
    </row>
    <row r="429">
      <c r="A429" s="16" t="inlineStr">
        <is>
          <t>Rebate PPA - Retail 90 - Year 2</t>
        </is>
      </c>
      <c r="B429" s="2" t="n"/>
      <c r="C429" s="43">
        <f>IF(Combine="Y", $G429, 0)</f>
        <v/>
      </c>
      <c r="D429" s="2" t="n"/>
      <c r="E429" s="4" t="n"/>
      <c r="F429" s="2" t="n"/>
      <c r="G429" s="43">
        <f>IF((G143+G569-G574)=0,0,SUM(IF($K429="",0,($K143+$K569-$K574)*$K429),IF($L429="",0,($L143+$L569-$L574)*$L429),IF($M429="",0,($M143+$M569-$M574)*$M429))/(G143+G569-G574))</f>
        <v/>
      </c>
      <c r="H429" s="2" t="n"/>
      <c r="I429" s="4" t="n"/>
      <c r="J429" s="2" t="n"/>
      <c r="K429" s="44">
        <f>IF('RPT1'!$J429="","",'RPT1'!$J429)</f>
        <v/>
      </c>
      <c r="L429" s="44">
        <f>IF('RPT2'!$J429="","",'RPT2'!$J429)</f>
        <v/>
      </c>
      <c r="M429" s="44">
        <f>IF('RPT3'!$J429="","",'RPT3'!$J429)</f>
        <v/>
      </c>
    </row>
    <row r="430">
      <c r="A430" s="16" t="inlineStr">
        <is>
          <t>Rebate PPA - Retail 90 - Year 3</t>
        </is>
      </c>
      <c r="B430" s="2" t="n"/>
      <c r="C430" s="43">
        <f>IF(Combine="Y", $G430, 0)</f>
        <v/>
      </c>
      <c r="D430" s="2" t="n"/>
      <c r="E430" s="4" t="n"/>
      <c r="F430" s="2" t="n"/>
      <c r="G430" s="43">
        <f>IF((G144+G570-G575)=0,0,SUM(IF($K430="",0,($K144+$K570-$K575)*$K430),IF($L430="",0,($L144+$L570-$L575)*$L430),IF($M430="",0,($M144+$M570-$M575)*$M430))/(G144+G570-G575))</f>
        <v/>
      </c>
      <c r="H430" s="2" t="n"/>
      <c r="I430" s="4" t="n"/>
      <c r="J430" s="2" t="n"/>
      <c r="K430" s="44">
        <f>IF('RPT1'!$J430="","",'RPT1'!$J430)</f>
        <v/>
      </c>
      <c r="L430" s="44">
        <f>IF('RPT2'!$J430="","",'RPT2'!$J430)</f>
        <v/>
      </c>
      <c r="M430" s="44">
        <f>IF('RPT3'!$J430="","",'RPT3'!$J430)</f>
        <v/>
      </c>
    </row>
    <row r="431">
      <c r="A431" s="16" t="inlineStr">
        <is>
          <t>Rebate PPA - Retail 90 - Year 4</t>
        </is>
      </c>
      <c r="B431" s="2" t="n"/>
      <c r="C431" s="43">
        <f>IF(Combine="Y", $G431, 0)</f>
        <v/>
      </c>
      <c r="D431" s="2" t="n"/>
      <c r="E431" s="4" t="n"/>
      <c r="F431" s="2" t="n"/>
      <c r="G431" s="43">
        <f>IF((G145+G571-G576)=0,0,SUM(IF($K431="",0,($K145+$K571-$K576)*$K431),IF($L431="",0,($L145+$L571-$L576)*$L431),IF($M431="",0,($M145+$M571-$M576)*$M431))/(G145+G571-G576))</f>
        <v/>
      </c>
      <c r="H431" s="2" t="n"/>
      <c r="I431" s="4" t="n"/>
      <c r="J431" s="2" t="n"/>
      <c r="K431" s="44">
        <f>IF('RPT1'!$J431="","",'RPT1'!$J431)</f>
        <v/>
      </c>
      <c r="L431" s="44">
        <f>IF('RPT2'!$J431="","",'RPT2'!$J431)</f>
        <v/>
      </c>
      <c r="M431" s="44">
        <f>IF('RPT3'!$J431="","",'RPT3'!$J431)</f>
        <v/>
      </c>
    </row>
    <row r="432">
      <c r="A432" s="16" t="inlineStr">
        <is>
          <t>Rebate PPA - Retail 90 - Year 5</t>
        </is>
      </c>
      <c r="B432" s="2" t="n"/>
      <c r="C432" s="43">
        <f>IF(Combine="Y", $G432, 0)</f>
        <v/>
      </c>
      <c r="D432" s="2" t="n"/>
      <c r="E432" s="4" t="n"/>
      <c r="F432" s="2" t="n"/>
      <c r="G432" s="43">
        <f>IF((G146+G572-G577)=0,0,SUM(IF($K432="",0,($K146+$K572-$K577)*$K432),IF($L432="",0,($L146+$L572-$L577)*$L432),IF($M432="",0,($M146+$M572-$M577)*$M432))/(G146+G572-G577))</f>
        <v/>
      </c>
      <c r="H432" s="2" t="n"/>
      <c r="I432" s="4" t="n"/>
      <c r="J432" s="2" t="n"/>
      <c r="K432" s="44">
        <f>IF('RPT1'!$J432="","",'RPT1'!$J432)</f>
        <v/>
      </c>
      <c r="L432" s="44">
        <f>IF('RPT2'!$J432="","",'RPT2'!$J432)</f>
        <v/>
      </c>
      <c r="M432" s="44">
        <f>IF('RPT3'!$J432="","",'RPT3'!$J432)</f>
        <v/>
      </c>
    </row>
    <row r="433">
      <c r="A433" s="16" t="inlineStr">
        <is>
          <t>Rebate PPA - Specialty - Year 1</t>
        </is>
      </c>
      <c r="B433" s="2" t="n"/>
      <c r="C433" s="43">
        <f>IF(Combine="Y", $G433, 0)</f>
        <v/>
      </c>
      <c r="D433" s="2" t="n"/>
      <c r="E433" s="4" t="n"/>
      <c r="F433" s="2" t="n"/>
      <c r="G433" s="43">
        <f>IF((G152+G578-G583)=0,0,SUM(IF($K433="",0,($K152+$K578-$K583)*$K433),IF($L433="",0,($L152+$L578-$L583)*$L433),IF($M433="",0,($M152+$M578-$M583)*$M433))/(G152+G578-G583))</f>
        <v/>
      </c>
      <c r="H433" s="2" t="n"/>
      <c r="I433" s="4" t="n"/>
      <c r="J433" s="2" t="n"/>
      <c r="K433" s="44">
        <f>IF('RPT1'!$J433="","",'RPT1'!$J433)</f>
        <v/>
      </c>
      <c r="L433" s="44">
        <f>IF('RPT2'!$J433="","",'RPT2'!$J433)</f>
        <v/>
      </c>
      <c r="M433" s="44">
        <f>IF('RPT3'!$J433="","",'RPT3'!$J433)</f>
        <v/>
      </c>
    </row>
    <row r="434">
      <c r="A434" s="16" t="inlineStr">
        <is>
          <t>Rebate PPA - Specialty - Year 2</t>
        </is>
      </c>
      <c r="B434" s="2" t="n"/>
      <c r="C434" s="43">
        <f>IF(Combine="Y", $G434, 0)</f>
        <v/>
      </c>
      <c r="D434" s="2" t="n"/>
      <c r="E434" s="4" t="n"/>
      <c r="F434" s="2" t="n"/>
      <c r="G434" s="43">
        <f>IF((G153+G579-G584)=0,0,SUM(IF($K434="",0,($K153+$K579-$K584)*$K434),IF($L434="",0,($L153+$L579-$L584)*$L434),IF($M434="",0,($M153+$M579-$M584)*$M434))/(G153+G579-G584))</f>
        <v/>
      </c>
      <c r="H434" s="2" t="n"/>
      <c r="I434" s="4" t="n"/>
      <c r="J434" s="2" t="n"/>
      <c r="K434" s="44">
        <f>IF('RPT1'!$J434="","",'RPT1'!$J434)</f>
        <v/>
      </c>
      <c r="L434" s="44">
        <f>IF('RPT2'!$J434="","",'RPT2'!$J434)</f>
        <v/>
      </c>
      <c r="M434" s="44">
        <f>IF('RPT3'!$J434="","",'RPT3'!$J434)</f>
        <v/>
      </c>
    </row>
    <row r="435">
      <c r="A435" s="16" t="inlineStr">
        <is>
          <t>Rebate PPA - Specialty - Year 3</t>
        </is>
      </c>
      <c r="B435" s="2" t="n"/>
      <c r="C435" s="43">
        <f>IF(Combine="Y", $G435, 0)</f>
        <v/>
      </c>
      <c r="D435" s="2" t="n"/>
      <c r="E435" s="4" t="n"/>
      <c r="F435" s="2" t="n"/>
      <c r="G435" s="43">
        <f>IF((G154+G580-G585)=0,0,SUM(IF($K435="",0,($K154+$K580-$K585)*$K435),IF($L435="",0,($L154+$L580-$L585)*$L435),IF($M435="",0,($M154+$M580-$M585)*$M435))/(G154+G580-G585))</f>
        <v/>
      </c>
      <c r="H435" s="2" t="n"/>
      <c r="I435" s="4" t="n"/>
      <c r="J435" s="2" t="n"/>
      <c r="K435" s="44">
        <f>IF('RPT1'!$J435="","",'RPT1'!$J435)</f>
        <v/>
      </c>
      <c r="L435" s="44">
        <f>IF('RPT2'!$J435="","",'RPT2'!$J435)</f>
        <v/>
      </c>
      <c r="M435" s="44">
        <f>IF('RPT3'!$J435="","",'RPT3'!$J435)</f>
        <v/>
      </c>
    </row>
    <row r="436">
      <c r="A436" s="16" t="inlineStr">
        <is>
          <t>Rebate PPA - Specialty - Year 4</t>
        </is>
      </c>
      <c r="B436" s="2" t="n"/>
      <c r="C436" s="43">
        <f>IF(Combine="Y", $G436, 0)</f>
        <v/>
      </c>
      <c r="D436" s="2" t="n"/>
      <c r="E436" s="4" t="n"/>
      <c r="F436" s="2" t="n"/>
      <c r="G436" s="43">
        <f>IF((G155+G581-G586)=0,0,SUM(IF($K436="",0,($K155+$K581-$K586)*$K436),IF($L436="",0,($L155+$L581-$L586)*$L436),IF($M436="",0,($M155+$M581-$M586)*$M436))/(G155+G581-G586))</f>
        <v/>
      </c>
      <c r="H436" s="2" t="n"/>
      <c r="I436" s="4" t="n"/>
      <c r="J436" s="2" t="n"/>
      <c r="K436" s="44">
        <f>IF('RPT1'!$J436="","",'RPT1'!$J436)</f>
        <v/>
      </c>
      <c r="L436" s="44">
        <f>IF('RPT2'!$J436="","",'RPT2'!$J436)</f>
        <v/>
      </c>
      <c r="M436" s="44">
        <f>IF('RPT3'!$J436="","",'RPT3'!$J436)</f>
        <v/>
      </c>
    </row>
    <row r="437">
      <c r="A437" s="16" t="inlineStr">
        <is>
          <t>Rebate PPA - Specialty - Year 5</t>
        </is>
      </c>
      <c r="B437" s="2" t="n"/>
      <c r="C437" s="43">
        <f>IF(Combine="Y", $G437, 0)</f>
        <v/>
      </c>
      <c r="D437" s="2" t="n"/>
      <c r="E437" s="4" t="n"/>
      <c r="F437" s="2" t="n"/>
      <c r="G437" s="43">
        <f>IF((G156+G582-G587)=0,0,SUM(IF($K437="",0,($K156+$K582-$K587)*$K437),IF($L437="",0,($L156+$L582-$L587)*$L437),IF($M437="",0,($M156+$M582-$M587)*$M437))/(G156+G582-G587))</f>
        <v/>
      </c>
      <c r="H437" s="2" t="n"/>
      <c r="I437" s="4" t="n"/>
      <c r="J437" s="2" t="n"/>
      <c r="K437" s="44">
        <f>IF('RPT1'!$J437="","",'RPT1'!$J437)</f>
        <v/>
      </c>
      <c r="L437" s="44">
        <f>IF('RPT2'!$J437="","",'RPT2'!$J437)</f>
        <v/>
      </c>
      <c r="M437" s="44">
        <f>IF('RPT3'!$J437="","",'RPT3'!$J437)</f>
        <v/>
      </c>
    </row>
    <row r="438">
      <c r="A438" s="31" t="n"/>
      <c r="B438" s="2" t="n"/>
      <c r="C438" s="14" t="n"/>
      <c r="D438" s="2" t="n"/>
      <c r="E438" s="4" t="n"/>
      <c r="F438" s="2" t="n"/>
      <c r="G438" s="14" t="n"/>
      <c r="H438" s="2" t="n"/>
      <c r="I438" s="4" t="n"/>
      <c r="J438" s="2" t="n"/>
      <c r="K438" s="32" t="n"/>
      <c r="L438" s="32" t="n"/>
      <c r="M438" s="32" t="n"/>
    </row>
    <row r="439">
      <c r="A439" s="12" t="inlineStr">
        <is>
          <t>Rebate Total</t>
        </is>
      </c>
      <c r="B439" s="2" t="n"/>
      <c r="C439" s="14" t="n"/>
      <c r="D439" s="2" t="n"/>
      <c r="E439" s="4" t="n"/>
      <c r="F439" s="2" t="n"/>
      <c r="G439" s="14" t="n"/>
      <c r="H439" s="2" t="n"/>
      <c r="I439" s="4" t="n"/>
      <c r="J439" s="2" t="n"/>
      <c r="K439" s="32">
        <f>IF('RPT1'!$J439="","",'RPT1'!$J439)</f>
        <v/>
      </c>
      <c r="L439" s="32">
        <f>IF('RPT2'!$J439="","",'RPT2'!$J439)</f>
        <v/>
      </c>
      <c r="M439" s="32">
        <f>IF('RPT3'!$J439="","",'RPT3'!$J439)</f>
        <v/>
      </c>
    </row>
    <row r="440">
      <c r="A440" s="16" t="inlineStr">
        <is>
          <t>Rebate Total - Mail - Year 1</t>
        </is>
      </c>
      <c r="B440" s="2" t="n"/>
      <c r="C440" s="43">
        <f>IF(Combine="Y", $G440, 0)</f>
        <v/>
      </c>
      <c r="D440" s="2" t="n"/>
      <c r="E440" s="4" t="n"/>
      <c r="F440" s="2" t="n"/>
      <c r="G440" s="43">
        <f>G352+G374+G396+G418</f>
        <v/>
      </c>
      <c r="H440" s="2" t="n"/>
      <c r="I440" s="4" t="n"/>
      <c r="J440" s="2" t="n"/>
      <c r="K440" s="44">
        <f>IF('RPT1'!$J440="","",'RPT1'!$J440)</f>
        <v/>
      </c>
      <c r="L440" s="44">
        <f>IF('RPT2'!$J440="","",'RPT2'!$J440)</f>
        <v/>
      </c>
      <c r="M440" s="44">
        <f>IF('RPT3'!$J440="","",'RPT3'!$J440)</f>
        <v/>
      </c>
    </row>
    <row r="441">
      <c r="A441" s="16" t="inlineStr">
        <is>
          <t>Rebate Total - Mail - Year 2</t>
        </is>
      </c>
      <c r="B441" s="2" t="n"/>
      <c r="C441" s="43">
        <f>IF(Combine="Y", $G441, 0)</f>
        <v/>
      </c>
      <c r="D441" s="2" t="n"/>
      <c r="E441" s="4" t="n"/>
      <c r="F441" s="2" t="n"/>
      <c r="G441" s="43">
        <f>G353+G375+G397+G419</f>
        <v/>
      </c>
      <c r="H441" s="2" t="n"/>
      <c r="I441" s="4" t="n"/>
      <c r="J441" s="2" t="n"/>
      <c r="K441" s="44">
        <f>IF('RPT1'!$J441="","",'RPT1'!$J441)</f>
        <v/>
      </c>
      <c r="L441" s="44">
        <f>IF('RPT2'!$J441="","",'RPT2'!$J441)</f>
        <v/>
      </c>
      <c r="M441" s="44">
        <f>IF('RPT3'!$J441="","",'RPT3'!$J441)</f>
        <v/>
      </c>
    </row>
    <row r="442">
      <c r="A442" s="16" t="inlineStr">
        <is>
          <t>Rebate Total - Mail - Year 3</t>
        </is>
      </c>
      <c r="B442" s="2" t="n"/>
      <c r="C442" s="43">
        <f>IF(Combine="Y", $G442, 0)</f>
        <v/>
      </c>
      <c r="D442" s="2" t="n"/>
      <c r="E442" s="4" t="n"/>
      <c r="F442" s="2" t="n"/>
      <c r="G442" s="43">
        <f>G354+G376+G398+G420</f>
        <v/>
      </c>
      <c r="H442" s="2" t="n"/>
      <c r="I442" s="4" t="n"/>
      <c r="J442" s="2" t="n"/>
      <c r="K442" s="44">
        <f>IF('RPT1'!$J442="","",'RPT1'!$J442)</f>
        <v/>
      </c>
      <c r="L442" s="44">
        <f>IF('RPT2'!$J442="","",'RPT2'!$J442)</f>
        <v/>
      </c>
      <c r="M442" s="44">
        <f>IF('RPT3'!$J442="","",'RPT3'!$J442)</f>
        <v/>
      </c>
    </row>
    <row r="443">
      <c r="A443" s="16" t="inlineStr">
        <is>
          <t>Rebate Total - Mail - Year 4</t>
        </is>
      </c>
      <c r="B443" s="2" t="n"/>
      <c r="C443" s="43">
        <f>IF(Combine="Y", $G443, 0)</f>
        <v/>
      </c>
      <c r="D443" s="2" t="n"/>
      <c r="E443" s="4" t="n"/>
      <c r="F443" s="2" t="n"/>
      <c r="G443" s="43">
        <f>G355+G377+G399+G421</f>
        <v/>
      </c>
      <c r="H443" s="2" t="n"/>
      <c r="I443" s="4" t="n"/>
      <c r="J443" s="2" t="n"/>
      <c r="K443" s="44">
        <f>IF('RPT1'!$J443="","",'RPT1'!$J443)</f>
        <v/>
      </c>
      <c r="L443" s="44">
        <f>IF('RPT2'!$J443="","",'RPT2'!$J443)</f>
        <v/>
      </c>
      <c r="M443" s="44">
        <f>IF('RPT3'!$J443="","",'RPT3'!$J443)</f>
        <v/>
      </c>
    </row>
    <row r="444">
      <c r="A444" s="16" t="inlineStr">
        <is>
          <t>Rebate Total - Mail - Year 5</t>
        </is>
      </c>
      <c r="B444" s="2" t="n"/>
      <c r="C444" s="43">
        <f>IF(Combine="Y", $G444, 0)</f>
        <v/>
      </c>
      <c r="D444" s="2" t="n"/>
      <c r="E444" s="4" t="n"/>
      <c r="F444" s="2" t="n"/>
      <c r="G444" s="43">
        <f>G356+G378+G400+G422</f>
        <v/>
      </c>
      <c r="H444" s="2" t="n"/>
      <c r="I444" s="4" t="n"/>
      <c r="J444" s="2" t="n"/>
      <c r="K444" s="44">
        <f>IF('RPT1'!$J444="","",'RPT1'!$J444)</f>
        <v/>
      </c>
      <c r="L444" s="44">
        <f>IF('RPT2'!$J444="","",'RPT2'!$J444)</f>
        <v/>
      </c>
      <c r="M444" s="44">
        <f>IF('RPT3'!$J444="","",'RPT3'!$J444)</f>
        <v/>
      </c>
    </row>
    <row r="445">
      <c r="A445" s="16" t="inlineStr">
        <is>
          <t>Rebate Total - Retail 30 - Year 1</t>
        </is>
      </c>
      <c r="B445" s="2" t="n"/>
      <c r="C445" s="43">
        <f>IF(Combine="Y", $G445, 0)</f>
        <v/>
      </c>
      <c r="D445" s="2" t="n"/>
      <c r="E445" s="4" t="n"/>
      <c r="F445" s="2" t="n"/>
      <c r="G445" s="43">
        <f>G357+G379+G401+G423</f>
        <v/>
      </c>
      <c r="H445" s="2" t="n"/>
      <c r="I445" s="4" t="n"/>
      <c r="J445" s="2" t="n"/>
      <c r="K445" s="44">
        <f>IF('RPT1'!$J445="","",'RPT1'!$J445)</f>
        <v/>
      </c>
      <c r="L445" s="44">
        <f>IF('RPT2'!$J445="","",'RPT2'!$J445)</f>
        <v/>
      </c>
      <c r="M445" s="44">
        <f>IF('RPT3'!$J445="","",'RPT3'!$J445)</f>
        <v/>
      </c>
    </row>
    <row r="446">
      <c r="A446" s="16" t="inlineStr">
        <is>
          <t>Rebate Total - Retail 30 - Year 2</t>
        </is>
      </c>
      <c r="B446" s="2" t="n"/>
      <c r="C446" s="43">
        <f>IF(Combine="Y", $G446, 0)</f>
        <v/>
      </c>
      <c r="D446" s="2" t="n"/>
      <c r="E446" s="4" t="n"/>
      <c r="F446" s="2" t="n"/>
      <c r="G446" s="43">
        <f>G358+G380+G402+G424</f>
        <v/>
      </c>
      <c r="H446" s="2" t="n"/>
      <c r="I446" s="4" t="n"/>
      <c r="J446" s="2" t="n"/>
      <c r="K446" s="44">
        <f>IF('RPT1'!$J446="","",'RPT1'!$J446)</f>
        <v/>
      </c>
      <c r="L446" s="44">
        <f>IF('RPT2'!$J446="","",'RPT2'!$J446)</f>
        <v/>
      </c>
      <c r="M446" s="44">
        <f>IF('RPT3'!$J446="","",'RPT3'!$J446)</f>
        <v/>
      </c>
    </row>
    <row r="447">
      <c r="A447" s="16" t="inlineStr">
        <is>
          <t>Rebate Total - Retail 30 - Year 3</t>
        </is>
      </c>
      <c r="B447" s="2" t="n"/>
      <c r="C447" s="43">
        <f>IF(Combine="Y", $G447, 0)</f>
        <v/>
      </c>
      <c r="D447" s="2" t="n"/>
      <c r="E447" s="4" t="n"/>
      <c r="F447" s="2" t="n"/>
      <c r="G447" s="43">
        <f>G359+G381+G403+G425</f>
        <v/>
      </c>
      <c r="H447" s="2" t="n"/>
      <c r="I447" s="4" t="n"/>
      <c r="J447" s="2" t="n"/>
      <c r="K447" s="44">
        <f>IF('RPT1'!$J447="","",'RPT1'!$J447)</f>
        <v/>
      </c>
      <c r="L447" s="44">
        <f>IF('RPT2'!$J447="","",'RPT2'!$J447)</f>
        <v/>
      </c>
      <c r="M447" s="44">
        <f>IF('RPT3'!$J447="","",'RPT3'!$J447)</f>
        <v/>
      </c>
    </row>
    <row r="448">
      <c r="A448" s="16" t="inlineStr">
        <is>
          <t>Rebate Total - Retail 30 - Year 4</t>
        </is>
      </c>
      <c r="B448" s="2" t="n"/>
      <c r="C448" s="43">
        <f>IF(Combine="Y", $G448, 0)</f>
        <v/>
      </c>
      <c r="D448" s="2" t="n"/>
      <c r="E448" s="4" t="n"/>
      <c r="F448" s="2" t="n"/>
      <c r="G448" s="43">
        <f>G360+G382+G404+G426</f>
        <v/>
      </c>
      <c r="H448" s="2" t="n"/>
      <c r="I448" s="4" t="n"/>
      <c r="J448" s="2" t="n"/>
      <c r="K448" s="44">
        <f>IF('RPT1'!$J448="","",'RPT1'!$J448)</f>
        <v/>
      </c>
      <c r="L448" s="44">
        <f>IF('RPT2'!$J448="","",'RPT2'!$J448)</f>
        <v/>
      </c>
      <c r="M448" s="44">
        <f>IF('RPT3'!$J448="","",'RPT3'!$J448)</f>
        <v/>
      </c>
    </row>
    <row r="449">
      <c r="A449" s="16" t="inlineStr">
        <is>
          <t>Rebate Total - Retail 30 - Year 5</t>
        </is>
      </c>
      <c r="B449" s="2" t="n"/>
      <c r="C449" s="43">
        <f>IF(Combine="Y", $G449, 0)</f>
        <v/>
      </c>
      <c r="D449" s="2" t="n"/>
      <c r="E449" s="4" t="n"/>
      <c r="F449" s="2" t="n"/>
      <c r="G449" s="43">
        <f>G361+G383+G405+G427</f>
        <v/>
      </c>
      <c r="H449" s="2" t="n"/>
      <c r="I449" s="4" t="n"/>
      <c r="J449" s="2" t="n"/>
      <c r="K449" s="44">
        <f>IF('RPT1'!$J449="","",'RPT1'!$J449)</f>
        <v/>
      </c>
      <c r="L449" s="44">
        <f>IF('RPT2'!$J449="","",'RPT2'!$J449)</f>
        <v/>
      </c>
      <c r="M449" s="44">
        <f>IF('RPT3'!$J449="","",'RPT3'!$J449)</f>
        <v/>
      </c>
    </row>
    <row r="450">
      <c r="A450" s="16" t="inlineStr">
        <is>
          <t>Rebate Total - Retail 90 - Year 1</t>
        </is>
      </c>
      <c r="B450" s="2" t="n"/>
      <c r="C450" s="43">
        <f>IF(Combine="Y", $G450, 0)</f>
        <v/>
      </c>
      <c r="D450" s="2" t="n"/>
      <c r="E450" s="4" t="n"/>
      <c r="F450" s="2" t="n"/>
      <c r="G450" s="43">
        <f>G362+G384+G406+G428</f>
        <v/>
      </c>
      <c r="H450" s="2" t="n"/>
      <c r="I450" s="4" t="n"/>
      <c r="J450" s="2" t="n"/>
      <c r="K450" s="44">
        <f>IF('RPT1'!$J450="","",'RPT1'!$J450)</f>
        <v/>
      </c>
      <c r="L450" s="44">
        <f>IF('RPT2'!$J450="","",'RPT2'!$J450)</f>
        <v/>
      </c>
      <c r="M450" s="44">
        <f>IF('RPT3'!$J450="","",'RPT3'!$J450)</f>
        <v/>
      </c>
    </row>
    <row r="451">
      <c r="A451" s="16" t="inlineStr">
        <is>
          <t>Rebate Total - Retail 90 - Year 2</t>
        </is>
      </c>
      <c r="B451" s="2" t="n"/>
      <c r="C451" s="43">
        <f>IF(Combine="Y", $G451, 0)</f>
        <v/>
      </c>
      <c r="D451" s="2" t="n"/>
      <c r="E451" s="4" t="n"/>
      <c r="F451" s="2" t="n"/>
      <c r="G451" s="43">
        <f>G363+G385+G407+G429</f>
        <v/>
      </c>
      <c r="H451" s="2" t="n"/>
      <c r="I451" s="4" t="n"/>
      <c r="J451" s="2" t="n"/>
      <c r="K451" s="44">
        <f>IF('RPT1'!$J451="","",'RPT1'!$J451)</f>
        <v/>
      </c>
      <c r="L451" s="44">
        <f>IF('RPT2'!$J451="","",'RPT2'!$J451)</f>
        <v/>
      </c>
      <c r="M451" s="44">
        <f>IF('RPT3'!$J451="","",'RPT3'!$J451)</f>
        <v/>
      </c>
    </row>
    <row r="452">
      <c r="A452" s="16" t="inlineStr">
        <is>
          <t>Rebate Total - Retail 90 - Year 3</t>
        </is>
      </c>
      <c r="B452" s="2" t="n"/>
      <c r="C452" s="43">
        <f>IF(Combine="Y", $G452, 0)</f>
        <v/>
      </c>
      <c r="D452" s="2" t="n"/>
      <c r="E452" s="4" t="n"/>
      <c r="F452" s="2" t="n"/>
      <c r="G452" s="43">
        <f>G364+G386+G408+G430</f>
        <v/>
      </c>
      <c r="H452" s="2" t="n"/>
      <c r="I452" s="4" t="n"/>
      <c r="J452" s="2" t="n"/>
      <c r="K452" s="44">
        <f>IF('RPT1'!$J452="","",'RPT1'!$J452)</f>
        <v/>
      </c>
      <c r="L452" s="44">
        <f>IF('RPT2'!$J452="","",'RPT2'!$J452)</f>
        <v/>
      </c>
      <c r="M452" s="44">
        <f>IF('RPT3'!$J452="","",'RPT3'!$J452)</f>
        <v/>
      </c>
    </row>
    <row r="453">
      <c r="A453" s="16" t="inlineStr">
        <is>
          <t>Rebate Total - Retail 90 - Year 4</t>
        </is>
      </c>
      <c r="B453" s="2" t="n"/>
      <c r="C453" s="43">
        <f>IF(Combine="Y", $G453, 0)</f>
        <v/>
      </c>
      <c r="D453" s="2" t="n"/>
      <c r="E453" s="4" t="n"/>
      <c r="F453" s="2" t="n"/>
      <c r="G453" s="43">
        <f>G365+G387+G409+G431</f>
        <v/>
      </c>
      <c r="H453" s="2" t="n"/>
      <c r="I453" s="4" t="n"/>
      <c r="J453" s="2" t="n"/>
      <c r="K453" s="44">
        <f>IF('RPT1'!$J453="","",'RPT1'!$J453)</f>
        <v/>
      </c>
      <c r="L453" s="44">
        <f>IF('RPT2'!$J453="","",'RPT2'!$J453)</f>
        <v/>
      </c>
      <c r="M453" s="44">
        <f>IF('RPT3'!$J453="","",'RPT3'!$J453)</f>
        <v/>
      </c>
    </row>
    <row r="454">
      <c r="A454" s="16" t="inlineStr">
        <is>
          <t>Rebate Total - Retail 90 - Year 5</t>
        </is>
      </c>
      <c r="B454" s="2" t="n"/>
      <c r="C454" s="43">
        <f>IF(Combine="Y", $G454, 0)</f>
        <v/>
      </c>
      <c r="D454" s="2" t="n"/>
      <c r="E454" s="4" t="n"/>
      <c r="F454" s="2" t="n"/>
      <c r="G454" s="43">
        <f>G366+G388+G410+G432</f>
        <v/>
      </c>
      <c r="H454" s="2" t="n"/>
      <c r="I454" s="4" t="n"/>
      <c r="J454" s="2" t="n"/>
      <c r="K454" s="44">
        <f>IF('RPT1'!$J454="","",'RPT1'!$J454)</f>
        <v/>
      </c>
      <c r="L454" s="44">
        <f>IF('RPT2'!$J454="","",'RPT2'!$J454)</f>
        <v/>
      </c>
      <c r="M454" s="44">
        <f>IF('RPT3'!$J454="","",'RPT3'!$J454)</f>
        <v/>
      </c>
    </row>
    <row r="455">
      <c r="A455" s="16" t="inlineStr">
        <is>
          <t>Rebate Total - Specialty - Year 1</t>
        </is>
      </c>
      <c r="B455" s="2" t="n"/>
      <c r="C455" s="43">
        <f>IF(Combine="Y", $G455, 0)</f>
        <v/>
      </c>
      <c r="D455" s="2" t="n"/>
      <c r="E455" s="4" t="n"/>
      <c r="F455" s="2" t="n"/>
      <c r="G455" s="43">
        <f>G367+G389+G411+G433</f>
        <v/>
      </c>
      <c r="H455" s="2" t="n"/>
      <c r="I455" s="4" t="n"/>
      <c r="J455" s="2" t="n"/>
      <c r="K455" s="44">
        <f>IF('RPT1'!$J455="","",'RPT1'!$J455)</f>
        <v/>
      </c>
      <c r="L455" s="44">
        <f>IF('RPT2'!$J455="","",'RPT2'!$J455)</f>
        <v/>
      </c>
      <c r="M455" s="44">
        <f>IF('RPT3'!$J455="","",'RPT3'!$J455)</f>
        <v/>
      </c>
    </row>
    <row r="456">
      <c r="A456" s="16" t="inlineStr">
        <is>
          <t>Rebate Total - Specialty - Year 2</t>
        </is>
      </c>
      <c r="B456" s="2" t="n"/>
      <c r="C456" s="43">
        <f>IF(Combine="Y", $G456, 0)</f>
        <v/>
      </c>
      <c r="D456" s="2" t="n"/>
      <c r="E456" s="4" t="n"/>
      <c r="F456" s="2" t="n"/>
      <c r="G456" s="43">
        <f>G368+G390+G412+G434</f>
        <v/>
      </c>
      <c r="H456" s="2" t="n"/>
      <c r="I456" s="4" t="n"/>
      <c r="J456" s="2" t="n"/>
      <c r="K456" s="44">
        <f>IF('RPT1'!$J456="","",'RPT1'!$J456)</f>
        <v/>
      </c>
      <c r="L456" s="44">
        <f>IF('RPT2'!$J456="","",'RPT2'!$J456)</f>
        <v/>
      </c>
      <c r="M456" s="44">
        <f>IF('RPT3'!$J456="","",'RPT3'!$J456)</f>
        <v/>
      </c>
    </row>
    <row r="457">
      <c r="A457" s="16" t="inlineStr">
        <is>
          <t>Rebate Total - Specialty - Year 3</t>
        </is>
      </c>
      <c r="B457" s="2" t="n"/>
      <c r="C457" s="43">
        <f>IF(Combine="Y", $G457, 0)</f>
        <v/>
      </c>
      <c r="D457" s="2" t="n"/>
      <c r="E457" s="4" t="n"/>
      <c r="F457" s="2" t="n"/>
      <c r="G457" s="43">
        <f>G369+G391+G413+G435</f>
        <v/>
      </c>
      <c r="H457" s="2" t="n"/>
      <c r="I457" s="4" t="n"/>
      <c r="J457" s="2" t="n"/>
      <c r="K457" s="44">
        <f>IF('RPT1'!$J457="","",'RPT1'!$J457)</f>
        <v/>
      </c>
      <c r="L457" s="44">
        <f>IF('RPT2'!$J457="","",'RPT2'!$J457)</f>
        <v/>
      </c>
      <c r="M457" s="44">
        <f>IF('RPT3'!$J457="","",'RPT3'!$J457)</f>
        <v/>
      </c>
    </row>
    <row r="458">
      <c r="A458" s="16" t="inlineStr">
        <is>
          <t>Rebate Total - Specialty - Year 4</t>
        </is>
      </c>
      <c r="B458" s="2" t="n"/>
      <c r="C458" s="43">
        <f>IF(Combine="Y", $G458, 0)</f>
        <v/>
      </c>
      <c r="D458" s="2" t="n"/>
      <c r="E458" s="4" t="n"/>
      <c r="F458" s="2" t="n"/>
      <c r="G458" s="43">
        <f>G370+G392+G414+G436</f>
        <v/>
      </c>
      <c r="H458" s="2" t="n"/>
      <c r="I458" s="4" t="n"/>
      <c r="J458" s="2" t="n"/>
      <c r="K458" s="44">
        <f>IF('RPT1'!$J458="","",'RPT1'!$J458)</f>
        <v/>
      </c>
      <c r="L458" s="44">
        <f>IF('RPT2'!$J458="","",'RPT2'!$J458)</f>
        <v/>
      </c>
      <c r="M458" s="44">
        <f>IF('RPT3'!$J458="","",'RPT3'!$J458)</f>
        <v/>
      </c>
    </row>
    <row r="459">
      <c r="A459" s="16" t="inlineStr">
        <is>
          <t>Rebate Total - Specialty - Year 5</t>
        </is>
      </c>
      <c r="B459" s="2" t="n"/>
      <c r="C459" s="43">
        <f>IF(Combine="Y", $G459, 0)</f>
        <v/>
      </c>
      <c r="D459" s="2" t="n"/>
      <c r="E459" s="4" t="n"/>
      <c r="F459" s="2" t="n"/>
      <c r="G459" s="43">
        <f>G371+G393+G415+G437</f>
        <v/>
      </c>
      <c r="H459" s="2" t="n"/>
      <c r="I459" s="4" t="n"/>
      <c r="J459" s="2" t="n"/>
      <c r="K459" s="44">
        <f>IF('RPT1'!$J459="","",'RPT1'!$J459)</f>
        <v/>
      </c>
      <c r="L459" s="44">
        <f>IF('RPT2'!$J459="","",'RPT2'!$J459)</f>
        <v/>
      </c>
      <c r="M459" s="44">
        <f>IF('RPT3'!$J459="","",'RPT3'!$J459)</f>
        <v/>
      </c>
    </row>
    <row r="460">
      <c r="A460" s="31" t="n"/>
      <c r="B460" s="2" t="n"/>
      <c r="C460" s="43" t="n"/>
      <c r="D460" s="2" t="n"/>
      <c r="E460" s="4" t="n"/>
      <c r="F460" s="2" t="n"/>
      <c r="G460" s="43" t="n"/>
      <c r="H460" s="2" t="n"/>
      <c r="I460" s="4" t="n"/>
      <c r="J460" s="2" t="n"/>
      <c r="K460" s="44" t="n"/>
      <c r="L460" s="44" t="n"/>
      <c r="M460" s="44" t="n"/>
    </row>
    <row r="461">
      <c r="A461" s="37" t="inlineStr">
        <is>
          <t>Rebate Factor</t>
        </is>
      </c>
      <c r="B461" s="2" t="n"/>
      <c r="C461" s="43" t="n"/>
      <c r="D461" s="2" t="n"/>
      <c r="E461" s="4" t="n"/>
      <c r="F461" s="2" t="n"/>
      <c r="G461" s="43" t="n"/>
      <c r="H461" s="2" t="n"/>
      <c r="I461" s="4" t="n"/>
      <c r="J461" s="2" t="n"/>
      <c r="K461" s="44">
        <f>IF('RPT1'!$J461="","",'RPT1'!$J461)</f>
        <v/>
      </c>
      <c r="L461" s="44">
        <f>IF('RPT2'!$J461="","",'RPT2'!$J461)</f>
        <v/>
      </c>
      <c r="M461" s="44">
        <f>IF('RPT3'!$J461="","",'RPT3'!$J461)</f>
        <v/>
      </c>
    </row>
    <row r="462">
      <c r="A462" s="16" t="inlineStr">
        <is>
          <t>Rebate Factor - Mail - Year 1</t>
        </is>
      </c>
      <c r="B462" s="2" t="n"/>
      <c r="C462" s="45">
        <f>IF(Combine="Y", $G462, 0)</f>
        <v/>
      </c>
      <c r="D462" s="2" t="n"/>
      <c r="E462" s="4" t="n"/>
      <c r="F462" s="2" t="n"/>
      <c r="G462" s="45">
        <f>IF(((G122+G548-G553)*G440)=0,0,SUM(IF($K462="",0,($K122+$K548-$K553)*$K440*$K462),IF($L462="",0,($L122+$L548-$L553)*$L440*$L462),IF($M462="",0,($M122+$M548-$M553)*$M440*$M462))/((G122+G548-G553)*G440))</f>
        <v/>
      </c>
      <c r="H462" s="2" t="n"/>
      <c r="I462" s="4" t="n"/>
      <c r="J462" s="2" t="n"/>
      <c r="K462" s="46">
        <f>IF('RPT1'!$J462="","",'RPT1'!$J462)</f>
        <v/>
      </c>
      <c r="L462" s="46">
        <f>IF('RPT2'!$J462="","",'RPT2'!$J462)</f>
        <v/>
      </c>
      <c r="M462" s="46">
        <f>IF('RPT3'!$J462="","",'RPT3'!$J462)</f>
        <v/>
      </c>
    </row>
    <row r="463">
      <c r="A463" s="16" t="inlineStr">
        <is>
          <t>Rebate Factor - Mail - Year 2</t>
        </is>
      </c>
      <c r="B463" s="2" t="n"/>
      <c r="C463" s="45">
        <f>IF(Combine="Y", $G463, 0)</f>
        <v/>
      </c>
      <c r="D463" s="2" t="n"/>
      <c r="E463" s="4" t="n"/>
      <c r="F463" s="2" t="n"/>
      <c r="G463" s="45">
        <f>IF(((G123+G549-G554)*G441)=0,0,SUM(IF($K463="",0,($K123+$K549-$K554)*$K441*$K463),IF($L463="",0,($L123+$L549-$L554)*$L441*$L463),IF($M463="",0,($M123+$M549-$M554)*$M441*$M463))/((G123+G549-G554)*G441))</f>
        <v/>
      </c>
      <c r="H463" s="2" t="n"/>
      <c r="I463" s="4" t="n"/>
      <c r="J463" s="2" t="n"/>
      <c r="K463" s="46">
        <f>IF('RPT1'!$J463="","",'RPT1'!$J463)</f>
        <v/>
      </c>
      <c r="L463" s="46">
        <f>IF('RPT2'!$J463="","",'RPT2'!$J463)</f>
        <v/>
      </c>
      <c r="M463" s="46">
        <f>IF('RPT3'!$J463="","",'RPT3'!$J463)</f>
        <v/>
      </c>
    </row>
    <row r="464">
      <c r="A464" s="16" t="inlineStr">
        <is>
          <t>Rebate Factor - Mail - Year 3</t>
        </is>
      </c>
      <c r="B464" s="2" t="n"/>
      <c r="C464" s="45">
        <f>IF(Combine="Y", $G464, 0)</f>
        <v/>
      </c>
      <c r="D464" s="2" t="n"/>
      <c r="E464" s="4" t="n"/>
      <c r="F464" s="2" t="n"/>
      <c r="G464" s="45">
        <f>IF(((G124+G550-G555)*G442)=0,0,SUM(IF($K464="",0,($K124+$K550-$K555)*$K442*$K464),IF($L464="",0,($L124+$L550-$L555)*$L442*$L464),IF($M464="",0,($M124+$M550-$M555)*$M442*$M464))/((G124+G550-G555)*G442))</f>
        <v/>
      </c>
      <c r="H464" s="2" t="n"/>
      <c r="I464" s="4" t="n"/>
      <c r="J464" s="2" t="n"/>
      <c r="K464" s="46">
        <f>IF('RPT1'!$J464="","",'RPT1'!$J464)</f>
        <v/>
      </c>
      <c r="L464" s="46">
        <f>IF('RPT2'!$J464="","",'RPT2'!$J464)</f>
        <v/>
      </c>
      <c r="M464" s="46">
        <f>IF('RPT3'!$J464="","",'RPT3'!$J464)</f>
        <v/>
      </c>
    </row>
    <row r="465">
      <c r="A465" s="16" t="inlineStr">
        <is>
          <t>Rebate Factor - Mail - Year 4</t>
        </is>
      </c>
      <c r="B465" s="2" t="n"/>
      <c r="C465" s="45">
        <f>IF(Combine="Y", $G465, 0)</f>
        <v/>
      </c>
      <c r="D465" s="2" t="n"/>
      <c r="E465" s="4" t="n"/>
      <c r="F465" s="2" t="n"/>
      <c r="G465" s="45">
        <f>IF(((G125+G551-G556)*G443)=0,0,SUM(IF($K465="",0,($K125+$K551-$K556)*$K443*$K465),IF($L465="",0,($L125+$L551-$L556)*$L443*$L465),IF($M465="",0,($M125+$M551-$M556)*$M443*$M465))/((G125+G551-G556)*G443))</f>
        <v/>
      </c>
      <c r="H465" s="2" t="n"/>
      <c r="I465" s="4" t="n"/>
      <c r="J465" s="2" t="n"/>
      <c r="K465" s="46">
        <f>IF('RPT1'!$J465="","",'RPT1'!$J465)</f>
        <v/>
      </c>
      <c r="L465" s="46">
        <f>IF('RPT2'!$J465="","",'RPT2'!$J465)</f>
        <v/>
      </c>
      <c r="M465" s="46">
        <f>IF('RPT3'!$J465="","",'RPT3'!$J465)</f>
        <v/>
      </c>
    </row>
    <row r="466">
      <c r="A466" s="16" t="inlineStr">
        <is>
          <t>Rebate Factor - Mail - Year 5</t>
        </is>
      </c>
      <c r="B466" s="2" t="n"/>
      <c r="C466" s="45">
        <f>IF(Combine="Y", $G466, 0)</f>
        <v/>
      </c>
      <c r="D466" s="2" t="n"/>
      <c r="E466" s="4" t="n"/>
      <c r="F466" s="2" t="n"/>
      <c r="G466" s="45">
        <f>IF(((G126+G552-G557)*G444)=0,0,SUM(IF($K466="",0,($K126+$K552-$K557)*$K444*$K466),IF($L466="",0,($L126+$L552-$L557)*$L444*$L466),IF($M466="",0,($M126+$M552-$M557)*$M444*$M466))/((G126+G552-G557)*G444))</f>
        <v/>
      </c>
      <c r="H466" s="2" t="n"/>
      <c r="I466" s="4" t="n"/>
      <c r="J466" s="2" t="n"/>
      <c r="K466" s="46">
        <f>IF('RPT1'!$J466="","",'RPT1'!$J466)</f>
        <v/>
      </c>
      <c r="L466" s="46">
        <f>IF('RPT2'!$J466="","",'RPT2'!$J466)</f>
        <v/>
      </c>
      <c r="M466" s="46">
        <f>IF('RPT3'!$J466="","",'RPT3'!$J466)</f>
        <v/>
      </c>
    </row>
    <row r="467">
      <c r="A467" s="16" t="inlineStr">
        <is>
          <t>Rebate Factor - Retail 30 - Year 1</t>
        </is>
      </c>
      <c r="B467" s="2" t="n"/>
      <c r="C467" s="45">
        <f>IF(Combine="Y", $G467, 0)</f>
        <v/>
      </c>
      <c r="D467" s="2" t="n"/>
      <c r="E467" s="4" t="n"/>
      <c r="F467" s="2" t="n"/>
      <c r="G467" s="45">
        <f>IF(((G132+G558-G563)*G445)=0,0,SUM(IF($K467="",0,($K132+$K558-$K563)*$K445*$K467),IF($L467="",0,($L132+$L558-$L563)*$L445*$L467),IF($M467="",0,($M132+$M558-$M563)*$M445*$M467))/((G132+G558-G563)*G445))</f>
        <v/>
      </c>
      <c r="H467" s="2" t="n"/>
      <c r="I467" s="4" t="n"/>
      <c r="J467" s="2" t="n"/>
      <c r="K467" s="46">
        <f>IF('RPT1'!$J467="","",'RPT1'!$J467)</f>
        <v/>
      </c>
      <c r="L467" s="46">
        <f>IF('RPT2'!$J467="","",'RPT2'!$J467)</f>
        <v/>
      </c>
      <c r="M467" s="46">
        <f>IF('RPT3'!$J467="","",'RPT3'!$J467)</f>
        <v/>
      </c>
    </row>
    <row r="468">
      <c r="A468" s="16" t="inlineStr">
        <is>
          <t>Rebate Factor - Retail 30 - Year 2</t>
        </is>
      </c>
      <c r="B468" s="2" t="n"/>
      <c r="C468" s="45">
        <f>IF(Combine="Y", $G468, 0)</f>
        <v/>
      </c>
      <c r="D468" s="2" t="n"/>
      <c r="E468" s="4" t="n"/>
      <c r="F468" s="2" t="n"/>
      <c r="G468" s="45">
        <f>IF(((G133+G559-G564)*G446)=0,0,SUM(IF($K468="",0,($K133+$K559-$K564)*$K446*$K468),IF($L468="",0,($L133+$L559-$L564)*$L446*$L468),IF($M468="",0,($M133+$M559-$M564)*$M446*$M468))/((G133+G559-G564)*G446))</f>
        <v/>
      </c>
      <c r="H468" s="2" t="n"/>
      <c r="I468" s="4" t="n"/>
      <c r="J468" s="2" t="n"/>
      <c r="K468" s="46">
        <f>IF('RPT1'!$J468="","",'RPT1'!$J468)</f>
        <v/>
      </c>
      <c r="L468" s="46">
        <f>IF('RPT2'!$J468="","",'RPT2'!$J468)</f>
        <v/>
      </c>
      <c r="M468" s="46">
        <f>IF('RPT3'!$J468="","",'RPT3'!$J468)</f>
        <v/>
      </c>
    </row>
    <row r="469">
      <c r="A469" s="16" t="inlineStr">
        <is>
          <t>Rebate Factor - Retail 30 - Year 3</t>
        </is>
      </c>
      <c r="B469" s="2" t="n"/>
      <c r="C469" s="45">
        <f>IF(Combine="Y", $G469, 0)</f>
        <v/>
      </c>
      <c r="D469" s="2" t="n"/>
      <c r="E469" s="4" t="n"/>
      <c r="F469" s="2" t="n"/>
      <c r="G469" s="45">
        <f>IF(((G134+G560-G565)*G447)=0,0,SUM(IF($K469="",0,($K134+$K560-$K565)*$K447*$K469),IF($L469="",0,($L134+$L560-$L565)*$L447*$L469),IF($M469="",0,($M134+$M560-$M565)*$M447*$M469))/((G134+G560-G565)*G447))</f>
        <v/>
      </c>
      <c r="H469" s="2" t="n"/>
      <c r="I469" s="4" t="n"/>
      <c r="J469" s="2" t="n"/>
      <c r="K469" s="46">
        <f>IF('RPT1'!$J469="","",'RPT1'!$J469)</f>
        <v/>
      </c>
      <c r="L469" s="46">
        <f>IF('RPT2'!$J469="","",'RPT2'!$J469)</f>
        <v/>
      </c>
      <c r="M469" s="46">
        <f>IF('RPT3'!$J469="","",'RPT3'!$J469)</f>
        <v/>
      </c>
    </row>
    <row r="470">
      <c r="A470" s="16" t="inlineStr">
        <is>
          <t>Rebate Factor - Retail 30 - Year 4</t>
        </is>
      </c>
      <c r="B470" s="2" t="n"/>
      <c r="C470" s="45">
        <f>IF(Combine="Y", $G470, 0)</f>
        <v/>
      </c>
      <c r="D470" s="2" t="n"/>
      <c r="E470" s="4" t="n"/>
      <c r="F470" s="2" t="n"/>
      <c r="G470" s="45">
        <f>IF(((G135+G561-G566)*G448)=0,0,SUM(IF($K470="",0,($K135+$K561-$K566)*$K448*$K470),IF($L470="",0,($L135+$L561-$L566)*$L448*$L470),IF($M470="",0,($M135+$M561-$M566)*$M448*$M470))/((G135+G561-G566)*G448))</f>
        <v/>
      </c>
      <c r="H470" s="2" t="n"/>
      <c r="I470" s="4" t="n"/>
      <c r="J470" s="2" t="n"/>
      <c r="K470" s="46">
        <f>IF('RPT1'!$J470="","",'RPT1'!$J470)</f>
        <v/>
      </c>
      <c r="L470" s="46">
        <f>IF('RPT2'!$J470="","",'RPT2'!$J470)</f>
        <v/>
      </c>
      <c r="M470" s="46">
        <f>IF('RPT3'!$J470="","",'RPT3'!$J470)</f>
        <v/>
      </c>
    </row>
    <row r="471">
      <c r="A471" s="16" t="inlineStr">
        <is>
          <t>Rebate Factor - Retail 30 - Year 5</t>
        </is>
      </c>
      <c r="B471" s="2" t="n"/>
      <c r="C471" s="45">
        <f>IF(Combine="Y", $G471, 0)</f>
        <v/>
      </c>
      <c r="D471" s="2" t="n"/>
      <c r="E471" s="4" t="n"/>
      <c r="F471" s="2" t="n"/>
      <c r="G471" s="45">
        <f>IF(((G136+G562-G567)*G449)=0,0,SUM(IF($K471="",0,($K136+$K562-$K567)*$K449*$K471),IF($L471="",0,($L136+$L562-$L567)*$L449*$L471),IF($M471="",0,($M136+$M562-$M567)*$M449*$M471))/((G136+G562-G567)*G449))</f>
        <v/>
      </c>
      <c r="H471" s="2" t="n"/>
      <c r="I471" s="4" t="n"/>
      <c r="J471" s="2" t="n"/>
      <c r="K471" s="46">
        <f>IF('RPT1'!$J471="","",'RPT1'!$J471)</f>
        <v/>
      </c>
      <c r="L471" s="46">
        <f>IF('RPT2'!$J471="","",'RPT2'!$J471)</f>
        <v/>
      </c>
      <c r="M471" s="46">
        <f>IF('RPT3'!$J471="","",'RPT3'!$J471)</f>
        <v/>
      </c>
    </row>
    <row r="472">
      <c r="A472" s="16" t="inlineStr">
        <is>
          <t>Rebate Factor - Retail 90 - Year 1</t>
        </is>
      </c>
      <c r="B472" s="2" t="n"/>
      <c r="C472" s="45">
        <f>IF(Combine="Y", $G472, 0)</f>
        <v/>
      </c>
      <c r="D472" s="2" t="n"/>
      <c r="E472" s="4" t="n"/>
      <c r="F472" s="2" t="n"/>
      <c r="G472" s="45">
        <f>IF(((G142+G568-G573)*G450)=0,0,SUM(IF($K472="",0,($K142+$K568-$K573)*$K450*$K472),IF($L472="",0,($L142+$L568-$L573)*$L450*$L472),IF($M472="",0,($M142+$M568-$M573)*$M450*$M472))/((G142+G568-G573)*G450))</f>
        <v/>
      </c>
      <c r="H472" s="2" t="n"/>
      <c r="I472" s="4" t="n"/>
      <c r="J472" s="2" t="n"/>
      <c r="K472" s="46">
        <f>IF('RPT1'!$J472="","",'RPT1'!$J472)</f>
        <v/>
      </c>
      <c r="L472" s="46">
        <f>IF('RPT2'!$J472="","",'RPT2'!$J472)</f>
        <v/>
      </c>
      <c r="M472" s="46">
        <f>IF('RPT3'!$J472="","",'RPT3'!$J472)</f>
        <v/>
      </c>
    </row>
    <row r="473">
      <c r="A473" s="16" t="inlineStr">
        <is>
          <t>Rebate Factor - Retail 90 - Year 2</t>
        </is>
      </c>
      <c r="B473" s="2" t="n"/>
      <c r="C473" s="45">
        <f>IF(Combine="Y", $G473, 0)</f>
        <v/>
      </c>
      <c r="D473" s="2" t="n"/>
      <c r="E473" s="4" t="n"/>
      <c r="F473" s="2" t="n"/>
      <c r="G473" s="45">
        <f>IF(((G143+G569-G574)*G451)=0,0,SUM(IF($K473="",0,($K143+$K569-$K574)*$K451*$K473),IF($L473="",0,($L143+$L569-$L574)*$L451*$L473),IF($M473="",0,($M143+$M569-$M574)*$M451*$M473))/((G143+G569-G574)*G451))</f>
        <v/>
      </c>
      <c r="H473" s="2" t="n"/>
      <c r="I473" s="4" t="n"/>
      <c r="J473" s="2" t="n"/>
      <c r="K473" s="46">
        <f>IF('RPT1'!$J473="","",'RPT1'!$J473)</f>
        <v/>
      </c>
      <c r="L473" s="46">
        <f>IF('RPT2'!$J473="","",'RPT2'!$J473)</f>
        <v/>
      </c>
      <c r="M473" s="46">
        <f>IF('RPT3'!$J473="","",'RPT3'!$J473)</f>
        <v/>
      </c>
    </row>
    <row r="474">
      <c r="A474" s="16" t="inlineStr">
        <is>
          <t>Rebate Factor - Retail 90 - Year 3</t>
        </is>
      </c>
      <c r="B474" s="2" t="n"/>
      <c r="C474" s="45">
        <f>IF(Combine="Y", $G474, 0)</f>
        <v/>
      </c>
      <c r="D474" s="2" t="n"/>
      <c r="E474" s="4" t="n"/>
      <c r="F474" s="2" t="n"/>
      <c r="G474" s="45">
        <f>IF(((G144+G570-G575)*G452)=0,0,SUM(IF($K474="",0,($K144+$K570-$K575)*$K452*$K474),IF($L474="",0,($L144+$L570-$L575)*$L452*$L474),IF($M474="",0,($M144+$M570-$M575)*$M452*$M474))/((G144+G570-G575)*G452))</f>
        <v/>
      </c>
      <c r="H474" s="2" t="n"/>
      <c r="I474" s="4" t="n"/>
      <c r="J474" s="2" t="n"/>
      <c r="K474" s="46">
        <f>IF('RPT1'!$J474="","",'RPT1'!$J474)</f>
        <v/>
      </c>
      <c r="L474" s="46">
        <f>IF('RPT2'!$J474="","",'RPT2'!$J474)</f>
        <v/>
      </c>
      <c r="M474" s="46">
        <f>IF('RPT3'!$J474="","",'RPT3'!$J474)</f>
        <v/>
      </c>
    </row>
    <row r="475">
      <c r="A475" s="16" t="inlineStr">
        <is>
          <t>Rebate Factor - Retail 90 - Year 4</t>
        </is>
      </c>
      <c r="B475" s="2" t="n"/>
      <c r="C475" s="45">
        <f>IF(Combine="Y", $G475, 0)</f>
        <v/>
      </c>
      <c r="D475" s="2" t="n"/>
      <c r="E475" s="4" t="n"/>
      <c r="F475" s="2" t="n"/>
      <c r="G475" s="45">
        <f>IF(((G145+G571-G576)*G453)=0,0,SUM(IF($K475="",0,($K145+$K571-$K576)*$K453*$K475),IF($L475="",0,($L145+$L571-$L576)*$L453*$L475),IF($M475="",0,($M145+$M571-$M576)*$M453*$M475))/((G145+G571-G576)*G453))</f>
        <v/>
      </c>
      <c r="H475" s="2" t="n"/>
      <c r="I475" s="4" t="n"/>
      <c r="J475" s="2" t="n"/>
      <c r="K475" s="46">
        <f>IF('RPT1'!$J475="","",'RPT1'!$J475)</f>
        <v/>
      </c>
      <c r="L475" s="46">
        <f>IF('RPT2'!$J475="","",'RPT2'!$J475)</f>
        <v/>
      </c>
      <c r="M475" s="46">
        <f>IF('RPT3'!$J475="","",'RPT3'!$J475)</f>
        <v/>
      </c>
    </row>
    <row r="476">
      <c r="A476" s="16" t="inlineStr">
        <is>
          <t>Rebate Factor - Retail 90 - Year 5</t>
        </is>
      </c>
      <c r="B476" s="2" t="n"/>
      <c r="C476" s="45">
        <f>IF(Combine="Y", $G476, 0)</f>
        <v/>
      </c>
      <c r="D476" s="2" t="n"/>
      <c r="E476" s="4" t="n"/>
      <c r="F476" s="2" t="n"/>
      <c r="G476" s="45">
        <f>IF(((G146+G572-G577)*G454)=0,0,SUM(IF($K476="",0,($K146+$K572-$K577)*$K454*$K476),IF($L476="",0,($L146+$L572-$L577)*$L454*$L476),IF($M476="",0,($M146+$M572-$M577)*$M454*$M476))/((G146+G572-G577)*G454))</f>
        <v/>
      </c>
      <c r="H476" s="2" t="n"/>
      <c r="I476" s="4" t="n"/>
      <c r="J476" s="2" t="n"/>
      <c r="K476" s="46">
        <f>IF('RPT1'!$J476="","",'RPT1'!$J476)</f>
        <v/>
      </c>
      <c r="L476" s="46">
        <f>IF('RPT2'!$J476="","",'RPT2'!$J476)</f>
        <v/>
      </c>
      <c r="M476" s="46">
        <f>IF('RPT3'!$J476="","",'RPT3'!$J476)</f>
        <v/>
      </c>
    </row>
    <row r="477">
      <c r="A477" s="16" t="inlineStr">
        <is>
          <t>Rebate Factor - Specialty - Year 1</t>
        </is>
      </c>
      <c r="B477" s="2" t="n"/>
      <c r="C477" s="45">
        <f>IF(Combine="Y", $G477, 0)</f>
        <v/>
      </c>
      <c r="D477" s="2" t="n"/>
      <c r="E477" s="4" t="n"/>
      <c r="F477" s="2" t="n"/>
      <c r="G477" s="45">
        <f>IF(((G152+G578-G583)*G455)=0,0,SUM(IF($K477="",0,($K152+$K578-$K583)*$K455*$K477),IF($L477="",0,($L152+$L578-$L583)*$L455*$L477),IF($M477="",0,($M152+$M578-$M583)*$M455*$M477))/((G152+G578-G583)*G455))</f>
        <v/>
      </c>
      <c r="H477" s="2" t="n"/>
      <c r="I477" s="4" t="n"/>
      <c r="J477" s="2" t="n"/>
      <c r="K477" s="46">
        <f>IF('RPT1'!$J477="","",'RPT1'!$J477)</f>
        <v/>
      </c>
      <c r="L477" s="46">
        <f>IF('RPT2'!$J477="","",'RPT2'!$J477)</f>
        <v/>
      </c>
      <c r="M477" s="46">
        <f>IF('RPT3'!$J477="","",'RPT3'!$J477)</f>
        <v/>
      </c>
    </row>
    <row r="478">
      <c r="A478" s="16" t="inlineStr">
        <is>
          <t>Rebate Factor - Specialty - Year 2</t>
        </is>
      </c>
      <c r="B478" s="2" t="n"/>
      <c r="C478" s="45">
        <f>IF(Combine="Y", $G478, 0)</f>
        <v/>
      </c>
      <c r="D478" s="2" t="n"/>
      <c r="E478" s="4" t="n"/>
      <c r="F478" s="2" t="n"/>
      <c r="G478" s="45">
        <f>IF(((G153+G579-G584)*G456)=0,0,SUM(IF($K478="",0,($K153+$K579-$K584)*$K456*$K478),IF($L478="",0,($L153+$L579-$L584)*$L456*$L478),IF($M478="",0,($M153+$M579-$M584)*$M456*$M478))/((G153+G579-G584)*G456))</f>
        <v/>
      </c>
      <c r="H478" s="2" t="n"/>
      <c r="I478" s="4" t="n"/>
      <c r="J478" s="2" t="n"/>
      <c r="K478" s="46">
        <f>IF('RPT1'!$J478="","",'RPT1'!$J478)</f>
        <v/>
      </c>
      <c r="L478" s="46">
        <f>IF('RPT2'!$J478="","",'RPT2'!$J478)</f>
        <v/>
      </c>
      <c r="M478" s="46">
        <f>IF('RPT3'!$J478="","",'RPT3'!$J478)</f>
        <v/>
      </c>
    </row>
    <row r="479">
      <c r="A479" s="16" t="inlineStr">
        <is>
          <t>Rebate Factor - Specialty - Year 3</t>
        </is>
      </c>
      <c r="B479" s="2" t="n"/>
      <c r="C479" s="45">
        <f>IF(Combine="Y", $G479, 0)</f>
        <v/>
      </c>
      <c r="D479" s="2" t="n"/>
      <c r="E479" s="4" t="n"/>
      <c r="F479" s="2" t="n"/>
      <c r="G479" s="45">
        <f>IF(((G154+G580-G585)*G457)=0,0,SUM(IF($K479="",0,($K154+$K580-$K585)*$K457*$K479),IF($L479="",0,($L154+$L580-$L585)*$L457*$L479),IF($M479="",0,($M154+$M580-$M585)*$M457*$M479))/((G154+G580-G585)*G457))</f>
        <v/>
      </c>
      <c r="H479" s="2" t="n"/>
      <c r="I479" s="4" t="n"/>
      <c r="J479" s="2" t="n"/>
      <c r="K479" s="46">
        <f>IF('RPT1'!$J479="","",'RPT1'!$J479)</f>
        <v/>
      </c>
      <c r="L479" s="46">
        <f>IF('RPT2'!$J479="","",'RPT2'!$J479)</f>
        <v/>
      </c>
      <c r="M479" s="46">
        <f>IF('RPT3'!$J479="","",'RPT3'!$J479)</f>
        <v/>
      </c>
    </row>
    <row r="480">
      <c r="A480" s="16" t="inlineStr">
        <is>
          <t>Rebate Factor - Specialty - Year 4</t>
        </is>
      </c>
      <c r="B480" s="2" t="n"/>
      <c r="C480" s="45">
        <f>IF(Combine="Y", $G480, 0)</f>
        <v/>
      </c>
      <c r="D480" s="2" t="n"/>
      <c r="E480" s="4" t="n"/>
      <c r="F480" s="2" t="n"/>
      <c r="G480" s="45">
        <f>IF(((G155+G581-G586)*G458)=0,0,SUM(IF($K480="",0,($K155+$K581-$K586)*$K458*$K480),IF($L480="",0,($L155+$L581-$L586)*$L458*$L480),IF($M480="",0,($M155+$M581-$M586)*$M458*$M480))/((G155+G581-G586)*G458))</f>
        <v/>
      </c>
      <c r="H480" s="2" t="n"/>
      <c r="I480" s="4" t="n"/>
      <c r="J480" s="2" t="n"/>
      <c r="K480" s="46">
        <f>IF('RPT1'!$J480="","",'RPT1'!$J480)</f>
        <v/>
      </c>
      <c r="L480" s="46">
        <f>IF('RPT2'!$J480="","",'RPT2'!$J480)</f>
        <v/>
      </c>
      <c r="M480" s="46">
        <f>IF('RPT3'!$J480="","",'RPT3'!$J480)</f>
        <v/>
      </c>
    </row>
    <row r="481">
      <c r="A481" s="16" t="inlineStr">
        <is>
          <t>Rebate Factor - Specialty - Year 5</t>
        </is>
      </c>
      <c r="B481" s="2" t="n"/>
      <c r="C481" s="45">
        <f>IF(Combine="Y", $G481, 0)</f>
        <v/>
      </c>
      <c r="D481" s="2" t="n"/>
      <c r="E481" s="4" t="n"/>
      <c r="F481" s="2" t="n"/>
      <c r="G481" s="45">
        <f>IF(((G156+G582-G587)*G459)=0,0,SUM(IF($K481="",0,($K156+$K582-$K587)*$K459*$K481),IF($L481="",0,($L156+$L582-$L587)*$L459*$L481),IF($M481="",0,($M156+$M582-$M587)*$M459*$M481))/((G156+G582-G587)*G459))</f>
        <v/>
      </c>
      <c r="H481" s="2" t="n"/>
      <c r="I481" s="4" t="n"/>
      <c r="J481" s="2" t="n"/>
      <c r="K481" s="46">
        <f>IF('RPT1'!$J481="","",'RPT1'!$J481)</f>
        <v/>
      </c>
      <c r="L481" s="46">
        <f>IF('RPT2'!$J481="","",'RPT2'!$J481)</f>
        <v/>
      </c>
      <c r="M481" s="46">
        <f>IF('RPT3'!$J481="","",'RPT3'!$J481)</f>
        <v/>
      </c>
    </row>
    <row r="482">
      <c r="A482" s="31" t="n"/>
      <c r="B482" s="2" t="n"/>
      <c r="C482" s="45" t="n"/>
      <c r="D482" s="2" t="n"/>
      <c r="E482" s="4" t="n"/>
      <c r="F482" s="2" t="n"/>
      <c r="G482" s="45" t="n"/>
      <c r="H482" s="2" t="n"/>
      <c r="I482" s="4" t="n"/>
      <c r="J482" s="2" t="n"/>
      <c r="K482" s="46" t="n"/>
      <c r="L482" s="46" t="n"/>
      <c r="M482" s="46" t="n"/>
    </row>
    <row r="483">
      <c r="A483" s="37" t="inlineStr">
        <is>
          <t>Rebatable WAC</t>
        </is>
      </c>
      <c r="B483" s="2" t="n"/>
      <c r="C483" s="45" t="n"/>
      <c r="D483" s="2" t="n"/>
      <c r="E483" s="4" t="n"/>
      <c r="F483" s="2" t="n"/>
      <c r="G483" s="45" t="n"/>
      <c r="H483" s="2" t="n"/>
      <c r="I483" s="4" t="n"/>
      <c r="J483" s="2" t="n"/>
      <c r="K483" s="46">
        <f>IF('RPT1'!$J483="","",'RPT1'!$J483)</f>
        <v/>
      </c>
      <c r="L483" s="46">
        <f>IF('RPT2'!$J483="","",'RPT2'!$J483)</f>
        <v/>
      </c>
      <c r="M483" s="46">
        <f>IF('RPT3'!$J483="","",'RPT3'!$J483)</f>
        <v/>
      </c>
    </row>
    <row r="484">
      <c r="A484" s="16" t="inlineStr">
        <is>
          <t>Rebatable WAC - Mail - Year 1</t>
        </is>
      </c>
      <c r="B484" s="2" t="n"/>
      <c r="C484" s="47">
        <f>IF(Combine="Y", $G484, 0)</f>
        <v/>
      </c>
      <c r="D484" s="2" t="n"/>
      <c r="E484" s="4" t="n"/>
      <c r="F484" s="2" t="n"/>
      <c r="G484" s="47">
        <f>SUM($K484:$M484)</f>
        <v/>
      </c>
      <c r="H484" s="2" t="n"/>
      <c r="I484" s="4" t="n"/>
      <c r="J484" s="2" t="n"/>
      <c r="K484" s="48">
        <f>IF('RPT1'!$J484="","",'RPT1'!$J484)</f>
        <v/>
      </c>
      <c r="L484" s="48">
        <f>IF('RPT2'!$J484="","",'RPT2'!$J484)</f>
        <v/>
      </c>
      <c r="M484" s="48">
        <f>IF('RPT3'!$J484="","",'RPT3'!$J484)</f>
        <v/>
      </c>
    </row>
    <row r="485">
      <c r="A485" s="16" t="inlineStr">
        <is>
          <t>Rebatable WAC - Mail - Year 2</t>
        </is>
      </c>
      <c r="B485" s="2" t="n"/>
      <c r="C485" s="47">
        <f>IF(Combine="Y", $G485, 0)</f>
        <v/>
      </c>
      <c r="D485" s="2" t="n"/>
      <c r="E485" s="4" t="n"/>
      <c r="F485" s="2" t="n"/>
      <c r="G485" s="47">
        <f>SUM($K485:$M485)</f>
        <v/>
      </c>
      <c r="H485" s="2" t="n"/>
      <c r="I485" s="4" t="n"/>
      <c r="J485" s="2" t="n"/>
      <c r="K485" s="48">
        <f>IF('RPT1'!$J485="","",'RPT1'!$J485)</f>
        <v/>
      </c>
      <c r="L485" s="48">
        <f>IF('RPT2'!$J485="","",'RPT2'!$J485)</f>
        <v/>
      </c>
      <c r="M485" s="48">
        <f>IF('RPT3'!$J485="","",'RPT3'!$J485)</f>
        <v/>
      </c>
    </row>
    <row r="486">
      <c r="A486" s="16" t="inlineStr">
        <is>
          <t>Rebatable WAC - Mail - Year 3</t>
        </is>
      </c>
      <c r="B486" s="2" t="n"/>
      <c r="C486" s="47">
        <f>IF(Combine="Y", $G486, 0)</f>
        <v/>
      </c>
      <c r="D486" s="2" t="n"/>
      <c r="E486" s="4" t="n"/>
      <c r="F486" s="2" t="n"/>
      <c r="G486" s="47">
        <f>SUM($K486:$M486)</f>
        <v/>
      </c>
      <c r="H486" s="2" t="n"/>
      <c r="I486" s="4" t="n"/>
      <c r="J486" s="2" t="n"/>
      <c r="K486" s="48">
        <f>IF('RPT1'!$J486="","",'RPT1'!$J486)</f>
        <v/>
      </c>
      <c r="L486" s="48">
        <f>IF('RPT2'!$J486="","",'RPT2'!$J486)</f>
        <v/>
      </c>
      <c r="M486" s="48">
        <f>IF('RPT3'!$J486="","",'RPT3'!$J486)</f>
        <v/>
      </c>
    </row>
    <row r="487">
      <c r="A487" s="16" t="inlineStr">
        <is>
          <t>Rebatable WAC - Mail - Year 4</t>
        </is>
      </c>
      <c r="B487" s="2" t="n"/>
      <c r="C487" s="47">
        <f>IF(Combine="Y", $G487, 0)</f>
        <v/>
      </c>
      <c r="D487" s="2" t="n"/>
      <c r="E487" s="4" t="n"/>
      <c r="F487" s="2" t="n"/>
      <c r="G487" s="47">
        <f>SUM($K487:$M487)</f>
        <v/>
      </c>
      <c r="H487" s="2" t="n"/>
      <c r="I487" s="4" t="n"/>
      <c r="J487" s="2" t="n"/>
      <c r="K487" s="48">
        <f>IF('RPT1'!$J487="","",'RPT1'!$J487)</f>
        <v/>
      </c>
      <c r="L487" s="48">
        <f>IF('RPT2'!$J487="","",'RPT2'!$J487)</f>
        <v/>
      </c>
      <c r="M487" s="48">
        <f>IF('RPT3'!$J487="","",'RPT3'!$J487)</f>
        <v/>
      </c>
    </row>
    <row r="488">
      <c r="A488" s="16" t="inlineStr">
        <is>
          <t>Rebatable WAC - Mail - Year 5</t>
        </is>
      </c>
      <c r="B488" s="2" t="n"/>
      <c r="C488" s="47">
        <f>IF(Combine="Y", $G488, 0)</f>
        <v/>
      </c>
      <c r="D488" s="2" t="n"/>
      <c r="E488" s="4" t="n"/>
      <c r="F488" s="2" t="n"/>
      <c r="G488" s="47">
        <f>SUM($K488:$M488)</f>
        <v/>
      </c>
      <c r="H488" s="2" t="n"/>
      <c r="I488" s="4" t="n"/>
      <c r="J488" s="2" t="n"/>
      <c r="K488" s="48">
        <f>IF('RPT1'!$J488="","",'RPT1'!$J488)</f>
        <v/>
      </c>
      <c r="L488" s="48">
        <f>IF('RPT2'!$J488="","",'RPT2'!$J488)</f>
        <v/>
      </c>
      <c r="M488" s="48">
        <f>IF('RPT3'!$J488="","",'RPT3'!$J488)</f>
        <v/>
      </c>
    </row>
    <row r="489">
      <c r="A489" s="16" t="inlineStr">
        <is>
          <t>Rebatable WAC - Retail 30 - Year 1</t>
        </is>
      </c>
      <c r="B489" s="2" t="n"/>
      <c r="C489" s="47">
        <f>IF(Combine="Y", $G489, 0)</f>
        <v/>
      </c>
      <c r="D489" s="2" t="n"/>
      <c r="E489" s="4" t="n"/>
      <c r="F489" s="2" t="n"/>
      <c r="G489" s="47">
        <f>SUM($K489:$M489)</f>
        <v/>
      </c>
      <c r="H489" s="2" t="n"/>
      <c r="I489" s="4" t="n"/>
      <c r="J489" s="2" t="n"/>
      <c r="K489" s="48">
        <f>IF('RPT1'!$J489="","",'RPT1'!$J489)</f>
        <v/>
      </c>
      <c r="L489" s="48">
        <f>IF('RPT2'!$J489="","",'RPT2'!$J489)</f>
        <v/>
      </c>
      <c r="M489" s="48">
        <f>IF('RPT3'!$J489="","",'RPT3'!$J489)</f>
        <v/>
      </c>
    </row>
    <row r="490">
      <c r="A490" s="16" t="inlineStr">
        <is>
          <t>Rebatable WAC - Retail 30 - Year 2</t>
        </is>
      </c>
      <c r="B490" s="2" t="n"/>
      <c r="C490" s="47">
        <f>IF(Combine="Y", $G490, 0)</f>
        <v/>
      </c>
      <c r="D490" s="2" t="n"/>
      <c r="E490" s="4" t="n"/>
      <c r="F490" s="2" t="n"/>
      <c r="G490" s="47">
        <f>SUM($K490:$M490)</f>
        <v/>
      </c>
      <c r="H490" s="2" t="n"/>
      <c r="I490" s="4" t="n"/>
      <c r="J490" s="2" t="n"/>
      <c r="K490" s="48">
        <f>IF('RPT1'!$J490="","",'RPT1'!$J490)</f>
        <v/>
      </c>
      <c r="L490" s="48">
        <f>IF('RPT2'!$J490="","",'RPT2'!$J490)</f>
        <v/>
      </c>
      <c r="M490" s="48">
        <f>IF('RPT3'!$J490="","",'RPT3'!$J490)</f>
        <v/>
      </c>
    </row>
    <row r="491">
      <c r="A491" s="16" t="inlineStr">
        <is>
          <t>Rebatable WAC - Retail 30 - Year 3</t>
        </is>
      </c>
      <c r="B491" s="2" t="n"/>
      <c r="C491" s="47">
        <f>IF(Combine="Y", $G491, 0)</f>
        <v/>
      </c>
      <c r="D491" s="2" t="n"/>
      <c r="E491" s="4" t="n"/>
      <c r="F491" s="2" t="n"/>
      <c r="G491" s="47">
        <f>SUM($K491:$M491)</f>
        <v/>
      </c>
      <c r="H491" s="2" t="n"/>
      <c r="I491" s="4" t="n"/>
      <c r="J491" s="2" t="n"/>
      <c r="K491" s="48">
        <f>IF('RPT1'!$J491="","",'RPT1'!$J491)</f>
        <v/>
      </c>
      <c r="L491" s="48">
        <f>IF('RPT2'!$J491="","",'RPT2'!$J491)</f>
        <v/>
      </c>
      <c r="M491" s="48">
        <f>IF('RPT3'!$J491="","",'RPT3'!$J491)</f>
        <v/>
      </c>
    </row>
    <row r="492">
      <c r="A492" s="16" t="inlineStr">
        <is>
          <t>Rebatable WAC - Retail 30 - Year 4</t>
        </is>
      </c>
      <c r="B492" s="2" t="n"/>
      <c r="C492" s="47">
        <f>IF(Combine="Y", $G492, 0)</f>
        <v/>
      </c>
      <c r="D492" s="2" t="n"/>
      <c r="E492" s="4" t="n"/>
      <c r="F492" s="2" t="n"/>
      <c r="G492" s="47">
        <f>SUM($K492:$M492)</f>
        <v/>
      </c>
      <c r="H492" s="2" t="n"/>
      <c r="I492" s="4" t="n"/>
      <c r="J492" s="2" t="n"/>
      <c r="K492" s="48">
        <f>IF('RPT1'!$J492="","",'RPT1'!$J492)</f>
        <v/>
      </c>
      <c r="L492" s="48">
        <f>IF('RPT2'!$J492="","",'RPT2'!$J492)</f>
        <v/>
      </c>
      <c r="M492" s="48">
        <f>IF('RPT3'!$J492="","",'RPT3'!$J492)</f>
        <v/>
      </c>
    </row>
    <row r="493">
      <c r="A493" s="16" t="inlineStr">
        <is>
          <t>Rebatable WAC - Retail 30 - Year 5</t>
        </is>
      </c>
      <c r="B493" s="2" t="n"/>
      <c r="C493" s="47">
        <f>IF(Combine="Y", $G493, 0)</f>
        <v/>
      </c>
      <c r="D493" s="2" t="n"/>
      <c r="E493" s="4" t="n"/>
      <c r="F493" s="2" t="n"/>
      <c r="G493" s="47">
        <f>SUM($K493:$M493)</f>
        <v/>
      </c>
      <c r="H493" s="2" t="n"/>
      <c r="I493" s="4" t="n"/>
      <c r="J493" s="2" t="n"/>
      <c r="K493" s="48">
        <f>IF('RPT1'!$J493="","",'RPT1'!$J493)</f>
        <v/>
      </c>
      <c r="L493" s="48">
        <f>IF('RPT2'!$J493="","",'RPT2'!$J493)</f>
        <v/>
      </c>
      <c r="M493" s="48">
        <f>IF('RPT3'!$J493="","",'RPT3'!$J493)</f>
        <v/>
      </c>
    </row>
    <row r="494">
      <c r="A494" s="16" t="inlineStr">
        <is>
          <t>Rebatable WAC - Retail 90 - Year 1</t>
        </is>
      </c>
      <c r="B494" s="2" t="n"/>
      <c r="C494" s="47">
        <f>IF(Combine="Y", $G494, 0)</f>
        <v/>
      </c>
      <c r="D494" s="2" t="n"/>
      <c r="E494" s="4" t="n"/>
      <c r="F494" s="2" t="n"/>
      <c r="G494" s="47">
        <f>SUM($K494:$M494)</f>
        <v/>
      </c>
      <c r="H494" s="2" t="n"/>
      <c r="I494" s="4" t="n"/>
      <c r="J494" s="2" t="n"/>
      <c r="K494" s="48">
        <f>IF('RPT1'!$J494="","",'RPT1'!$J494)</f>
        <v/>
      </c>
      <c r="L494" s="48">
        <f>IF('RPT2'!$J494="","",'RPT2'!$J494)</f>
        <v/>
      </c>
      <c r="M494" s="48">
        <f>IF('RPT3'!$J494="","",'RPT3'!$J494)</f>
        <v/>
      </c>
    </row>
    <row r="495">
      <c r="A495" s="16" t="inlineStr">
        <is>
          <t>Rebatable WAC - Retail 90 - Year 2</t>
        </is>
      </c>
      <c r="B495" s="2" t="n"/>
      <c r="C495" s="47">
        <f>IF(Combine="Y", $G495, 0)</f>
        <v/>
      </c>
      <c r="D495" s="2" t="n"/>
      <c r="E495" s="4" t="n"/>
      <c r="F495" s="2" t="n"/>
      <c r="G495" s="47">
        <f>SUM($K495:$M495)</f>
        <v/>
      </c>
      <c r="H495" s="2" t="n"/>
      <c r="I495" s="4" t="n"/>
      <c r="J495" s="2" t="n"/>
      <c r="K495" s="48">
        <f>IF('RPT1'!$J495="","",'RPT1'!$J495)</f>
        <v/>
      </c>
      <c r="L495" s="48">
        <f>IF('RPT2'!$J495="","",'RPT2'!$J495)</f>
        <v/>
      </c>
      <c r="M495" s="48">
        <f>IF('RPT3'!$J495="","",'RPT3'!$J495)</f>
        <v/>
      </c>
    </row>
    <row r="496">
      <c r="A496" s="16" t="inlineStr">
        <is>
          <t>Rebatable WAC - Retail 90 - Year 3</t>
        </is>
      </c>
      <c r="B496" s="2" t="n"/>
      <c r="C496" s="47">
        <f>IF(Combine="Y", $G496, 0)</f>
        <v/>
      </c>
      <c r="D496" s="2" t="n"/>
      <c r="E496" s="4" t="n"/>
      <c r="F496" s="2" t="n"/>
      <c r="G496" s="47">
        <f>SUM($K496:$M496)</f>
        <v/>
      </c>
      <c r="H496" s="2" t="n"/>
      <c r="I496" s="4" t="n"/>
      <c r="J496" s="2" t="n"/>
      <c r="K496" s="48">
        <f>IF('RPT1'!$J496="","",'RPT1'!$J496)</f>
        <v/>
      </c>
      <c r="L496" s="48">
        <f>IF('RPT2'!$J496="","",'RPT2'!$J496)</f>
        <v/>
      </c>
      <c r="M496" s="48">
        <f>IF('RPT3'!$J496="","",'RPT3'!$J496)</f>
        <v/>
      </c>
    </row>
    <row r="497">
      <c r="A497" s="16" t="inlineStr">
        <is>
          <t>Rebatable WAC - Retail 90 - Year 4</t>
        </is>
      </c>
      <c r="B497" s="2" t="n"/>
      <c r="C497" s="47">
        <f>IF(Combine="Y", $G497, 0)</f>
        <v/>
      </c>
      <c r="D497" s="2" t="n"/>
      <c r="E497" s="4" t="n"/>
      <c r="F497" s="2" t="n"/>
      <c r="G497" s="47">
        <f>SUM($K497:$M497)</f>
        <v/>
      </c>
      <c r="H497" s="2" t="n"/>
      <c r="I497" s="4" t="n"/>
      <c r="J497" s="2" t="n"/>
      <c r="K497" s="48">
        <f>IF('RPT1'!$J497="","",'RPT1'!$J497)</f>
        <v/>
      </c>
      <c r="L497" s="48">
        <f>IF('RPT2'!$J497="","",'RPT2'!$J497)</f>
        <v/>
      </c>
      <c r="M497" s="48">
        <f>IF('RPT3'!$J497="","",'RPT3'!$J497)</f>
        <v/>
      </c>
    </row>
    <row r="498">
      <c r="A498" s="16" t="inlineStr">
        <is>
          <t>Rebatable WAC - Retail 90 - Year 5</t>
        </is>
      </c>
      <c r="B498" s="2" t="n"/>
      <c r="C498" s="47">
        <f>IF(Combine="Y", $G498, 0)</f>
        <v/>
      </c>
      <c r="D498" s="2" t="n"/>
      <c r="E498" s="4" t="n"/>
      <c r="F498" s="2" t="n"/>
      <c r="G498" s="47">
        <f>SUM($K498:$M498)</f>
        <v/>
      </c>
      <c r="H498" s="2" t="n"/>
      <c r="I498" s="4" t="n"/>
      <c r="J498" s="2" t="n"/>
      <c r="K498" s="48">
        <f>IF('RPT1'!$J498="","",'RPT1'!$J498)</f>
        <v/>
      </c>
      <c r="L498" s="48">
        <f>IF('RPT2'!$J498="","",'RPT2'!$J498)</f>
        <v/>
      </c>
      <c r="M498" s="48">
        <f>IF('RPT3'!$J498="","",'RPT3'!$J498)</f>
        <v/>
      </c>
    </row>
    <row r="499">
      <c r="A499" s="16" t="inlineStr">
        <is>
          <t>Rebatable WAC - Specialty - Year 1</t>
        </is>
      </c>
      <c r="B499" s="2" t="n"/>
      <c r="C499" s="47">
        <f>IF(Combine="Y", $G499, 0)</f>
        <v/>
      </c>
      <c r="D499" s="2" t="n"/>
      <c r="E499" s="4" t="n"/>
      <c r="F499" s="2" t="n"/>
      <c r="G499" s="47">
        <f>SUM($K499:$M499)</f>
        <v/>
      </c>
      <c r="H499" s="2" t="n"/>
      <c r="I499" s="4" t="n"/>
      <c r="J499" s="2" t="n"/>
      <c r="K499" s="48">
        <f>IF('RPT1'!$J499="","",'RPT1'!$J499)</f>
        <v/>
      </c>
      <c r="L499" s="48">
        <f>IF('RPT2'!$J499="","",'RPT2'!$J499)</f>
        <v/>
      </c>
      <c r="M499" s="48">
        <f>IF('RPT3'!$J499="","",'RPT3'!$J499)</f>
        <v/>
      </c>
    </row>
    <row r="500">
      <c r="A500" s="16" t="inlineStr">
        <is>
          <t>Rebatable WAC - Specialty - Year 2</t>
        </is>
      </c>
      <c r="B500" s="2" t="n"/>
      <c r="C500" s="47">
        <f>IF(Combine="Y", $G500, 0)</f>
        <v/>
      </c>
      <c r="D500" s="2" t="n"/>
      <c r="E500" s="4" t="n"/>
      <c r="F500" s="2" t="n"/>
      <c r="G500" s="47">
        <f>SUM($K500:$M500)</f>
        <v/>
      </c>
      <c r="H500" s="2" t="n"/>
      <c r="I500" s="4" t="n"/>
      <c r="J500" s="2" t="n"/>
      <c r="K500" s="48">
        <f>IF('RPT1'!$J500="","",'RPT1'!$J500)</f>
        <v/>
      </c>
      <c r="L500" s="48">
        <f>IF('RPT2'!$J500="","",'RPT2'!$J500)</f>
        <v/>
      </c>
      <c r="M500" s="48">
        <f>IF('RPT3'!$J500="","",'RPT3'!$J500)</f>
        <v/>
      </c>
    </row>
    <row r="501">
      <c r="A501" s="16" t="inlineStr">
        <is>
          <t>Rebatable WAC - Specialty - Year 3</t>
        </is>
      </c>
      <c r="B501" s="2" t="n"/>
      <c r="C501" s="47">
        <f>IF(Combine="Y", $G501, 0)</f>
        <v/>
      </c>
      <c r="D501" s="2" t="n"/>
      <c r="E501" s="4" t="n"/>
      <c r="F501" s="2" t="n"/>
      <c r="G501" s="47">
        <f>SUM($K501:$M501)</f>
        <v/>
      </c>
      <c r="H501" s="2" t="n"/>
      <c r="I501" s="4" t="n"/>
      <c r="J501" s="2" t="n"/>
      <c r="K501" s="48">
        <f>IF('RPT1'!$J501="","",'RPT1'!$J501)</f>
        <v/>
      </c>
      <c r="L501" s="48">
        <f>IF('RPT2'!$J501="","",'RPT2'!$J501)</f>
        <v/>
      </c>
      <c r="M501" s="48">
        <f>IF('RPT3'!$J501="","",'RPT3'!$J501)</f>
        <v/>
      </c>
    </row>
    <row r="502">
      <c r="A502" s="16" t="inlineStr">
        <is>
          <t>Rebatable WAC - Specialty - Year 4</t>
        </is>
      </c>
      <c r="B502" s="2" t="n"/>
      <c r="C502" s="47">
        <f>IF(Combine="Y", $G502, 0)</f>
        <v/>
      </c>
      <c r="D502" s="2" t="n"/>
      <c r="E502" s="4" t="n"/>
      <c r="F502" s="2" t="n"/>
      <c r="G502" s="47">
        <f>SUM($K502:$M502)</f>
        <v/>
      </c>
      <c r="H502" s="2" t="n"/>
      <c r="I502" s="4" t="n"/>
      <c r="J502" s="2" t="n"/>
      <c r="K502" s="48">
        <f>IF('RPT1'!$J502="","",'RPT1'!$J502)</f>
        <v/>
      </c>
      <c r="L502" s="48">
        <f>IF('RPT2'!$J502="","",'RPT2'!$J502)</f>
        <v/>
      </c>
      <c r="M502" s="48">
        <f>IF('RPT3'!$J502="","",'RPT3'!$J502)</f>
        <v/>
      </c>
    </row>
    <row r="503">
      <c r="A503" s="16" t="inlineStr">
        <is>
          <t>Rebatable WAC - Specialty - Year 5</t>
        </is>
      </c>
      <c r="B503" s="2" t="n"/>
      <c r="C503" s="47">
        <f>IF(Combine="Y", $G503, 0)</f>
        <v/>
      </c>
      <c r="D503" s="2" t="n"/>
      <c r="E503" s="4" t="n"/>
      <c r="F503" s="2" t="n"/>
      <c r="G503" s="47">
        <f>SUM($K503:$M503)</f>
        <v/>
      </c>
      <c r="H503" s="2" t="n"/>
      <c r="I503" s="4" t="n"/>
      <c r="J503" s="2" t="n"/>
      <c r="K503" s="48">
        <f>IF('RPT1'!$J503="","",'RPT1'!$J503)</f>
        <v/>
      </c>
      <c r="L503" s="48">
        <f>IF('RPT2'!$J503="","",'RPT2'!$J503)</f>
        <v/>
      </c>
      <c r="M503" s="48">
        <f>IF('RPT3'!$J503="","",'RPT3'!$J503)</f>
        <v/>
      </c>
    </row>
    <row r="504">
      <c r="A504" s="31" t="n"/>
      <c r="B504" s="2" t="n"/>
      <c r="C504" s="47" t="n"/>
      <c r="D504" s="2" t="n"/>
      <c r="E504" s="4" t="n"/>
      <c r="F504" s="2" t="n"/>
      <c r="G504" s="47" t="n"/>
      <c r="H504" s="2" t="n"/>
      <c r="I504" s="4" t="n"/>
      <c r="J504" s="2" t="n"/>
      <c r="K504" s="48" t="n"/>
      <c r="L504" s="48" t="n"/>
      <c r="M504" s="48" t="n"/>
    </row>
    <row r="505">
      <c r="A505" s="12" t="inlineStr">
        <is>
          <t>Custom B/G - Projected Scripts - w/o Exclusions</t>
        </is>
      </c>
      <c r="B505" s="2" t="n"/>
      <c r="C505" s="14" t="n"/>
      <c r="D505" s="2" t="n"/>
      <c r="E505" s="4" t="n"/>
      <c r="F505" s="2" t="n"/>
      <c r="G505" s="14" t="n"/>
      <c r="H505" s="2" t="n"/>
      <c r="I505" s="4" t="n"/>
      <c r="J505" s="2" t="n"/>
      <c r="K505" s="32">
        <f>IF('RPT1'!$J505="","",'RPT1'!$J505)</f>
        <v/>
      </c>
      <c r="L505" s="32">
        <f>IF('RPT2'!$J505="","",'RPT2'!$J505)</f>
        <v/>
      </c>
      <c r="M505" s="32">
        <f>IF('RPT3'!$J505="","",'RPT3'!$J505)</f>
        <v/>
      </c>
    </row>
    <row r="506">
      <c r="A506" s="16" t="inlineStr">
        <is>
          <t>Custom B/G - Projected Scripts - w/o Exclusions - Mail - Brand - Year 1</t>
        </is>
      </c>
      <c r="B506" s="2" t="n"/>
      <c r="C506" s="33">
        <f>IF(Combine="Y", $G506, 0)</f>
        <v/>
      </c>
      <c r="D506" s="2" t="n"/>
      <c r="E506" s="4" t="n"/>
      <c r="F506" s="2" t="n"/>
      <c r="G506" s="33">
        <f>SUM($K506:$M506)</f>
        <v/>
      </c>
      <c r="H506" s="2" t="n"/>
      <c r="I506" s="4" t="n"/>
      <c r="J506" s="2" t="n"/>
      <c r="K506" s="34">
        <f>IF('RPT1'!$J506="","",'RPT1'!$J506)</f>
        <v/>
      </c>
      <c r="L506" s="34">
        <f>IF('RPT2'!$J506="","",'RPT2'!$J506)</f>
        <v/>
      </c>
      <c r="M506" s="34">
        <f>IF('RPT3'!$J506="","",'RPT3'!$J506)</f>
        <v/>
      </c>
    </row>
    <row r="507">
      <c r="A507" s="16" t="inlineStr">
        <is>
          <t>Custom B/G - Projected Scripts - w/o Exclusions - Mail - Brand - Year 2</t>
        </is>
      </c>
      <c r="B507" s="2" t="n"/>
      <c r="C507" s="33">
        <f>IF(Combine="Y", $G507, 0)</f>
        <v/>
      </c>
      <c r="D507" s="2" t="n"/>
      <c r="E507" s="4" t="n"/>
      <c r="F507" s="2" t="n"/>
      <c r="G507" s="33">
        <f>SUM($K507:$M507)</f>
        <v/>
      </c>
      <c r="H507" s="2" t="n"/>
      <c r="I507" s="4" t="n"/>
      <c r="J507" s="2" t="n"/>
      <c r="K507" s="34">
        <f>IF('RPT1'!$J507="","",'RPT1'!$J507)</f>
        <v/>
      </c>
      <c r="L507" s="34">
        <f>IF('RPT2'!$J507="","",'RPT2'!$J507)</f>
        <v/>
      </c>
      <c r="M507" s="34">
        <f>IF('RPT3'!$J507="","",'RPT3'!$J507)</f>
        <v/>
      </c>
    </row>
    <row r="508">
      <c r="A508" s="16" t="inlineStr">
        <is>
          <t>Custom B/G - Projected Scripts - w/o Exclusions - Mail - Brand - Year 3</t>
        </is>
      </c>
      <c r="B508" s="2" t="n"/>
      <c r="C508" s="33">
        <f>IF(Combine="Y", $G508, 0)</f>
        <v/>
      </c>
      <c r="D508" s="2" t="n"/>
      <c r="E508" s="4" t="n"/>
      <c r="F508" s="2" t="n"/>
      <c r="G508" s="33">
        <f>SUM($K508:$M508)</f>
        <v/>
      </c>
      <c r="H508" s="2" t="n"/>
      <c r="I508" s="4" t="n"/>
      <c r="J508" s="2" t="n"/>
      <c r="K508" s="34">
        <f>IF('RPT1'!$J508="","",'RPT1'!$J508)</f>
        <v/>
      </c>
      <c r="L508" s="34">
        <f>IF('RPT2'!$J508="","",'RPT2'!$J508)</f>
        <v/>
      </c>
      <c r="M508" s="34">
        <f>IF('RPT3'!$J508="","",'RPT3'!$J508)</f>
        <v/>
      </c>
    </row>
    <row r="509">
      <c r="A509" s="16" t="inlineStr">
        <is>
          <t>Custom B/G - Projected Scripts - w/o Exclusions - Mail - Brand - Year 4</t>
        </is>
      </c>
      <c r="B509" s="2" t="n"/>
      <c r="C509" s="33">
        <f>IF(Combine="Y", $G509, 0)</f>
        <v/>
      </c>
      <c r="D509" s="2" t="n"/>
      <c r="E509" s="4" t="n"/>
      <c r="F509" s="2" t="n"/>
      <c r="G509" s="33">
        <f>SUM($K509:$M509)</f>
        <v/>
      </c>
      <c r="H509" s="2" t="n"/>
      <c r="I509" s="4" t="n"/>
      <c r="J509" s="2" t="n"/>
      <c r="K509" s="34">
        <f>IF('RPT1'!$J509="","",'RPT1'!$J509)</f>
        <v/>
      </c>
      <c r="L509" s="34">
        <f>IF('RPT2'!$J509="","",'RPT2'!$J509)</f>
        <v/>
      </c>
      <c r="M509" s="34">
        <f>IF('RPT3'!$J509="","",'RPT3'!$J509)</f>
        <v/>
      </c>
    </row>
    <row r="510">
      <c r="A510" s="16" t="inlineStr">
        <is>
          <t>Custom B/G - Projected Scripts - w/o Exclusions - Mail - Brand - Year 5</t>
        </is>
      </c>
      <c r="B510" s="2" t="n"/>
      <c r="C510" s="33">
        <f>IF(Combine="Y", $G510, 0)</f>
        <v/>
      </c>
      <c r="D510" s="2" t="n"/>
      <c r="E510" s="4" t="n"/>
      <c r="F510" s="2" t="n"/>
      <c r="G510" s="33">
        <f>SUM($K510:$M510)</f>
        <v/>
      </c>
      <c r="H510" s="2" t="n"/>
      <c r="I510" s="4" t="n"/>
      <c r="J510" s="2" t="n"/>
      <c r="K510" s="34">
        <f>IF('RPT1'!$J510="","",'RPT1'!$J510)</f>
        <v/>
      </c>
      <c r="L510" s="34">
        <f>IF('RPT2'!$J510="","",'RPT2'!$J510)</f>
        <v/>
      </c>
      <c r="M510" s="34">
        <f>IF('RPT3'!$J510="","",'RPT3'!$J510)</f>
        <v/>
      </c>
    </row>
    <row r="511">
      <c r="A511" s="16" t="inlineStr">
        <is>
          <t>Custom B/G - Projected Scripts - w/o Exclusions - Mail - Generic - Year 1</t>
        </is>
      </c>
      <c r="B511" s="2" t="n"/>
      <c r="C511" s="33">
        <f>IF(Combine="Y", $G511, 0)</f>
        <v/>
      </c>
      <c r="D511" s="2" t="n"/>
      <c r="E511" s="4" t="n"/>
      <c r="F511" s="2" t="n"/>
      <c r="G511" s="33">
        <f>SUM($K511:$M511)</f>
        <v/>
      </c>
      <c r="H511" s="2" t="n"/>
      <c r="I511" s="4" t="n"/>
      <c r="J511" s="2" t="n"/>
      <c r="K511" s="34">
        <f>IF('RPT1'!$J511="","",'RPT1'!$J511)</f>
        <v/>
      </c>
      <c r="L511" s="34">
        <f>IF('RPT2'!$J511="","",'RPT2'!$J511)</f>
        <v/>
      </c>
      <c r="M511" s="34">
        <f>IF('RPT3'!$J511="","",'RPT3'!$J511)</f>
        <v/>
      </c>
    </row>
    <row r="512">
      <c r="A512" s="16" t="inlineStr">
        <is>
          <t>Custom B/G - Projected Scripts - w/o Exclusions - Mail - Generic - Year 2</t>
        </is>
      </c>
      <c r="B512" s="2" t="n"/>
      <c r="C512" s="33">
        <f>IF(Combine="Y", $G512, 0)</f>
        <v/>
      </c>
      <c r="D512" s="2" t="n"/>
      <c r="E512" s="4" t="n"/>
      <c r="F512" s="2" t="n"/>
      <c r="G512" s="33">
        <f>SUM($K512:$M512)</f>
        <v/>
      </c>
      <c r="H512" s="2" t="n"/>
      <c r="I512" s="4" t="n"/>
      <c r="J512" s="2" t="n"/>
      <c r="K512" s="34">
        <f>IF('RPT1'!$J512="","",'RPT1'!$J512)</f>
        <v/>
      </c>
      <c r="L512" s="34">
        <f>IF('RPT2'!$J512="","",'RPT2'!$J512)</f>
        <v/>
      </c>
      <c r="M512" s="34">
        <f>IF('RPT3'!$J512="","",'RPT3'!$J512)</f>
        <v/>
      </c>
    </row>
    <row r="513">
      <c r="A513" s="16" t="inlineStr">
        <is>
          <t>Custom B/G - Projected Scripts - w/o Exclusions - Mail - Generic - Year 3</t>
        </is>
      </c>
      <c r="B513" s="2" t="n"/>
      <c r="C513" s="33">
        <f>IF(Combine="Y", $G513, 0)</f>
        <v/>
      </c>
      <c r="D513" s="2" t="n"/>
      <c r="E513" s="4" t="n"/>
      <c r="F513" s="2" t="n"/>
      <c r="G513" s="33">
        <f>SUM($K513:$M513)</f>
        <v/>
      </c>
      <c r="H513" s="2" t="n"/>
      <c r="I513" s="4" t="n"/>
      <c r="J513" s="2" t="n"/>
      <c r="K513" s="34">
        <f>IF('RPT1'!$J513="","",'RPT1'!$J513)</f>
        <v/>
      </c>
      <c r="L513" s="34">
        <f>IF('RPT2'!$J513="","",'RPT2'!$J513)</f>
        <v/>
      </c>
      <c r="M513" s="34">
        <f>IF('RPT3'!$J513="","",'RPT3'!$J513)</f>
        <v/>
      </c>
    </row>
    <row r="514">
      <c r="A514" s="16" t="inlineStr">
        <is>
          <t>Custom B/G - Projected Scripts - w/o Exclusions - Mail - Generic - Year 4</t>
        </is>
      </c>
      <c r="B514" s="2" t="n"/>
      <c r="C514" s="33">
        <f>IF(Combine="Y", $G514, 0)</f>
        <v/>
      </c>
      <c r="D514" s="2" t="n"/>
      <c r="E514" s="4" t="n"/>
      <c r="F514" s="2" t="n"/>
      <c r="G514" s="33">
        <f>SUM($K514:$M514)</f>
        <v/>
      </c>
      <c r="H514" s="2" t="n"/>
      <c r="I514" s="4" t="n"/>
      <c r="J514" s="2" t="n"/>
      <c r="K514" s="34">
        <f>IF('RPT1'!$J514="","",'RPT1'!$J514)</f>
        <v/>
      </c>
      <c r="L514" s="34">
        <f>IF('RPT2'!$J514="","",'RPT2'!$J514)</f>
        <v/>
      </c>
      <c r="M514" s="34">
        <f>IF('RPT3'!$J514="","",'RPT3'!$J514)</f>
        <v/>
      </c>
    </row>
    <row r="515">
      <c r="A515" s="16" t="inlineStr">
        <is>
          <t>Custom B/G - Projected Scripts - w/o Exclusions - Mail - Generic - Year 5</t>
        </is>
      </c>
      <c r="B515" s="2" t="n"/>
      <c r="C515" s="33">
        <f>IF(Combine="Y", $G515, 0)</f>
        <v/>
      </c>
      <c r="D515" s="2" t="n"/>
      <c r="E515" s="4" t="n"/>
      <c r="F515" s="2" t="n"/>
      <c r="G515" s="33">
        <f>SUM($K515:$M515)</f>
        <v/>
      </c>
      <c r="H515" s="2" t="n"/>
      <c r="I515" s="4" t="n"/>
      <c r="J515" s="2" t="n"/>
      <c r="K515" s="34">
        <f>IF('RPT1'!$J515="","",'RPT1'!$J515)</f>
        <v/>
      </c>
      <c r="L515" s="34">
        <f>IF('RPT2'!$J515="","",'RPT2'!$J515)</f>
        <v/>
      </c>
      <c r="M515" s="34">
        <f>IF('RPT3'!$J515="","",'RPT3'!$J515)</f>
        <v/>
      </c>
    </row>
    <row r="516">
      <c r="A516" s="16" t="inlineStr">
        <is>
          <t>Custom B/G - Projected Scripts - w/o Exclusions - Retail 30 - Brand - Year 1</t>
        </is>
      </c>
      <c r="B516" s="2" t="n"/>
      <c r="C516" s="33">
        <f>IF(Combine="Y", $G516, 0)</f>
        <v/>
      </c>
      <c r="D516" s="2" t="n"/>
      <c r="E516" s="4" t="n"/>
      <c r="F516" s="2" t="n"/>
      <c r="G516" s="33">
        <f>SUM($K516:$M516)</f>
        <v/>
      </c>
      <c r="H516" s="2" t="n"/>
      <c r="I516" s="4" t="n"/>
      <c r="J516" s="2" t="n"/>
      <c r="K516" s="34">
        <f>IF('RPT1'!$J516="","",'RPT1'!$J516)</f>
        <v/>
      </c>
      <c r="L516" s="34">
        <f>IF('RPT2'!$J516="","",'RPT2'!$J516)</f>
        <v/>
      </c>
      <c r="M516" s="34">
        <f>IF('RPT3'!$J516="","",'RPT3'!$J516)</f>
        <v/>
      </c>
    </row>
    <row r="517">
      <c r="A517" s="16" t="inlineStr">
        <is>
          <t>Custom B/G - Projected Scripts - w/o Exclusions - Retail 30 - Brand - Year 2</t>
        </is>
      </c>
      <c r="B517" s="2" t="n"/>
      <c r="C517" s="33">
        <f>IF(Combine="Y", $G517, 0)</f>
        <v/>
      </c>
      <c r="D517" s="2" t="n"/>
      <c r="E517" s="4" t="n"/>
      <c r="F517" s="2" t="n"/>
      <c r="G517" s="33">
        <f>SUM($K517:$M517)</f>
        <v/>
      </c>
      <c r="H517" s="2" t="n"/>
      <c r="I517" s="4" t="n"/>
      <c r="J517" s="2" t="n"/>
      <c r="K517" s="34">
        <f>IF('RPT1'!$J517="","",'RPT1'!$J517)</f>
        <v/>
      </c>
      <c r="L517" s="34">
        <f>IF('RPT2'!$J517="","",'RPT2'!$J517)</f>
        <v/>
      </c>
      <c r="M517" s="34">
        <f>IF('RPT3'!$J517="","",'RPT3'!$J517)</f>
        <v/>
      </c>
    </row>
    <row r="518">
      <c r="A518" s="16" t="inlineStr">
        <is>
          <t>Custom B/G - Projected Scripts - w/o Exclusions - Retail 30 - Brand - Year 3</t>
        </is>
      </c>
      <c r="B518" s="2" t="n"/>
      <c r="C518" s="33">
        <f>IF(Combine="Y", $G518, 0)</f>
        <v/>
      </c>
      <c r="D518" s="2" t="n"/>
      <c r="E518" s="4" t="n"/>
      <c r="F518" s="2" t="n"/>
      <c r="G518" s="33">
        <f>SUM($K518:$M518)</f>
        <v/>
      </c>
      <c r="H518" s="2" t="n"/>
      <c r="I518" s="4" t="n"/>
      <c r="J518" s="2" t="n"/>
      <c r="K518" s="34">
        <f>IF('RPT1'!$J518="","",'RPT1'!$J518)</f>
        <v/>
      </c>
      <c r="L518" s="34">
        <f>IF('RPT2'!$J518="","",'RPT2'!$J518)</f>
        <v/>
      </c>
      <c r="M518" s="34">
        <f>IF('RPT3'!$J518="","",'RPT3'!$J518)</f>
        <v/>
      </c>
    </row>
    <row r="519">
      <c r="A519" s="16" t="inlineStr">
        <is>
          <t>Custom B/G - Projected Scripts - w/o Exclusions - Retail 30 - Brand - Year 4</t>
        </is>
      </c>
      <c r="B519" s="2" t="n"/>
      <c r="C519" s="33">
        <f>IF(Combine="Y", $G519, 0)</f>
        <v/>
      </c>
      <c r="D519" s="2" t="n"/>
      <c r="E519" s="4" t="n"/>
      <c r="F519" s="2" t="n"/>
      <c r="G519" s="33">
        <f>SUM($K519:$M519)</f>
        <v/>
      </c>
      <c r="H519" s="2" t="n"/>
      <c r="I519" s="4" t="n"/>
      <c r="J519" s="2" t="n"/>
      <c r="K519" s="34">
        <f>IF('RPT1'!$J519="","",'RPT1'!$J519)</f>
        <v/>
      </c>
      <c r="L519" s="34">
        <f>IF('RPT2'!$J519="","",'RPT2'!$J519)</f>
        <v/>
      </c>
      <c r="M519" s="34">
        <f>IF('RPT3'!$J519="","",'RPT3'!$J519)</f>
        <v/>
      </c>
    </row>
    <row r="520">
      <c r="A520" s="16" t="inlineStr">
        <is>
          <t>Custom B/G - Projected Scripts - w/o Exclusions - Retail 30 - Brand - Year 5</t>
        </is>
      </c>
      <c r="B520" s="2" t="n"/>
      <c r="C520" s="33">
        <f>IF(Combine="Y", $G520, 0)</f>
        <v/>
      </c>
      <c r="D520" s="2" t="n"/>
      <c r="E520" s="4" t="n"/>
      <c r="F520" s="2" t="n"/>
      <c r="G520" s="33">
        <f>SUM($K520:$M520)</f>
        <v/>
      </c>
      <c r="H520" s="2" t="n"/>
      <c r="I520" s="4" t="n"/>
      <c r="J520" s="2" t="n"/>
      <c r="K520" s="34">
        <f>IF('RPT1'!$J520="","",'RPT1'!$J520)</f>
        <v/>
      </c>
      <c r="L520" s="34">
        <f>IF('RPT2'!$J520="","",'RPT2'!$J520)</f>
        <v/>
      </c>
      <c r="M520" s="34">
        <f>IF('RPT3'!$J520="","",'RPT3'!$J520)</f>
        <v/>
      </c>
    </row>
    <row r="521">
      <c r="A521" s="16" t="inlineStr">
        <is>
          <t>Custom B/G - Projected Scripts - w/o Exclusions - Retail 30 - Generic - Year 1</t>
        </is>
      </c>
      <c r="B521" s="2" t="n"/>
      <c r="C521" s="33">
        <f>IF(Combine="Y", $G521, 0)</f>
        <v/>
      </c>
      <c r="D521" s="2" t="n"/>
      <c r="E521" s="4" t="n"/>
      <c r="F521" s="2" t="n"/>
      <c r="G521" s="33">
        <f>SUM($K521:$M521)</f>
        <v/>
      </c>
      <c r="H521" s="2" t="n"/>
      <c r="I521" s="4" t="n"/>
      <c r="J521" s="2" t="n"/>
      <c r="K521" s="34">
        <f>IF('RPT1'!$J521="","",'RPT1'!$J521)</f>
        <v/>
      </c>
      <c r="L521" s="34">
        <f>IF('RPT2'!$J521="","",'RPT2'!$J521)</f>
        <v/>
      </c>
      <c r="M521" s="34">
        <f>IF('RPT3'!$J521="","",'RPT3'!$J521)</f>
        <v/>
      </c>
    </row>
    <row r="522">
      <c r="A522" s="16" t="inlineStr">
        <is>
          <t>Custom B/G - Projected Scripts - w/o Exclusions - Retail 30 - Generic - Year 2</t>
        </is>
      </c>
      <c r="B522" s="2" t="n"/>
      <c r="C522" s="33">
        <f>IF(Combine="Y", $G522, 0)</f>
        <v/>
      </c>
      <c r="D522" s="2" t="n"/>
      <c r="E522" s="4" t="n"/>
      <c r="F522" s="2" t="n"/>
      <c r="G522" s="33">
        <f>SUM($K522:$M522)</f>
        <v/>
      </c>
      <c r="H522" s="2" t="n"/>
      <c r="I522" s="4" t="n"/>
      <c r="J522" s="2" t="n"/>
      <c r="K522" s="34">
        <f>IF('RPT1'!$J522="","",'RPT1'!$J522)</f>
        <v/>
      </c>
      <c r="L522" s="34">
        <f>IF('RPT2'!$J522="","",'RPT2'!$J522)</f>
        <v/>
      </c>
      <c r="M522" s="34">
        <f>IF('RPT3'!$J522="","",'RPT3'!$J522)</f>
        <v/>
      </c>
    </row>
    <row r="523">
      <c r="A523" s="16" t="inlineStr">
        <is>
          <t>Custom B/G - Projected Scripts - w/o Exclusions - Retail 30 - Generic - Year 3</t>
        </is>
      </c>
      <c r="B523" s="2" t="n"/>
      <c r="C523" s="33">
        <f>IF(Combine="Y", $G523, 0)</f>
        <v/>
      </c>
      <c r="D523" s="2" t="n"/>
      <c r="E523" s="4" t="n"/>
      <c r="F523" s="2" t="n"/>
      <c r="G523" s="33">
        <f>SUM($K523:$M523)</f>
        <v/>
      </c>
      <c r="H523" s="2" t="n"/>
      <c r="I523" s="4" t="n"/>
      <c r="J523" s="2" t="n"/>
      <c r="K523" s="34">
        <f>IF('RPT1'!$J523="","",'RPT1'!$J523)</f>
        <v/>
      </c>
      <c r="L523" s="34">
        <f>IF('RPT2'!$J523="","",'RPT2'!$J523)</f>
        <v/>
      </c>
      <c r="M523" s="34">
        <f>IF('RPT3'!$J523="","",'RPT3'!$J523)</f>
        <v/>
      </c>
    </row>
    <row r="524">
      <c r="A524" s="16" t="inlineStr">
        <is>
          <t>Custom B/G - Projected Scripts - w/o Exclusions - Retail 30 - Generic - Year 4</t>
        </is>
      </c>
      <c r="B524" s="2" t="n"/>
      <c r="C524" s="33">
        <f>IF(Combine="Y", $G524, 0)</f>
        <v/>
      </c>
      <c r="D524" s="2" t="n"/>
      <c r="E524" s="4" t="n"/>
      <c r="F524" s="2" t="n"/>
      <c r="G524" s="33">
        <f>SUM($K524:$M524)</f>
        <v/>
      </c>
      <c r="H524" s="2" t="n"/>
      <c r="I524" s="4" t="n"/>
      <c r="J524" s="2" t="n"/>
      <c r="K524" s="34">
        <f>IF('RPT1'!$J524="","",'RPT1'!$J524)</f>
        <v/>
      </c>
      <c r="L524" s="34">
        <f>IF('RPT2'!$J524="","",'RPT2'!$J524)</f>
        <v/>
      </c>
      <c r="M524" s="34">
        <f>IF('RPT3'!$J524="","",'RPT3'!$J524)</f>
        <v/>
      </c>
    </row>
    <row r="525">
      <c r="A525" s="16" t="inlineStr">
        <is>
          <t>Custom B/G - Projected Scripts - w/o Exclusions - Retail 30 - Generic - Year 5</t>
        </is>
      </c>
      <c r="B525" s="2" t="n"/>
      <c r="C525" s="33">
        <f>IF(Combine="Y", $G525, 0)</f>
        <v/>
      </c>
      <c r="D525" s="2" t="n"/>
      <c r="E525" s="4" t="n"/>
      <c r="F525" s="2" t="n"/>
      <c r="G525" s="33">
        <f>SUM($K525:$M525)</f>
        <v/>
      </c>
      <c r="H525" s="2" t="n"/>
      <c r="I525" s="4" t="n"/>
      <c r="J525" s="2" t="n"/>
      <c r="K525" s="34">
        <f>IF('RPT1'!$J525="","",'RPT1'!$J525)</f>
        <v/>
      </c>
      <c r="L525" s="34">
        <f>IF('RPT2'!$J525="","",'RPT2'!$J525)</f>
        <v/>
      </c>
      <c r="M525" s="34">
        <f>IF('RPT3'!$J525="","",'RPT3'!$J525)</f>
        <v/>
      </c>
    </row>
    <row r="526">
      <c r="A526" s="16" t="inlineStr">
        <is>
          <t>Custom B/G - Projected Scripts - w/o Exclusions - Retail 90 - Brand - Year 1</t>
        </is>
      </c>
      <c r="B526" s="2" t="n"/>
      <c r="C526" s="33">
        <f>IF(Combine="Y", $G526, 0)</f>
        <v/>
      </c>
      <c r="D526" s="2" t="n"/>
      <c r="E526" s="4" t="n"/>
      <c r="F526" s="2" t="n"/>
      <c r="G526" s="33">
        <f>SUM($K526:$M526)</f>
        <v/>
      </c>
      <c r="H526" s="2" t="n"/>
      <c r="I526" s="4" t="n"/>
      <c r="J526" s="2" t="n"/>
      <c r="K526" s="34">
        <f>IF('RPT1'!$J526="","",'RPT1'!$J526)</f>
        <v/>
      </c>
      <c r="L526" s="34">
        <f>IF('RPT2'!$J526="","",'RPT2'!$J526)</f>
        <v/>
      </c>
      <c r="M526" s="34">
        <f>IF('RPT3'!$J526="","",'RPT3'!$J526)</f>
        <v/>
      </c>
    </row>
    <row r="527">
      <c r="A527" s="16" t="inlineStr">
        <is>
          <t>Custom B/G - Projected Scripts - w/o Exclusions - Retail 90 - Brand - Year 2</t>
        </is>
      </c>
      <c r="B527" s="2" t="n"/>
      <c r="C527" s="33">
        <f>IF(Combine="Y", $G527, 0)</f>
        <v/>
      </c>
      <c r="D527" s="2" t="n"/>
      <c r="E527" s="4" t="n"/>
      <c r="F527" s="2" t="n"/>
      <c r="G527" s="33">
        <f>SUM($K527:$M527)</f>
        <v/>
      </c>
      <c r="H527" s="2" t="n"/>
      <c r="I527" s="4" t="n"/>
      <c r="J527" s="2" t="n"/>
      <c r="K527" s="34">
        <f>IF('RPT1'!$J527="","",'RPT1'!$J527)</f>
        <v/>
      </c>
      <c r="L527" s="34">
        <f>IF('RPT2'!$J527="","",'RPT2'!$J527)</f>
        <v/>
      </c>
      <c r="M527" s="34">
        <f>IF('RPT3'!$J527="","",'RPT3'!$J527)</f>
        <v/>
      </c>
    </row>
    <row r="528">
      <c r="A528" s="16" t="inlineStr">
        <is>
          <t>Custom B/G - Projected Scripts - w/o Exclusions - Retail 90 - Brand - Year 3</t>
        </is>
      </c>
      <c r="B528" s="2" t="n"/>
      <c r="C528" s="33">
        <f>IF(Combine="Y", $G528, 0)</f>
        <v/>
      </c>
      <c r="D528" s="2" t="n"/>
      <c r="E528" s="4" t="n"/>
      <c r="F528" s="2" t="n"/>
      <c r="G528" s="33">
        <f>SUM($K528:$M528)</f>
        <v/>
      </c>
      <c r="H528" s="2" t="n"/>
      <c r="I528" s="4" t="n"/>
      <c r="J528" s="2" t="n"/>
      <c r="K528" s="34">
        <f>IF('RPT1'!$J528="","",'RPT1'!$J528)</f>
        <v/>
      </c>
      <c r="L528" s="34">
        <f>IF('RPT2'!$J528="","",'RPT2'!$J528)</f>
        <v/>
      </c>
      <c r="M528" s="34">
        <f>IF('RPT3'!$J528="","",'RPT3'!$J528)</f>
        <v/>
      </c>
    </row>
    <row r="529">
      <c r="A529" s="16" t="inlineStr">
        <is>
          <t>Custom B/G - Projected Scripts - w/o Exclusions - Retail 90 - Brand - Year 4</t>
        </is>
      </c>
      <c r="B529" s="2" t="n"/>
      <c r="C529" s="33">
        <f>IF(Combine="Y", $G529, 0)</f>
        <v/>
      </c>
      <c r="D529" s="2" t="n"/>
      <c r="E529" s="4" t="n"/>
      <c r="F529" s="2" t="n"/>
      <c r="G529" s="33">
        <f>SUM($K529:$M529)</f>
        <v/>
      </c>
      <c r="H529" s="2" t="n"/>
      <c r="I529" s="4" t="n"/>
      <c r="J529" s="2" t="n"/>
      <c r="K529" s="34">
        <f>IF('RPT1'!$J529="","",'RPT1'!$J529)</f>
        <v/>
      </c>
      <c r="L529" s="34">
        <f>IF('RPT2'!$J529="","",'RPT2'!$J529)</f>
        <v/>
      </c>
      <c r="M529" s="34">
        <f>IF('RPT3'!$J529="","",'RPT3'!$J529)</f>
        <v/>
      </c>
    </row>
    <row r="530">
      <c r="A530" s="16" t="inlineStr">
        <is>
          <t>Custom B/G - Projected Scripts - w/o Exclusions - Retail 90 - Brand - Year 5</t>
        </is>
      </c>
      <c r="B530" s="2" t="n"/>
      <c r="C530" s="33">
        <f>IF(Combine="Y", $G530, 0)</f>
        <v/>
      </c>
      <c r="D530" s="2" t="n"/>
      <c r="E530" s="4" t="n"/>
      <c r="F530" s="2" t="n"/>
      <c r="G530" s="33">
        <f>SUM($K530:$M530)</f>
        <v/>
      </c>
      <c r="H530" s="2" t="n"/>
      <c r="I530" s="4" t="n"/>
      <c r="J530" s="2" t="n"/>
      <c r="K530" s="34">
        <f>IF('RPT1'!$J530="","",'RPT1'!$J530)</f>
        <v/>
      </c>
      <c r="L530" s="34">
        <f>IF('RPT2'!$J530="","",'RPT2'!$J530)</f>
        <v/>
      </c>
      <c r="M530" s="34">
        <f>IF('RPT3'!$J530="","",'RPT3'!$J530)</f>
        <v/>
      </c>
    </row>
    <row r="531">
      <c r="A531" s="16" t="inlineStr">
        <is>
          <t>Custom B/G - Projected Scripts - w/o Exclusions - Retail 90 - Generic - Year 1</t>
        </is>
      </c>
      <c r="B531" s="2" t="n"/>
      <c r="C531" s="33">
        <f>IF(Combine="Y", $G531, 0)</f>
        <v/>
      </c>
      <c r="D531" s="2" t="n"/>
      <c r="E531" s="4" t="n"/>
      <c r="F531" s="2" t="n"/>
      <c r="G531" s="33">
        <f>SUM($K531:$M531)</f>
        <v/>
      </c>
      <c r="H531" s="2" t="n"/>
      <c r="I531" s="4" t="n"/>
      <c r="J531" s="2" t="n"/>
      <c r="K531" s="34">
        <f>IF('RPT1'!$J531="","",'RPT1'!$J531)</f>
        <v/>
      </c>
      <c r="L531" s="34">
        <f>IF('RPT2'!$J531="","",'RPT2'!$J531)</f>
        <v/>
      </c>
      <c r="M531" s="34">
        <f>IF('RPT3'!$J531="","",'RPT3'!$J531)</f>
        <v/>
      </c>
    </row>
    <row r="532">
      <c r="A532" s="16" t="inlineStr">
        <is>
          <t>Custom B/G - Projected Scripts - w/o Exclusions - Retail 90 - Generic - Year 2</t>
        </is>
      </c>
      <c r="B532" s="2" t="n"/>
      <c r="C532" s="33">
        <f>IF(Combine="Y", $G532, 0)</f>
        <v/>
      </c>
      <c r="D532" s="2" t="n"/>
      <c r="E532" s="4" t="n"/>
      <c r="F532" s="2" t="n"/>
      <c r="G532" s="33">
        <f>SUM($K532:$M532)</f>
        <v/>
      </c>
      <c r="H532" s="2" t="n"/>
      <c r="I532" s="4" t="n"/>
      <c r="J532" s="2" t="n"/>
      <c r="K532" s="34">
        <f>IF('RPT1'!$J532="","",'RPT1'!$J532)</f>
        <v/>
      </c>
      <c r="L532" s="34">
        <f>IF('RPT2'!$J532="","",'RPT2'!$J532)</f>
        <v/>
      </c>
      <c r="M532" s="34">
        <f>IF('RPT3'!$J532="","",'RPT3'!$J532)</f>
        <v/>
      </c>
    </row>
    <row r="533">
      <c r="A533" s="16" t="inlineStr">
        <is>
          <t>Custom B/G - Projected Scripts - w/o Exclusions - Retail 90 - Generic - Year 3</t>
        </is>
      </c>
      <c r="B533" s="2" t="n"/>
      <c r="C533" s="33">
        <f>IF(Combine="Y", $G533, 0)</f>
        <v/>
      </c>
      <c r="D533" s="2" t="n"/>
      <c r="E533" s="4" t="n"/>
      <c r="F533" s="2" t="n"/>
      <c r="G533" s="33">
        <f>SUM($K533:$M533)</f>
        <v/>
      </c>
      <c r="H533" s="2" t="n"/>
      <c r="I533" s="4" t="n"/>
      <c r="J533" s="2" t="n"/>
      <c r="K533" s="34">
        <f>IF('RPT1'!$J533="","",'RPT1'!$J533)</f>
        <v/>
      </c>
      <c r="L533" s="34">
        <f>IF('RPT2'!$J533="","",'RPT2'!$J533)</f>
        <v/>
      </c>
      <c r="M533" s="34">
        <f>IF('RPT3'!$J533="","",'RPT3'!$J533)</f>
        <v/>
      </c>
    </row>
    <row r="534">
      <c r="A534" s="16" t="inlineStr">
        <is>
          <t>Custom B/G - Projected Scripts - w/o Exclusions - Retail 90 - Generic - Year 4</t>
        </is>
      </c>
      <c r="B534" s="2" t="n"/>
      <c r="C534" s="33">
        <f>IF(Combine="Y", $G534, 0)</f>
        <v/>
      </c>
      <c r="D534" s="2" t="n"/>
      <c r="E534" s="4" t="n"/>
      <c r="F534" s="2" t="n"/>
      <c r="G534" s="33">
        <f>SUM($K534:$M534)</f>
        <v/>
      </c>
      <c r="H534" s="2" t="n"/>
      <c r="I534" s="4" t="n"/>
      <c r="J534" s="2" t="n"/>
      <c r="K534" s="34">
        <f>IF('RPT1'!$J534="","",'RPT1'!$J534)</f>
        <v/>
      </c>
      <c r="L534" s="34">
        <f>IF('RPT2'!$J534="","",'RPT2'!$J534)</f>
        <v/>
      </c>
      <c r="M534" s="34">
        <f>IF('RPT3'!$J534="","",'RPT3'!$J534)</f>
        <v/>
      </c>
    </row>
    <row r="535">
      <c r="A535" s="16" t="inlineStr">
        <is>
          <t>Custom B/G - Projected Scripts - w/o Exclusions - Retail 90 - Generic - Year 5</t>
        </is>
      </c>
      <c r="B535" s="2" t="n"/>
      <c r="C535" s="33">
        <f>IF(Combine="Y", $G535, 0)</f>
        <v/>
      </c>
      <c r="D535" s="2" t="n"/>
      <c r="E535" s="4" t="n"/>
      <c r="F535" s="2" t="n"/>
      <c r="G535" s="33">
        <f>SUM($K535:$M535)</f>
        <v/>
      </c>
      <c r="H535" s="2" t="n"/>
      <c r="I535" s="4" t="n"/>
      <c r="J535" s="2" t="n"/>
      <c r="K535" s="34">
        <f>IF('RPT1'!$J535="","",'RPT1'!$J535)</f>
        <v/>
      </c>
      <c r="L535" s="34">
        <f>IF('RPT2'!$J535="","",'RPT2'!$J535)</f>
        <v/>
      </c>
      <c r="M535" s="34">
        <f>IF('RPT3'!$J535="","",'RPT3'!$J535)</f>
        <v/>
      </c>
    </row>
    <row r="536">
      <c r="A536" s="16" t="inlineStr">
        <is>
          <t>Custom B/G - Projected Scripts - w/o Exclusions - Specialty - Brand - Year 1</t>
        </is>
      </c>
      <c r="B536" s="2" t="n"/>
      <c r="C536" s="33">
        <f>IF(Combine="Y", $G536, 0)</f>
        <v/>
      </c>
      <c r="D536" s="2" t="n"/>
      <c r="E536" s="4" t="n"/>
      <c r="F536" s="2" t="n"/>
      <c r="G536" s="33">
        <f>SUM($K536:$M536)</f>
        <v/>
      </c>
      <c r="H536" s="2" t="n"/>
      <c r="I536" s="4" t="n"/>
      <c r="J536" s="2" t="n"/>
      <c r="K536" s="34">
        <f>IF('RPT1'!$J536="","",'RPT1'!$J536)</f>
        <v/>
      </c>
      <c r="L536" s="34">
        <f>IF('RPT2'!$J536="","",'RPT2'!$J536)</f>
        <v/>
      </c>
      <c r="M536" s="34">
        <f>IF('RPT3'!$J536="","",'RPT3'!$J536)</f>
        <v/>
      </c>
    </row>
    <row r="537">
      <c r="A537" s="16" t="inlineStr">
        <is>
          <t>Custom B/G - Projected Scripts - w/o Exclusions - Specialty - Brand - Year 2</t>
        </is>
      </c>
      <c r="B537" s="2" t="n"/>
      <c r="C537" s="33">
        <f>IF(Combine="Y", $G537, 0)</f>
        <v/>
      </c>
      <c r="D537" s="2" t="n"/>
      <c r="E537" s="4" t="n"/>
      <c r="F537" s="2" t="n"/>
      <c r="G537" s="33">
        <f>SUM($K537:$M537)</f>
        <v/>
      </c>
      <c r="H537" s="2" t="n"/>
      <c r="I537" s="4" t="n"/>
      <c r="J537" s="2" t="n"/>
      <c r="K537" s="34">
        <f>IF('RPT1'!$J537="","",'RPT1'!$J537)</f>
        <v/>
      </c>
      <c r="L537" s="34">
        <f>IF('RPT2'!$J537="","",'RPT2'!$J537)</f>
        <v/>
      </c>
      <c r="M537" s="34">
        <f>IF('RPT3'!$J537="","",'RPT3'!$J537)</f>
        <v/>
      </c>
    </row>
    <row r="538">
      <c r="A538" s="16" t="inlineStr">
        <is>
          <t>Custom B/G - Projected Scripts - w/o Exclusions - Specialty - Brand - Year 3</t>
        </is>
      </c>
      <c r="B538" s="2" t="n"/>
      <c r="C538" s="33">
        <f>IF(Combine="Y", $G538, 0)</f>
        <v/>
      </c>
      <c r="D538" s="2" t="n"/>
      <c r="E538" s="4" t="n"/>
      <c r="F538" s="2" t="n"/>
      <c r="G538" s="33">
        <f>SUM($K538:$M538)</f>
        <v/>
      </c>
      <c r="H538" s="2" t="n"/>
      <c r="I538" s="4" t="n"/>
      <c r="J538" s="2" t="n"/>
      <c r="K538" s="34">
        <f>IF('RPT1'!$J538="","",'RPT1'!$J538)</f>
        <v/>
      </c>
      <c r="L538" s="34">
        <f>IF('RPT2'!$J538="","",'RPT2'!$J538)</f>
        <v/>
      </c>
      <c r="M538" s="34">
        <f>IF('RPT3'!$J538="","",'RPT3'!$J538)</f>
        <v/>
      </c>
    </row>
    <row r="539">
      <c r="A539" s="16" t="inlineStr">
        <is>
          <t>Custom B/G - Projected Scripts - w/o Exclusions - Specialty - Brand - Year 4</t>
        </is>
      </c>
      <c r="B539" s="2" t="n"/>
      <c r="C539" s="33">
        <f>IF(Combine="Y", $G539, 0)</f>
        <v/>
      </c>
      <c r="D539" s="2" t="n"/>
      <c r="E539" s="4" t="n"/>
      <c r="F539" s="2" t="n"/>
      <c r="G539" s="33">
        <f>SUM($K539:$M539)</f>
        <v/>
      </c>
      <c r="H539" s="2" t="n"/>
      <c r="I539" s="4" t="n"/>
      <c r="J539" s="2" t="n"/>
      <c r="K539" s="34">
        <f>IF('RPT1'!$J539="","",'RPT1'!$J539)</f>
        <v/>
      </c>
      <c r="L539" s="34">
        <f>IF('RPT2'!$J539="","",'RPT2'!$J539)</f>
        <v/>
      </c>
      <c r="M539" s="34">
        <f>IF('RPT3'!$J539="","",'RPT3'!$J539)</f>
        <v/>
      </c>
    </row>
    <row r="540">
      <c r="A540" s="16" t="inlineStr">
        <is>
          <t>Custom B/G - Projected Scripts - w/o Exclusions - Specialty - Brand - Year 5</t>
        </is>
      </c>
      <c r="B540" s="2" t="n"/>
      <c r="C540" s="33">
        <f>IF(Combine="Y", $G540, 0)</f>
        <v/>
      </c>
      <c r="D540" s="2" t="n"/>
      <c r="E540" s="4" t="n"/>
      <c r="F540" s="2" t="n"/>
      <c r="G540" s="33">
        <f>SUM($K540:$M540)</f>
        <v/>
      </c>
      <c r="H540" s="2" t="n"/>
      <c r="I540" s="4" t="n"/>
      <c r="J540" s="2" t="n"/>
      <c r="K540" s="34">
        <f>IF('RPT1'!$J540="","",'RPT1'!$J540)</f>
        <v/>
      </c>
      <c r="L540" s="34">
        <f>IF('RPT2'!$J540="","",'RPT2'!$J540)</f>
        <v/>
      </c>
      <c r="M540" s="34">
        <f>IF('RPT3'!$J540="","",'RPT3'!$J540)</f>
        <v/>
      </c>
    </row>
    <row r="541">
      <c r="A541" s="16" t="inlineStr">
        <is>
          <t>Custom B/G - Projected Scripts - w/o Exclusions - Specialty - Generic - Year 1</t>
        </is>
      </c>
      <c r="B541" s="2" t="n"/>
      <c r="C541" s="33">
        <f>IF(Combine="Y", $G541, 0)</f>
        <v/>
      </c>
      <c r="D541" s="2" t="n"/>
      <c r="E541" s="4" t="n"/>
      <c r="F541" s="2" t="n"/>
      <c r="G541" s="33">
        <f>SUM($K541:$M541)</f>
        <v/>
      </c>
      <c r="H541" s="2" t="n"/>
      <c r="I541" s="4" t="n"/>
      <c r="J541" s="2" t="n"/>
      <c r="K541" s="34">
        <f>IF('RPT1'!$J541="","",'RPT1'!$J541)</f>
        <v/>
      </c>
      <c r="L541" s="34">
        <f>IF('RPT2'!$J541="","",'RPT2'!$J541)</f>
        <v/>
      </c>
      <c r="M541" s="34">
        <f>IF('RPT3'!$J541="","",'RPT3'!$J541)</f>
        <v/>
      </c>
    </row>
    <row r="542">
      <c r="A542" s="16" t="inlineStr">
        <is>
          <t>Custom B/G - Projected Scripts - w/o Exclusions - Specialty - Generic - Year 2</t>
        </is>
      </c>
      <c r="B542" s="2" t="n"/>
      <c r="C542" s="33">
        <f>IF(Combine="Y", $G542, 0)</f>
        <v/>
      </c>
      <c r="D542" s="2" t="n"/>
      <c r="E542" s="4" t="n"/>
      <c r="F542" s="2" t="n"/>
      <c r="G542" s="33">
        <f>SUM($K542:$M542)</f>
        <v/>
      </c>
      <c r="H542" s="2" t="n"/>
      <c r="I542" s="4" t="n"/>
      <c r="J542" s="2" t="n"/>
      <c r="K542" s="34">
        <f>IF('RPT1'!$J542="","",'RPT1'!$J542)</f>
        <v/>
      </c>
      <c r="L542" s="34">
        <f>IF('RPT2'!$J542="","",'RPT2'!$J542)</f>
        <v/>
      </c>
      <c r="M542" s="34">
        <f>IF('RPT3'!$J542="","",'RPT3'!$J542)</f>
        <v/>
      </c>
    </row>
    <row r="543">
      <c r="A543" s="16" t="inlineStr">
        <is>
          <t>Custom B/G - Projected Scripts - w/o Exclusions - Specialty - Generic - Year 3</t>
        </is>
      </c>
      <c r="B543" s="2" t="n"/>
      <c r="C543" s="33">
        <f>IF(Combine="Y", $G543, 0)</f>
        <v/>
      </c>
      <c r="D543" s="2" t="n"/>
      <c r="E543" s="4" t="n"/>
      <c r="F543" s="2" t="n"/>
      <c r="G543" s="33">
        <f>SUM($K543:$M543)</f>
        <v/>
      </c>
      <c r="H543" s="2" t="n"/>
      <c r="I543" s="4" t="n"/>
      <c r="J543" s="2" t="n"/>
      <c r="K543" s="34">
        <f>IF('RPT1'!$J543="","",'RPT1'!$J543)</f>
        <v/>
      </c>
      <c r="L543" s="34">
        <f>IF('RPT2'!$J543="","",'RPT2'!$J543)</f>
        <v/>
      </c>
      <c r="M543" s="34">
        <f>IF('RPT3'!$J543="","",'RPT3'!$J543)</f>
        <v/>
      </c>
    </row>
    <row r="544">
      <c r="A544" s="16" t="inlineStr">
        <is>
          <t>Custom B/G - Projected Scripts - w/o Exclusions - Specialty - Generic - Year 4</t>
        </is>
      </c>
      <c r="B544" s="2" t="n"/>
      <c r="C544" s="33">
        <f>IF(Combine="Y", $G544, 0)</f>
        <v/>
      </c>
      <c r="D544" s="2" t="n"/>
      <c r="E544" s="4" t="n"/>
      <c r="F544" s="2" t="n"/>
      <c r="G544" s="33">
        <f>SUM($K544:$M544)</f>
        <v/>
      </c>
      <c r="H544" s="2" t="n"/>
      <c r="I544" s="4" t="n"/>
      <c r="J544" s="2" t="n"/>
      <c r="K544" s="34">
        <f>IF('RPT1'!$J544="","",'RPT1'!$J544)</f>
        <v/>
      </c>
      <c r="L544" s="34">
        <f>IF('RPT2'!$J544="","",'RPT2'!$J544)</f>
        <v/>
      </c>
      <c r="M544" s="34">
        <f>IF('RPT3'!$J544="","",'RPT3'!$J544)</f>
        <v/>
      </c>
    </row>
    <row r="545">
      <c r="A545" s="16" t="inlineStr">
        <is>
          <t>Custom B/G - Projected Scripts - w/o Exclusions - Specialty - Generic - Year 5</t>
        </is>
      </c>
      <c r="B545" s="2" t="n"/>
      <c r="C545" s="33">
        <f>IF(Combine="Y", $G545, 0)</f>
        <v/>
      </c>
      <c r="D545" s="2" t="n"/>
      <c r="E545" s="4" t="n"/>
      <c r="F545" s="2" t="n"/>
      <c r="G545" s="33">
        <f>SUM($K545:$M545)</f>
        <v/>
      </c>
      <c r="H545" s="2" t="n"/>
      <c r="I545" s="4" t="n"/>
      <c r="J545" s="2" t="n"/>
      <c r="K545" s="34">
        <f>IF('RPT1'!$J545="","",'RPT1'!$J545)</f>
        <v/>
      </c>
      <c r="L545" s="34">
        <f>IF('RPT2'!$J545="","",'RPT2'!$J545)</f>
        <v/>
      </c>
      <c r="M545" s="34">
        <f>IF('RPT3'!$J545="","",'RPT3'!$J545)</f>
        <v/>
      </c>
    </row>
    <row r="546">
      <c r="A546" s="31" t="n"/>
      <c r="B546" s="2" t="n"/>
      <c r="C546" s="14" t="n"/>
      <c r="D546" s="2" t="n"/>
      <c r="E546" s="4" t="n"/>
      <c r="F546" s="2" t="n"/>
      <c r="G546" s="14" t="n"/>
      <c r="H546" s="2" t="n"/>
      <c r="I546" s="4" t="n"/>
      <c r="J546" s="2" t="n"/>
      <c r="K546" s="32" t="n"/>
      <c r="L546" s="32" t="n"/>
      <c r="M546" s="32" t="n"/>
    </row>
    <row r="547">
      <c r="A547" s="12" t="inlineStr">
        <is>
          <t>Custom B/G - Projected Scripts - w/ Exclusions</t>
        </is>
      </c>
      <c r="B547" s="2" t="n"/>
      <c r="C547" s="14" t="n"/>
      <c r="D547" s="2" t="n"/>
      <c r="E547" s="4" t="n"/>
      <c r="F547" s="2" t="n"/>
      <c r="G547" s="14" t="n"/>
      <c r="H547" s="2" t="n"/>
      <c r="I547" s="4" t="n"/>
      <c r="J547" s="2" t="n"/>
      <c r="K547" s="32">
        <f>IF('RPT1'!$J547="","",'RPT1'!$J547)</f>
        <v/>
      </c>
      <c r="L547" s="32">
        <f>IF('RPT2'!$J547="","",'RPT2'!$J547)</f>
        <v/>
      </c>
      <c r="M547" s="32">
        <f>IF('RPT3'!$J547="","",'RPT3'!$J547)</f>
        <v/>
      </c>
    </row>
    <row r="548">
      <c r="A548" s="16" t="inlineStr">
        <is>
          <t>Custom B/G - Projected Scripts - w/ Exclusions - Mail - Brand - Year 1</t>
        </is>
      </c>
      <c r="B548" s="2" t="n"/>
      <c r="C548" s="33">
        <f>IF(Combine="Y", $G548, 0)</f>
        <v/>
      </c>
      <c r="D548" s="2" t="n"/>
      <c r="E548" s="4" t="n"/>
      <c r="F548" s="2" t="n"/>
      <c r="G548" s="33">
        <f>SUM($K548:$M548)</f>
        <v/>
      </c>
      <c r="H548" s="2" t="n"/>
      <c r="I548" s="4" t="n"/>
      <c r="J548" s="2" t="n"/>
      <c r="K548" s="34">
        <f>IF('RPT1'!$J548="","",'RPT1'!$J548)</f>
        <v/>
      </c>
      <c r="L548" s="34">
        <f>IF('RPT2'!$J548="","",'RPT2'!$J548)</f>
        <v/>
      </c>
      <c r="M548" s="34">
        <f>IF('RPT3'!$J548="","",'RPT3'!$J548)</f>
        <v/>
      </c>
    </row>
    <row r="549">
      <c r="A549" s="16" t="inlineStr">
        <is>
          <t>Custom B/G - Projected Scripts - w/ Exclusions - Mail - Brand - Year 2</t>
        </is>
      </c>
      <c r="B549" s="2" t="n"/>
      <c r="C549" s="33">
        <f>IF(Combine="Y", $G549, 0)</f>
        <v/>
      </c>
      <c r="D549" s="2" t="n"/>
      <c r="E549" s="4" t="n"/>
      <c r="F549" s="2" t="n"/>
      <c r="G549" s="33">
        <f>SUM($K549:$M549)</f>
        <v/>
      </c>
      <c r="H549" s="2" t="n"/>
      <c r="I549" s="4" t="n"/>
      <c r="J549" s="2" t="n"/>
      <c r="K549" s="34">
        <f>IF('RPT1'!$J549="","",'RPT1'!$J549)</f>
        <v/>
      </c>
      <c r="L549" s="34">
        <f>IF('RPT2'!$J549="","",'RPT2'!$J549)</f>
        <v/>
      </c>
      <c r="M549" s="34">
        <f>IF('RPT3'!$J549="","",'RPT3'!$J549)</f>
        <v/>
      </c>
    </row>
    <row r="550">
      <c r="A550" s="16" t="inlineStr">
        <is>
          <t>Custom B/G - Projected Scripts - w/ Exclusions - Mail - Brand - Year 3</t>
        </is>
      </c>
      <c r="B550" s="2" t="n"/>
      <c r="C550" s="33">
        <f>IF(Combine="Y", $G550, 0)</f>
        <v/>
      </c>
      <c r="D550" s="2" t="n"/>
      <c r="E550" s="4" t="n"/>
      <c r="F550" s="2" t="n"/>
      <c r="G550" s="33">
        <f>SUM($K550:$M550)</f>
        <v/>
      </c>
      <c r="H550" s="2" t="n"/>
      <c r="I550" s="4" t="n"/>
      <c r="J550" s="2" t="n"/>
      <c r="K550" s="34">
        <f>IF('RPT1'!$J550="","",'RPT1'!$J550)</f>
        <v/>
      </c>
      <c r="L550" s="34">
        <f>IF('RPT2'!$J550="","",'RPT2'!$J550)</f>
        <v/>
      </c>
      <c r="M550" s="34">
        <f>IF('RPT3'!$J550="","",'RPT3'!$J550)</f>
        <v/>
      </c>
    </row>
    <row r="551">
      <c r="A551" s="16" t="inlineStr">
        <is>
          <t>Custom B/G - Projected Scripts - w/ Exclusions - Mail - Brand - Year 4</t>
        </is>
      </c>
      <c r="B551" s="2" t="n"/>
      <c r="C551" s="33">
        <f>IF(Combine="Y", $G551, 0)</f>
        <v/>
      </c>
      <c r="D551" s="2" t="n"/>
      <c r="E551" s="4" t="n"/>
      <c r="F551" s="2" t="n"/>
      <c r="G551" s="33">
        <f>SUM($K551:$M551)</f>
        <v/>
      </c>
      <c r="H551" s="2" t="n"/>
      <c r="I551" s="4" t="n"/>
      <c r="J551" s="2" t="n"/>
      <c r="K551" s="34">
        <f>IF('RPT1'!$J551="","",'RPT1'!$J551)</f>
        <v/>
      </c>
      <c r="L551" s="34">
        <f>IF('RPT2'!$J551="","",'RPT2'!$J551)</f>
        <v/>
      </c>
      <c r="M551" s="34">
        <f>IF('RPT3'!$J551="","",'RPT3'!$J551)</f>
        <v/>
      </c>
    </row>
    <row r="552">
      <c r="A552" s="16" t="inlineStr">
        <is>
          <t>Custom B/G - Projected Scripts - w/ Exclusions - Mail - Brand - Year 5</t>
        </is>
      </c>
      <c r="B552" s="2" t="n"/>
      <c r="C552" s="33">
        <f>IF(Combine="Y", $G552, 0)</f>
        <v/>
      </c>
      <c r="D552" s="2" t="n"/>
      <c r="E552" s="4" t="n"/>
      <c r="F552" s="2" t="n"/>
      <c r="G552" s="33">
        <f>SUM($K552:$M552)</f>
        <v/>
      </c>
      <c r="H552" s="2" t="n"/>
      <c r="I552" s="4" t="n"/>
      <c r="J552" s="2" t="n"/>
      <c r="K552" s="34">
        <f>IF('RPT1'!$J552="","",'RPT1'!$J552)</f>
        <v/>
      </c>
      <c r="L552" s="34">
        <f>IF('RPT2'!$J552="","",'RPT2'!$J552)</f>
        <v/>
      </c>
      <c r="M552" s="34">
        <f>IF('RPT3'!$J552="","",'RPT3'!$J552)</f>
        <v/>
      </c>
    </row>
    <row r="553">
      <c r="A553" s="16" t="inlineStr">
        <is>
          <t>Custom B/G - Projected Scripts - w/ Exclusions - Mail - Generic - Year 1</t>
        </is>
      </c>
      <c r="B553" s="2" t="n"/>
      <c r="C553" s="33">
        <f>IF(Combine="Y", $G553, 0)</f>
        <v/>
      </c>
      <c r="D553" s="2" t="n"/>
      <c r="E553" s="4" t="n"/>
      <c r="F553" s="2" t="n"/>
      <c r="G553" s="33">
        <f>SUM($K553:$M553)</f>
        <v/>
      </c>
      <c r="H553" s="2" t="n"/>
      <c r="I553" s="4" t="n"/>
      <c r="J553" s="2" t="n"/>
      <c r="K553" s="34">
        <f>IF('RPT1'!$J553="","",'RPT1'!$J553)</f>
        <v/>
      </c>
      <c r="L553" s="34">
        <f>IF('RPT2'!$J553="","",'RPT2'!$J553)</f>
        <v/>
      </c>
      <c r="M553" s="34">
        <f>IF('RPT3'!$J553="","",'RPT3'!$J553)</f>
        <v/>
      </c>
    </row>
    <row r="554">
      <c r="A554" s="16" t="inlineStr">
        <is>
          <t>Custom B/G - Projected Scripts - w/ Exclusions - Mail - Generic - Year 2</t>
        </is>
      </c>
      <c r="B554" s="2" t="n"/>
      <c r="C554" s="33">
        <f>IF(Combine="Y", $G554, 0)</f>
        <v/>
      </c>
      <c r="D554" s="2" t="n"/>
      <c r="E554" s="4" t="n"/>
      <c r="F554" s="2" t="n"/>
      <c r="G554" s="33">
        <f>SUM($K554:$M554)</f>
        <v/>
      </c>
      <c r="H554" s="2" t="n"/>
      <c r="I554" s="4" t="n"/>
      <c r="J554" s="2" t="n"/>
      <c r="K554" s="34">
        <f>IF('RPT1'!$J554="","",'RPT1'!$J554)</f>
        <v/>
      </c>
      <c r="L554" s="34">
        <f>IF('RPT2'!$J554="","",'RPT2'!$J554)</f>
        <v/>
      </c>
      <c r="M554" s="34">
        <f>IF('RPT3'!$J554="","",'RPT3'!$J554)</f>
        <v/>
      </c>
    </row>
    <row r="555">
      <c r="A555" s="16" t="inlineStr">
        <is>
          <t>Custom B/G - Projected Scripts - w/ Exclusions - Mail - Generic - Year 3</t>
        </is>
      </c>
      <c r="B555" s="2" t="n"/>
      <c r="C555" s="33">
        <f>IF(Combine="Y", $G555, 0)</f>
        <v/>
      </c>
      <c r="D555" s="2" t="n"/>
      <c r="E555" s="4" t="n"/>
      <c r="F555" s="2" t="n"/>
      <c r="G555" s="33">
        <f>SUM($K555:$M555)</f>
        <v/>
      </c>
      <c r="H555" s="2" t="n"/>
      <c r="I555" s="4" t="n"/>
      <c r="J555" s="2" t="n"/>
      <c r="K555" s="34">
        <f>IF('RPT1'!$J555="","",'RPT1'!$J555)</f>
        <v/>
      </c>
      <c r="L555" s="34">
        <f>IF('RPT2'!$J555="","",'RPT2'!$J555)</f>
        <v/>
      </c>
      <c r="M555" s="34">
        <f>IF('RPT3'!$J555="","",'RPT3'!$J555)</f>
        <v/>
      </c>
    </row>
    <row r="556">
      <c r="A556" s="16" t="inlineStr">
        <is>
          <t>Custom B/G - Projected Scripts - w/ Exclusions - Mail - Generic - Year 4</t>
        </is>
      </c>
      <c r="B556" s="2" t="n"/>
      <c r="C556" s="33">
        <f>IF(Combine="Y", $G556, 0)</f>
        <v/>
      </c>
      <c r="D556" s="2" t="n"/>
      <c r="E556" s="4" t="n"/>
      <c r="F556" s="2" t="n"/>
      <c r="G556" s="33">
        <f>SUM($K556:$M556)</f>
        <v/>
      </c>
      <c r="H556" s="2" t="n"/>
      <c r="I556" s="4" t="n"/>
      <c r="J556" s="2" t="n"/>
      <c r="K556" s="34">
        <f>IF('RPT1'!$J556="","",'RPT1'!$J556)</f>
        <v/>
      </c>
      <c r="L556" s="34">
        <f>IF('RPT2'!$J556="","",'RPT2'!$J556)</f>
        <v/>
      </c>
      <c r="M556" s="34">
        <f>IF('RPT3'!$J556="","",'RPT3'!$J556)</f>
        <v/>
      </c>
    </row>
    <row r="557">
      <c r="A557" s="16" t="inlineStr">
        <is>
          <t>Custom B/G - Projected Scripts - w/ Exclusions - Mail - Generic - Year 5</t>
        </is>
      </c>
      <c r="B557" s="2" t="n"/>
      <c r="C557" s="33">
        <f>IF(Combine="Y", $G557, 0)</f>
        <v/>
      </c>
      <c r="D557" s="2" t="n"/>
      <c r="E557" s="4" t="n"/>
      <c r="F557" s="2" t="n"/>
      <c r="G557" s="33">
        <f>SUM($K557:$M557)</f>
        <v/>
      </c>
      <c r="H557" s="2" t="n"/>
      <c r="I557" s="4" t="n"/>
      <c r="J557" s="2" t="n"/>
      <c r="K557" s="34">
        <f>IF('RPT1'!$J557="","",'RPT1'!$J557)</f>
        <v/>
      </c>
      <c r="L557" s="34">
        <f>IF('RPT2'!$J557="","",'RPT2'!$J557)</f>
        <v/>
      </c>
      <c r="M557" s="34">
        <f>IF('RPT3'!$J557="","",'RPT3'!$J557)</f>
        <v/>
      </c>
    </row>
    <row r="558">
      <c r="A558" s="16" t="inlineStr">
        <is>
          <t>Custom B/G - Projected Scripts - w/ Exclusions - Retail 30 - Brand - Year 1</t>
        </is>
      </c>
      <c r="B558" s="2" t="n"/>
      <c r="C558" s="33">
        <f>IF(Combine="Y", $G558, 0)</f>
        <v/>
      </c>
      <c r="D558" s="2" t="n"/>
      <c r="E558" s="4" t="n"/>
      <c r="F558" s="2" t="n"/>
      <c r="G558" s="33">
        <f>SUM($K558:$M558)</f>
        <v/>
      </c>
      <c r="H558" s="2" t="n"/>
      <c r="I558" s="4" t="n"/>
      <c r="J558" s="2" t="n"/>
      <c r="K558" s="34">
        <f>IF('RPT1'!$J558="","",'RPT1'!$J558)</f>
        <v/>
      </c>
      <c r="L558" s="34">
        <f>IF('RPT2'!$J558="","",'RPT2'!$J558)</f>
        <v/>
      </c>
      <c r="M558" s="34">
        <f>IF('RPT3'!$J558="","",'RPT3'!$J558)</f>
        <v/>
      </c>
    </row>
    <row r="559">
      <c r="A559" s="16" t="inlineStr">
        <is>
          <t>Custom B/G - Projected Scripts - w/ Exclusions - Retail 30 - Brand - Year 2</t>
        </is>
      </c>
      <c r="B559" s="2" t="n"/>
      <c r="C559" s="33">
        <f>IF(Combine="Y", $G559, 0)</f>
        <v/>
      </c>
      <c r="D559" s="2" t="n"/>
      <c r="E559" s="4" t="n"/>
      <c r="F559" s="2" t="n"/>
      <c r="G559" s="33">
        <f>SUM($K559:$M559)</f>
        <v/>
      </c>
      <c r="H559" s="2" t="n"/>
      <c r="I559" s="4" t="n"/>
      <c r="J559" s="2" t="n"/>
      <c r="K559" s="34">
        <f>IF('RPT1'!$J559="","",'RPT1'!$J559)</f>
        <v/>
      </c>
      <c r="L559" s="34">
        <f>IF('RPT2'!$J559="","",'RPT2'!$J559)</f>
        <v/>
      </c>
      <c r="M559" s="34">
        <f>IF('RPT3'!$J559="","",'RPT3'!$J559)</f>
        <v/>
      </c>
    </row>
    <row r="560">
      <c r="A560" s="16" t="inlineStr">
        <is>
          <t>Custom B/G - Projected Scripts - w/ Exclusions - Retail 30 - Brand - Year 3</t>
        </is>
      </c>
      <c r="B560" s="2" t="n"/>
      <c r="C560" s="33">
        <f>IF(Combine="Y", $G560, 0)</f>
        <v/>
      </c>
      <c r="D560" s="2" t="n"/>
      <c r="E560" s="4" t="n"/>
      <c r="F560" s="2" t="n"/>
      <c r="G560" s="33">
        <f>SUM($K560:$M560)</f>
        <v/>
      </c>
      <c r="H560" s="2" t="n"/>
      <c r="I560" s="4" t="n"/>
      <c r="J560" s="2" t="n"/>
      <c r="K560" s="34">
        <f>IF('RPT1'!$J560="","",'RPT1'!$J560)</f>
        <v/>
      </c>
      <c r="L560" s="34">
        <f>IF('RPT2'!$J560="","",'RPT2'!$J560)</f>
        <v/>
      </c>
      <c r="M560" s="34">
        <f>IF('RPT3'!$J560="","",'RPT3'!$J560)</f>
        <v/>
      </c>
    </row>
    <row r="561">
      <c r="A561" s="16" t="inlineStr">
        <is>
          <t>Custom B/G - Projected Scripts - w/ Exclusions - Retail 30 - Brand - Year 4</t>
        </is>
      </c>
      <c r="B561" s="2" t="n"/>
      <c r="C561" s="33">
        <f>IF(Combine="Y", $G561, 0)</f>
        <v/>
      </c>
      <c r="D561" s="2" t="n"/>
      <c r="E561" s="4" t="n"/>
      <c r="F561" s="2" t="n"/>
      <c r="G561" s="33">
        <f>SUM($K561:$M561)</f>
        <v/>
      </c>
      <c r="H561" s="2" t="n"/>
      <c r="I561" s="4" t="n"/>
      <c r="J561" s="2" t="n"/>
      <c r="K561" s="34">
        <f>IF('RPT1'!$J561="","",'RPT1'!$J561)</f>
        <v/>
      </c>
      <c r="L561" s="34">
        <f>IF('RPT2'!$J561="","",'RPT2'!$J561)</f>
        <v/>
      </c>
      <c r="M561" s="34">
        <f>IF('RPT3'!$J561="","",'RPT3'!$J561)</f>
        <v/>
      </c>
    </row>
    <row r="562">
      <c r="A562" s="16" t="inlineStr">
        <is>
          <t>Custom B/G - Projected Scripts - w/ Exclusions - Retail 30 - Brand - Year 5</t>
        </is>
      </c>
      <c r="B562" s="2" t="n"/>
      <c r="C562" s="33">
        <f>IF(Combine="Y", $G562, 0)</f>
        <v/>
      </c>
      <c r="D562" s="2" t="n"/>
      <c r="E562" s="4" t="n"/>
      <c r="F562" s="2" t="n"/>
      <c r="G562" s="33">
        <f>SUM($K562:$M562)</f>
        <v/>
      </c>
      <c r="H562" s="2" t="n"/>
      <c r="I562" s="4" t="n"/>
      <c r="J562" s="2" t="n"/>
      <c r="K562" s="34">
        <f>IF('RPT1'!$J562="","",'RPT1'!$J562)</f>
        <v/>
      </c>
      <c r="L562" s="34">
        <f>IF('RPT2'!$J562="","",'RPT2'!$J562)</f>
        <v/>
      </c>
      <c r="M562" s="34">
        <f>IF('RPT3'!$J562="","",'RPT3'!$J562)</f>
        <v/>
      </c>
    </row>
    <row r="563">
      <c r="A563" s="16" t="inlineStr">
        <is>
          <t>Custom B/G - Projected Scripts - w/ Exclusions - Retail 30 - Generic - Year 1</t>
        </is>
      </c>
      <c r="B563" s="2" t="n"/>
      <c r="C563" s="33">
        <f>IF(Combine="Y", $G563, 0)</f>
        <v/>
      </c>
      <c r="D563" s="2" t="n"/>
      <c r="E563" s="4" t="n"/>
      <c r="F563" s="2" t="n"/>
      <c r="G563" s="33">
        <f>SUM($K563:$M563)</f>
        <v/>
      </c>
      <c r="H563" s="2" t="n"/>
      <c r="I563" s="4" t="n"/>
      <c r="J563" s="2" t="n"/>
      <c r="K563" s="34">
        <f>IF('RPT1'!$J563="","",'RPT1'!$J563)</f>
        <v/>
      </c>
      <c r="L563" s="34">
        <f>IF('RPT2'!$J563="","",'RPT2'!$J563)</f>
        <v/>
      </c>
      <c r="M563" s="34">
        <f>IF('RPT3'!$J563="","",'RPT3'!$J563)</f>
        <v/>
      </c>
    </row>
    <row r="564">
      <c r="A564" s="16" t="inlineStr">
        <is>
          <t>Custom B/G - Projected Scripts - w/ Exclusions - Retail 30 - Generic - Year 2</t>
        </is>
      </c>
      <c r="B564" s="2" t="n"/>
      <c r="C564" s="33">
        <f>IF(Combine="Y", $G564, 0)</f>
        <v/>
      </c>
      <c r="D564" s="2" t="n"/>
      <c r="E564" s="4" t="n"/>
      <c r="F564" s="2" t="n"/>
      <c r="G564" s="33">
        <f>SUM($K564:$M564)</f>
        <v/>
      </c>
      <c r="H564" s="2" t="n"/>
      <c r="I564" s="4" t="n"/>
      <c r="J564" s="2" t="n"/>
      <c r="K564" s="34">
        <f>IF('RPT1'!$J564="","",'RPT1'!$J564)</f>
        <v/>
      </c>
      <c r="L564" s="34">
        <f>IF('RPT2'!$J564="","",'RPT2'!$J564)</f>
        <v/>
      </c>
      <c r="M564" s="34">
        <f>IF('RPT3'!$J564="","",'RPT3'!$J564)</f>
        <v/>
      </c>
    </row>
    <row r="565">
      <c r="A565" s="16" t="inlineStr">
        <is>
          <t>Custom B/G - Projected Scripts - w/ Exclusions - Retail 30 - Generic - Year 3</t>
        </is>
      </c>
      <c r="B565" s="2" t="n"/>
      <c r="C565" s="33">
        <f>IF(Combine="Y", $G565, 0)</f>
        <v/>
      </c>
      <c r="D565" s="2" t="n"/>
      <c r="E565" s="4" t="n"/>
      <c r="F565" s="2" t="n"/>
      <c r="G565" s="33">
        <f>SUM($K565:$M565)</f>
        <v/>
      </c>
      <c r="H565" s="2" t="n"/>
      <c r="I565" s="4" t="n"/>
      <c r="J565" s="2" t="n"/>
      <c r="K565" s="34">
        <f>IF('RPT1'!$J565="","",'RPT1'!$J565)</f>
        <v/>
      </c>
      <c r="L565" s="34">
        <f>IF('RPT2'!$J565="","",'RPT2'!$J565)</f>
        <v/>
      </c>
      <c r="M565" s="34">
        <f>IF('RPT3'!$J565="","",'RPT3'!$J565)</f>
        <v/>
      </c>
    </row>
    <row r="566">
      <c r="A566" s="16" t="inlineStr">
        <is>
          <t>Custom B/G - Projected Scripts - w/ Exclusions - Retail 30 - Generic - Year 4</t>
        </is>
      </c>
      <c r="B566" s="2" t="n"/>
      <c r="C566" s="33">
        <f>IF(Combine="Y", $G566, 0)</f>
        <v/>
      </c>
      <c r="D566" s="2" t="n"/>
      <c r="E566" s="4" t="n"/>
      <c r="F566" s="2" t="n"/>
      <c r="G566" s="33">
        <f>SUM($K566:$M566)</f>
        <v/>
      </c>
      <c r="H566" s="2" t="n"/>
      <c r="I566" s="4" t="n"/>
      <c r="J566" s="2" t="n"/>
      <c r="K566" s="34">
        <f>IF('RPT1'!$J566="","",'RPT1'!$J566)</f>
        <v/>
      </c>
      <c r="L566" s="34">
        <f>IF('RPT2'!$J566="","",'RPT2'!$J566)</f>
        <v/>
      </c>
      <c r="M566" s="34">
        <f>IF('RPT3'!$J566="","",'RPT3'!$J566)</f>
        <v/>
      </c>
    </row>
    <row r="567">
      <c r="A567" s="16" t="inlineStr">
        <is>
          <t>Custom B/G - Projected Scripts - w/ Exclusions - Retail 30 - Generic - Year 5</t>
        </is>
      </c>
      <c r="B567" s="2" t="n"/>
      <c r="C567" s="33">
        <f>IF(Combine="Y", $G567, 0)</f>
        <v/>
      </c>
      <c r="D567" s="2" t="n"/>
      <c r="E567" s="4" t="n"/>
      <c r="F567" s="2" t="n"/>
      <c r="G567" s="33">
        <f>SUM($K567:$M567)</f>
        <v/>
      </c>
      <c r="H567" s="2" t="n"/>
      <c r="I567" s="4" t="n"/>
      <c r="J567" s="2" t="n"/>
      <c r="K567" s="34">
        <f>IF('RPT1'!$J567="","",'RPT1'!$J567)</f>
        <v/>
      </c>
      <c r="L567" s="34">
        <f>IF('RPT2'!$J567="","",'RPT2'!$J567)</f>
        <v/>
      </c>
      <c r="M567" s="34">
        <f>IF('RPT3'!$J567="","",'RPT3'!$J567)</f>
        <v/>
      </c>
    </row>
    <row r="568">
      <c r="A568" s="16" t="inlineStr">
        <is>
          <t>Custom B/G - Projected Scripts - w/ Exclusions - Retail 90 - Brand - Year 1</t>
        </is>
      </c>
      <c r="B568" s="2" t="n"/>
      <c r="C568" s="33">
        <f>IF(Combine="Y", $G568, 0)</f>
        <v/>
      </c>
      <c r="D568" s="2" t="n"/>
      <c r="E568" s="4" t="n"/>
      <c r="F568" s="2" t="n"/>
      <c r="G568" s="33">
        <f>SUM($K568:$M568)</f>
        <v/>
      </c>
      <c r="H568" s="2" t="n"/>
      <c r="I568" s="4" t="n"/>
      <c r="J568" s="2" t="n"/>
      <c r="K568" s="34">
        <f>IF('RPT1'!$J568="","",'RPT1'!$J568)</f>
        <v/>
      </c>
      <c r="L568" s="34">
        <f>IF('RPT2'!$J568="","",'RPT2'!$J568)</f>
        <v/>
      </c>
      <c r="M568" s="34">
        <f>IF('RPT3'!$J568="","",'RPT3'!$J568)</f>
        <v/>
      </c>
    </row>
    <row r="569">
      <c r="A569" s="16" t="inlineStr">
        <is>
          <t>Custom B/G - Projected Scripts - w/ Exclusions - Retail 90 - Brand - Year 2</t>
        </is>
      </c>
      <c r="B569" s="2" t="n"/>
      <c r="C569" s="33">
        <f>IF(Combine="Y", $G569, 0)</f>
        <v/>
      </c>
      <c r="D569" s="2" t="n"/>
      <c r="E569" s="4" t="n"/>
      <c r="F569" s="2" t="n"/>
      <c r="G569" s="33">
        <f>SUM($K569:$M569)</f>
        <v/>
      </c>
      <c r="H569" s="2" t="n"/>
      <c r="I569" s="4" t="n"/>
      <c r="J569" s="2" t="n"/>
      <c r="K569" s="34">
        <f>IF('RPT1'!$J569="","",'RPT1'!$J569)</f>
        <v/>
      </c>
      <c r="L569" s="34">
        <f>IF('RPT2'!$J569="","",'RPT2'!$J569)</f>
        <v/>
      </c>
      <c r="M569" s="34">
        <f>IF('RPT3'!$J569="","",'RPT3'!$J569)</f>
        <v/>
      </c>
    </row>
    <row r="570">
      <c r="A570" s="16" t="inlineStr">
        <is>
          <t>Custom B/G - Projected Scripts - w/ Exclusions - Retail 90 - Brand - Year 3</t>
        </is>
      </c>
      <c r="B570" s="2" t="n"/>
      <c r="C570" s="33">
        <f>IF(Combine="Y", $G570, 0)</f>
        <v/>
      </c>
      <c r="D570" s="2" t="n"/>
      <c r="E570" s="4" t="n"/>
      <c r="F570" s="2" t="n"/>
      <c r="G570" s="33">
        <f>SUM($K570:$M570)</f>
        <v/>
      </c>
      <c r="H570" s="2" t="n"/>
      <c r="I570" s="4" t="n"/>
      <c r="J570" s="2" t="n"/>
      <c r="K570" s="34">
        <f>IF('RPT1'!$J570="","",'RPT1'!$J570)</f>
        <v/>
      </c>
      <c r="L570" s="34">
        <f>IF('RPT2'!$J570="","",'RPT2'!$J570)</f>
        <v/>
      </c>
      <c r="M570" s="34">
        <f>IF('RPT3'!$J570="","",'RPT3'!$J570)</f>
        <v/>
      </c>
    </row>
    <row r="571">
      <c r="A571" s="16" t="inlineStr">
        <is>
          <t>Custom B/G - Projected Scripts - w/ Exclusions - Retail 90 - Brand - Year 4</t>
        </is>
      </c>
      <c r="B571" s="2" t="n"/>
      <c r="C571" s="33">
        <f>IF(Combine="Y", $G571, 0)</f>
        <v/>
      </c>
      <c r="D571" s="2" t="n"/>
      <c r="E571" s="4" t="n"/>
      <c r="F571" s="2" t="n"/>
      <c r="G571" s="33">
        <f>SUM($K571:$M571)</f>
        <v/>
      </c>
      <c r="H571" s="2" t="n"/>
      <c r="I571" s="4" t="n"/>
      <c r="J571" s="2" t="n"/>
      <c r="K571" s="34">
        <f>IF('RPT1'!$J571="","",'RPT1'!$J571)</f>
        <v/>
      </c>
      <c r="L571" s="34">
        <f>IF('RPT2'!$J571="","",'RPT2'!$J571)</f>
        <v/>
      </c>
      <c r="M571" s="34">
        <f>IF('RPT3'!$J571="","",'RPT3'!$J571)</f>
        <v/>
      </c>
    </row>
    <row r="572">
      <c r="A572" s="16" t="inlineStr">
        <is>
          <t>Custom B/G - Projected Scripts - w/ Exclusions - Retail 90 - Brand - Year 5</t>
        </is>
      </c>
      <c r="B572" s="2" t="n"/>
      <c r="C572" s="33">
        <f>IF(Combine="Y", $G572, 0)</f>
        <v/>
      </c>
      <c r="D572" s="2" t="n"/>
      <c r="E572" s="4" t="n"/>
      <c r="F572" s="2" t="n"/>
      <c r="G572" s="33">
        <f>SUM($K572:$M572)</f>
        <v/>
      </c>
      <c r="H572" s="2" t="n"/>
      <c r="I572" s="4" t="n"/>
      <c r="J572" s="2" t="n"/>
      <c r="K572" s="34">
        <f>IF('RPT1'!$J572="","",'RPT1'!$J572)</f>
        <v/>
      </c>
      <c r="L572" s="34">
        <f>IF('RPT2'!$J572="","",'RPT2'!$J572)</f>
        <v/>
      </c>
      <c r="M572" s="34">
        <f>IF('RPT3'!$J572="","",'RPT3'!$J572)</f>
        <v/>
      </c>
    </row>
    <row r="573">
      <c r="A573" s="16" t="inlineStr">
        <is>
          <t>Custom B/G - Projected Scripts - w/ Exclusions - Retail 90 - Generic - Year 1</t>
        </is>
      </c>
      <c r="B573" s="2" t="n"/>
      <c r="C573" s="33">
        <f>IF(Combine="Y", $G573, 0)</f>
        <v/>
      </c>
      <c r="D573" s="2" t="n"/>
      <c r="E573" s="4" t="n"/>
      <c r="F573" s="2" t="n"/>
      <c r="G573" s="33">
        <f>SUM($K573:$M573)</f>
        <v/>
      </c>
      <c r="H573" s="2" t="n"/>
      <c r="I573" s="4" t="n"/>
      <c r="J573" s="2" t="n"/>
      <c r="K573" s="34">
        <f>IF('RPT1'!$J573="","",'RPT1'!$J573)</f>
        <v/>
      </c>
      <c r="L573" s="34">
        <f>IF('RPT2'!$J573="","",'RPT2'!$J573)</f>
        <v/>
      </c>
      <c r="M573" s="34">
        <f>IF('RPT3'!$J573="","",'RPT3'!$J573)</f>
        <v/>
      </c>
    </row>
    <row r="574">
      <c r="A574" s="16" t="inlineStr">
        <is>
          <t>Custom B/G - Projected Scripts - w/ Exclusions - Retail 90 - Generic - Year 2</t>
        </is>
      </c>
      <c r="B574" s="2" t="n"/>
      <c r="C574" s="33">
        <f>IF(Combine="Y", $G574, 0)</f>
        <v/>
      </c>
      <c r="D574" s="2" t="n"/>
      <c r="E574" s="4" t="n"/>
      <c r="F574" s="2" t="n"/>
      <c r="G574" s="33">
        <f>SUM($K574:$M574)</f>
        <v/>
      </c>
      <c r="H574" s="2" t="n"/>
      <c r="I574" s="4" t="n"/>
      <c r="J574" s="2" t="n"/>
      <c r="K574" s="34">
        <f>IF('RPT1'!$J574="","",'RPT1'!$J574)</f>
        <v/>
      </c>
      <c r="L574" s="34">
        <f>IF('RPT2'!$J574="","",'RPT2'!$J574)</f>
        <v/>
      </c>
      <c r="M574" s="34">
        <f>IF('RPT3'!$J574="","",'RPT3'!$J574)</f>
        <v/>
      </c>
    </row>
    <row r="575">
      <c r="A575" s="16" t="inlineStr">
        <is>
          <t>Custom B/G - Projected Scripts - w/ Exclusions - Retail 90 - Generic - Year 3</t>
        </is>
      </c>
      <c r="B575" s="2" t="n"/>
      <c r="C575" s="33">
        <f>IF(Combine="Y", $G575, 0)</f>
        <v/>
      </c>
      <c r="D575" s="2" t="n"/>
      <c r="E575" s="4" t="n"/>
      <c r="F575" s="2" t="n"/>
      <c r="G575" s="33">
        <f>SUM($K575:$M575)</f>
        <v/>
      </c>
      <c r="H575" s="2" t="n"/>
      <c r="I575" s="4" t="n"/>
      <c r="J575" s="2" t="n"/>
      <c r="K575" s="34">
        <f>IF('RPT1'!$J575="","",'RPT1'!$J575)</f>
        <v/>
      </c>
      <c r="L575" s="34">
        <f>IF('RPT2'!$J575="","",'RPT2'!$J575)</f>
        <v/>
      </c>
      <c r="M575" s="34">
        <f>IF('RPT3'!$J575="","",'RPT3'!$J575)</f>
        <v/>
      </c>
    </row>
    <row r="576">
      <c r="A576" s="16" t="inlineStr">
        <is>
          <t>Custom B/G - Projected Scripts - w/ Exclusions - Retail 90 - Generic - Year 4</t>
        </is>
      </c>
      <c r="B576" s="2" t="n"/>
      <c r="C576" s="33">
        <f>IF(Combine="Y", $G576, 0)</f>
        <v/>
      </c>
      <c r="D576" s="2" t="n"/>
      <c r="E576" s="4" t="n"/>
      <c r="F576" s="2" t="n"/>
      <c r="G576" s="33">
        <f>SUM($K576:$M576)</f>
        <v/>
      </c>
      <c r="H576" s="2" t="n"/>
      <c r="I576" s="4" t="n"/>
      <c r="J576" s="2" t="n"/>
      <c r="K576" s="34">
        <f>IF('RPT1'!$J576="","",'RPT1'!$J576)</f>
        <v/>
      </c>
      <c r="L576" s="34">
        <f>IF('RPT2'!$J576="","",'RPT2'!$J576)</f>
        <v/>
      </c>
      <c r="M576" s="34">
        <f>IF('RPT3'!$J576="","",'RPT3'!$J576)</f>
        <v/>
      </c>
    </row>
    <row r="577">
      <c r="A577" s="16" t="inlineStr">
        <is>
          <t>Custom B/G - Projected Scripts - w/ Exclusions - Retail 90 - Generic - Year 5</t>
        </is>
      </c>
      <c r="B577" s="2" t="n"/>
      <c r="C577" s="33">
        <f>IF(Combine="Y", $G577, 0)</f>
        <v/>
      </c>
      <c r="D577" s="2" t="n"/>
      <c r="E577" s="4" t="n"/>
      <c r="F577" s="2" t="n"/>
      <c r="G577" s="33">
        <f>SUM($K577:$M577)</f>
        <v/>
      </c>
      <c r="H577" s="2" t="n"/>
      <c r="I577" s="4" t="n"/>
      <c r="J577" s="2" t="n"/>
      <c r="K577" s="34">
        <f>IF('RPT1'!$J577="","",'RPT1'!$J577)</f>
        <v/>
      </c>
      <c r="L577" s="34">
        <f>IF('RPT2'!$J577="","",'RPT2'!$J577)</f>
        <v/>
      </c>
      <c r="M577" s="34">
        <f>IF('RPT3'!$J577="","",'RPT3'!$J577)</f>
        <v/>
      </c>
    </row>
    <row r="578">
      <c r="A578" s="16" t="inlineStr">
        <is>
          <t>Custom B/G - Projected Scripts - w/ Exclusions - Specialty - Brand - Year 1</t>
        </is>
      </c>
      <c r="B578" s="2" t="n"/>
      <c r="C578" s="33">
        <f>IF(Combine="Y", $G578, 0)</f>
        <v/>
      </c>
      <c r="D578" s="2" t="n"/>
      <c r="E578" s="4" t="n"/>
      <c r="F578" s="2" t="n"/>
      <c r="G578" s="33">
        <f>SUM($K578:$M578)</f>
        <v/>
      </c>
      <c r="H578" s="2" t="n"/>
      <c r="I578" s="4" t="n"/>
      <c r="J578" s="2" t="n"/>
      <c r="K578" s="34">
        <f>IF('RPT1'!$J578="","",'RPT1'!$J578)</f>
        <v/>
      </c>
      <c r="L578" s="34">
        <f>IF('RPT2'!$J578="","",'RPT2'!$J578)</f>
        <v/>
      </c>
      <c r="M578" s="34">
        <f>IF('RPT3'!$J578="","",'RPT3'!$J578)</f>
        <v/>
      </c>
    </row>
    <row r="579">
      <c r="A579" s="16" t="inlineStr">
        <is>
          <t>Custom B/G - Projected Scripts - w/ Exclusions - Specialty - Brand - Year 2</t>
        </is>
      </c>
      <c r="B579" s="2" t="n"/>
      <c r="C579" s="33">
        <f>IF(Combine="Y", $G579, 0)</f>
        <v/>
      </c>
      <c r="D579" s="2" t="n"/>
      <c r="E579" s="4" t="n"/>
      <c r="F579" s="2" t="n"/>
      <c r="G579" s="33">
        <f>SUM($K579:$M579)</f>
        <v/>
      </c>
      <c r="H579" s="2" t="n"/>
      <c r="I579" s="4" t="n"/>
      <c r="J579" s="2" t="n"/>
      <c r="K579" s="34">
        <f>IF('RPT1'!$J579="","",'RPT1'!$J579)</f>
        <v/>
      </c>
      <c r="L579" s="34">
        <f>IF('RPT2'!$J579="","",'RPT2'!$J579)</f>
        <v/>
      </c>
      <c r="M579" s="34">
        <f>IF('RPT3'!$J579="","",'RPT3'!$J579)</f>
        <v/>
      </c>
    </row>
    <row r="580">
      <c r="A580" s="16" t="inlineStr">
        <is>
          <t>Custom B/G - Projected Scripts - w/ Exclusions - Specialty - Brand - Year 3</t>
        </is>
      </c>
      <c r="B580" s="2" t="n"/>
      <c r="C580" s="33">
        <f>IF(Combine="Y", $G580, 0)</f>
        <v/>
      </c>
      <c r="D580" s="2" t="n"/>
      <c r="E580" s="4" t="n"/>
      <c r="F580" s="2" t="n"/>
      <c r="G580" s="33">
        <f>SUM($K580:$M580)</f>
        <v/>
      </c>
      <c r="H580" s="2" t="n"/>
      <c r="I580" s="4" t="n"/>
      <c r="J580" s="2" t="n"/>
      <c r="K580" s="34">
        <f>IF('RPT1'!$J580="","",'RPT1'!$J580)</f>
        <v/>
      </c>
      <c r="L580" s="34">
        <f>IF('RPT2'!$J580="","",'RPT2'!$J580)</f>
        <v/>
      </c>
      <c r="M580" s="34">
        <f>IF('RPT3'!$J580="","",'RPT3'!$J580)</f>
        <v/>
      </c>
    </row>
    <row r="581">
      <c r="A581" s="16" t="inlineStr">
        <is>
          <t>Custom B/G - Projected Scripts - w/ Exclusions - Specialty - Brand - Year 4</t>
        </is>
      </c>
      <c r="B581" s="2" t="n"/>
      <c r="C581" s="33">
        <f>IF(Combine="Y", $G581, 0)</f>
        <v/>
      </c>
      <c r="D581" s="2" t="n"/>
      <c r="E581" s="4" t="n"/>
      <c r="F581" s="2" t="n"/>
      <c r="G581" s="33">
        <f>SUM($K581:$M581)</f>
        <v/>
      </c>
      <c r="H581" s="2" t="n"/>
      <c r="I581" s="4" t="n"/>
      <c r="J581" s="2" t="n"/>
      <c r="K581" s="34">
        <f>IF('RPT1'!$J581="","",'RPT1'!$J581)</f>
        <v/>
      </c>
      <c r="L581" s="34">
        <f>IF('RPT2'!$J581="","",'RPT2'!$J581)</f>
        <v/>
      </c>
      <c r="M581" s="34">
        <f>IF('RPT3'!$J581="","",'RPT3'!$J581)</f>
        <v/>
      </c>
    </row>
    <row r="582">
      <c r="A582" s="16" t="inlineStr">
        <is>
          <t>Custom B/G - Projected Scripts - w/ Exclusions - Specialty - Brand - Year 5</t>
        </is>
      </c>
      <c r="B582" s="2" t="n"/>
      <c r="C582" s="33">
        <f>IF(Combine="Y", $G582, 0)</f>
        <v/>
      </c>
      <c r="D582" s="2" t="n"/>
      <c r="E582" s="4" t="n"/>
      <c r="F582" s="2" t="n"/>
      <c r="G582" s="33">
        <f>SUM($K582:$M582)</f>
        <v/>
      </c>
      <c r="H582" s="2" t="n"/>
      <c r="I582" s="4" t="n"/>
      <c r="J582" s="2" t="n"/>
      <c r="K582" s="34">
        <f>IF('RPT1'!$J582="","",'RPT1'!$J582)</f>
        <v/>
      </c>
      <c r="L582" s="34">
        <f>IF('RPT2'!$J582="","",'RPT2'!$J582)</f>
        <v/>
      </c>
      <c r="M582" s="34">
        <f>IF('RPT3'!$J582="","",'RPT3'!$J582)</f>
        <v/>
      </c>
    </row>
    <row r="583">
      <c r="A583" s="16" t="inlineStr">
        <is>
          <t>Custom B/G - Projected Scripts - w/ Exclusions - Specialty - Generic - Year 1</t>
        </is>
      </c>
      <c r="B583" s="2" t="n"/>
      <c r="C583" s="33">
        <f>IF(Combine="Y", $G583, 0)</f>
        <v/>
      </c>
      <c r="D583" s="2" t="n"/>
      <c r="E583" s="4" t="n"/>
      <c r="F583" s="2" t="n"/>
      <c r="G583" s="33">
        <f>SUM($K583:$M583)</f>
        <v/>
      </c>
      <c r="H583" s="2" t="n"/>
      <c r="I583" s="4" t="n"/>
      <c r="J583" s="2" t="n"/>
      <c r="K583" s="34">
        <f>IF('RPT1'!$J583="","",'RPT1'!$J583)</f>
        <v/>
      </c>
      <c r="L583" s="34">
        <f>IF('RPT2'!$J583="","",'RPT2'!$J583)</f>
        <v/>
      </c>
      <c r="M583" s="34">
        <f>IF('RPT3'!$J583="","",'RPT3'!$J583)</f>
        <v/>
      </c>
    </row>
    <row r="584">
      <c r="A584" s="16" t="inlineStr">
        <is>
          <t>Custom B/G - Projected Scripts - w/ Exclusions - Specialty - Generic - Year 2</t>
        </is>
      </c>
      <c r="B584" s="2" t="n"/>
      <c r="C584" s="33">
        <f>IF(Combine="Y", $G584, 0)</f>
        <v/>
      </c>
      <c r="D584" s="2" t="n"/>
      <c r="E584" s="4" t="n"/>
      <c r="F584" s="2" t="n"/>
      <c r="G584" s="33">
        <f>SUM($K584:$M584)</f>
        <v/>
      </c>
      <c r="H584" s="2" t="n"/>
      <c r="I584" s="4" t="n"/>
      <c r="J584" s="2" t="n"/>
      <c r="K584" s="34">
        <f>IF('RPT1'!$J584="","",'RPT1'!$J584)</f>
        <v/>
      </c>
      <c r="L584" s="34">
        <f>IF('RPT2'!$J584="","",'RPT2'!$J584)</f>
        <v/>
      </c>
      <c r="M584" s="34">
        <f>IF('RPT3'!$J584="","",'RPT3'!$J584)</f>
        <v/>
      </c>
    </row>
    <row r="585">
      <c r="A585" s="16" t="inlineStr">
        <is>
          <t>Custom B/G - Projected Scripts - w/ Exclusions - Specialty - Generic - Year 3</t>
        </is>
      </c>
      <c r="B585" s="2" t="n"/>
      <c r="C585" s="33">
        <f>IF(Combine="Y", $G585, 0)</f>
        <v/>
      </c>
      <c r="D585" s="2" t="n"/>
      <c r="E585" s="4" t="n"/>
      <c r="F585" s="2" t="n"/>
      <c r="G585" s="33">
        <f>SUM($K585:$M585)</f>
        <v/>
      </c>
      <c r="H585" s="2" t="n"/>
      <c r="I585" s="4" t="n"/>
      <c r="J585" s="2" t="n"/>
      <c r="K585" s="34">
        <f>IF('RPT1'!$J585="","",'RPT1'!$J585)</f>
        <v/>
      </c>
      <c r="L585" s="34">
        <f>IF('RPT2'!$J585="","",'RPT2'!$J585)</f>
        <v/>
      </c>
      <c r="M585" s="34">
        <f>IF('RPT3'!$J585="","",'RPT3'!$J585)</f>
        <v/>
      </c>
    </row>
    <row r="586">
      <c r="A586" s="16" t="inlineStr">
        <is>
          <t>Custom B/G - Projected Scripts - w/ Exclusions - Specialty - Generic - Year 4</t>
        </is>
      </c>
      <c r="B586" s="2" t="n"/>
      <c r="C586" s="33">
        <f>IF(Combine="Y", $G586, 0)</f>
        <v/>
      </c>
      <c r="D586" s="2" t="n"/>
      <c r="E586" s="4" t="n"/>
      <c r="F586" s="2" t="n"/>
      <c r="G586" s="33">
        <f>SUM($K586:$M586)</f>
        <v/>
      </c>
      <c r="H586" s="2" t="n"/>
      <c r="I586" s="4" t="n"/>
      <c r="J586" s="2" t="n"/>
      <c r="K586" s="34">
        <f>IF('RPT1'!$J586="","",'RPT1'!$J586)</f>
        <v/>
      </c>
      <c r="L586" s="34">
        <f>IF('RPT2'!$J586="","",'RPT2'!$J586)</f>
        <v/>
      </c>
      <c r="M586" s="34">
        <f>IF('RPT3'!$J586="","",'RPT3'!$J586)</f>
        <v/>
      </c>
    </row>
    <row r="587">
      <c r="A587" s="16" t="inlineStr">
        <is>
          <t>Custom B/G - Projected Scripts - w/ Exclusions - Specialty - Generic - Year 5</t>
        </is>
      </c>
      <c r="B587" s="2" t="n"/>
      <c r="C587" s="33">
        <f>IF(Combine="Y", $G587, 0)</f>
        <v/>
      </c>
      <c r="D587" s="2" t="n"/>
      <c r="E587" s="4" t="n"/>
      <c r="F587" s="2" t="n"/>
      <c r="G587" s="33">
        <f>SUM($K587:$M587)</f>
        <v/>
      </c>
      <c r="H587" s="2" t="n"/>
      <c r="I587" s="4" t="n"/>
      <c r="J587" s="2" t="n"/>
      <c r="K587" s="34">
        <f>IF('RPT1'!$J587="","",'RPT1'!$J587)</f>
        <v/>
      </c>
      <c r="L587" s="34">
        <f>IF('RPT2'!$J587="","",'RPT2'!$J587)</f>
        <v/>
      </c>
      <c r="M587" s="34">
        <f>IF('RPT3'!$J587="","",'RPT3'!$J587)</f>
        <v/>
      </c>
    </row>
    <row r="588">
      <c r="A588" s="31" t="n"/>
      <c r="B588" s="2" t="n"/>
      <c r="C588" s="14" t="n"/>
      <c r="D588" s="2" t="n"/>
      <c r="E588" s="4" t="n"/>
      <c r="F588" s="2" t="n"/>
      <c r="G588" s="14" t="n"/>
      <c r="H588" s="2" t="n"/>
      <c r="I588" s="4" t="n"/>
      <c r="J588" s="2" t="n"/>
      <c r="K588" s="32" t="n"/>
      <c r="L588" s="32" t="n"/>
      <c r="M588" s="32" t="n"/>
    </row>
    <row r="589">
      <c r="A589" s="12" t="inlineStr">
        <is>
          <t>Custom B/G - Projected AWP / Rx - w/o Exclusions</t>
        </is>
      </c>
      <c r="B589" s="2" t="n"/>
      <c r="C589" s="14" t="n"/>
      <c r="D589" s="2" t="n"/>
      <c r="E589" s="4" t="n"/>
      <c r="F589" s="2" t="n"/>
      <c r="G589" s="14" t="n"/>
      <c r="H589" s="2" t="n"/>
      <c r="I589" s="4" t="n"/>
      <c r="J589" s="2" t="n"/>
      <c r="K589" s="32">
        <f>IF('RPT1'!$J589="","",'RPT1'!$J589)</f>
        <v/>
      </c>
      <c r="L589" s="32">
        <f>IF('RPT2'!$J589="","",'RPT2'!$J589)</f>
        <v/>
      </c>
      <c r="M589" s="32">
        <f>IF('RPT3'!$J589="","",'RPT3'!$J589)</f>
        <v/>
      </c>
    </row>
    <row r="590">
      <c r="A590" s="16" t="inlineStr">
        <is>
          <t>Custom B/G - Projected AWP / Rx - w/o Exclusions - Mail - Brand - Year 1</t>
        </is>
      </c>
      <c r="B590" s="2" t="n"/>
      <c r="C590" s="43">
        <f>IF(Combine="Y", $G590, 0)</f>
        <v/>
      </c>
      <c r="D590" s="2" t="n"/>
      <c r="E590" s="4" t="n"/>
      <c r="F590" s="2" t="n"/>
      <c r="G590" s="43">
        <f>IF(G506=0,0,SUMPRODUCT($K506:$M506,$K590:$M590)/G506)</f>
        <v/>
      </c>
      <c r="H590" s="2" t="n"/>
      <c r="I590" s="4" t="n"/>
      <c r="J590" s="2" t="n"/>
      <c r="K590" s="44">
        <f>IF('RPT1'!$J590="","",'RPT1'!$J590)</f>
        <v/>
      </c>
      <c r="L590" s="44">
        <f>IF('RPT2'!$J590="","",'RPT2'!$J590)</f>
        <v/>
      </c>
      <c r="M590" s="44">
        <f>IF('RPT3'!$J590="","",'RPT3'!$J590)</f>
        <v/>
      </c>
    </row>
    <row r="591">
      <c r="A591" s="16" t="inlineStr">
        <is>
          <t>Custom B/G - Projected AWP / Rx - w/o Exclusions - Mail - Brand - Year 2</t>
        </is>
      </c>
      <c r="B591" s="2" t="n"/>
      <c r="C591" s="43">
        <f>IF(Combine="Y", $G591, 0)</f>
        <v/>
      </c>
      <c r="D591" s="2" t="n"/>
      <c r="E591" s="4" t="n"/>
      <c r="F591" s="2" t="n"/>
      <c r="G591" s="43">
        <f>IF(G507=0,0,SUMPRODUCT($K507:$M507,$K591:$M591)/G507)</f>
        <v/>
      </c>
      <c r="H591" s="2" t="n"/>
      <c r="I591" s="4" t="n"/>
      <c r="J591" s="2" t="n"/>
      <c r="K591" s="44">
        <f>IF('RPT1'!$J591="","",'RPT1'!$J591)</f>
        <v/>
      </c>
      <c r="L591" s="44">
        <f>IF('RPT2'!$J591="","",'RPT2'!$J591)</f>
        <v/>
      </c>
      <c r="M591" s="44">
        <f>IF('RPT3'!$J591="","",'RPT3'!$J591)</f>
        <v/>
      </c>
    </row>
    <row r="592">
      <c r="A592" s="16" t="inlineStr">
        <is>
          <t>Custom B/G - Projected AWP / Rx - w/o Exclusions - Mail - Brand - Year 3</t>
        </is>
      </c>
      <c r="B592" s="2" t="n"/>
      <c r="C592" s="43">
        <f>IF(Combine="Y", $G592, 0)</f>
        <v/>
      </c>
      <c r="D592" s="2" t="n"/>
      <c r="E592" s="4" t="n"/>
      <c r="F592" s="2" t="n"/>
      <c r="G592" s="43">
        <f>IF(G508=0,0,SUMPRODUCT($K508:$M508,$K592:$M592)/G508)</f>
        <v/>
      </c>
      <c r="H592" s="2" t="n"/>
      <c r="I592" s="4" t="n"/>
      <c r="J592" s="2" t="n"/>
      <c r="K592" s="44">
        <f>IF('RPT1'!$J592="","",'RPT1'!$J592)</f>
        <v/>
      </c>
      <c r="L592" s="44">
        <f>IF('RPT2'!$J592="","",'RPT2'!$J592)</f>
        <v/>
      </c>
      <c r="M592" s="44">
        <f>IF('RPT3'!$J592="","",'RPT3'!$J592)</f>
        <v/>
      </c>
    </row>
    <row r="593">
      <c r="A593" s="16" t="inlineStr">
        <is>
          <t>Custom B/G - Projected AWP / Rx - w/o Exclusions - Mail - Brand - Year 4</t>
        </is>
      </c>
      <c r="B593" s="2" t="n"/>
      <c r="C593" s="43">
        <f>IF(Combine="Y", $G593, 0)</f>
        <v/>
      </c>
      <c r="D593" s="2" t="n"/>
      <c r="E593" s="4" t="n"/>
      <c r="F593" s="2" t="n"/>
      <c r="G593" s="43">
        <f>IF(G509=0,0,SUMPRODUCT($K509:$M509,$K593:$M593)/G509)</f>
        <v/>
      </c>
      <c r="H593" s="2" t="n"/>
      <c r="I593" s="4" t="n"/>
      <c r="J593" s="2" t="n"/>
      <c r="K593" s="44">
        <f>IF('RPT1'!$J593="","",'RPT1'!$J593)</f>
        <v/>
      </c>
      <c r="L593" s="44">
        <f>IF('RPT2'!$J593="","",'RPT2'!$J593)</f>
        <v/>
      </c>
      <c r="M593" s="44">
        <f>IF('RPT3'!$J593="","",'RPT3'!$J593)</f>
        <v/>
      </c>
    </row>
    <row r="594">
      <c r="A594" s="16" t="inlineStr">
        <is>
          <t>Custom B/G - Projected AWP / Rx - w/o Exclusions - Mail - Brand - Year 5</t>
        </is>
      </c>
      <c r="B594" s="2" t="n"/>
      <c r="C594" s="43">
        <f>IF(Combine="Y", $G594, 0)</f>
        <v/>
      </c>
      <c r="D594" s="2" t="n"/>
      <c r="E594" s="4" t="n"/>
      <c r="F594" s="2" t="n"/>
      <c r="G594" s="43">
        <f>IF(G510=0,0,SUMPRODUCT($K510:$M510,$K594:$M594)/G510)</f>
        <v/>
      </c>
      <c r="H594" s="2" t="n"/>
      <c r="I594" s="4" t="n"/>
      <c r="J594" s="2" t="n"/>
      <c r="K594" s="44">
        <f>IF('RPT1'!$J594="","",'RPT1'!$J594)</f>
        <v/>
      </c>
      <c r="L594" s="44">
        <f>IF('RPT2'!$J594="","",'RPT2'!$J594)</f>
        <v/>
      </c>
      <c r="M594" s="44">
        <f>IF('RPT3'!$J594="","",'RPT3'!$J594)</f>
        <v/>
      </c>
    </row>
    <row r="595">
      <c r="A595" s="16" t="inlineStr">
        <is>
          <t>Custom B/G - Projected AWP / Rx - w/o Exclusions - Mail - Generic - Year 1</t>
        </is>
      </c>
      <c r="B595" s="2" t="n"/>
      <c r="C595" s="43">
        <f>IF(Combine="Y", $G595, 0)</f>
        <v/>
      </c>
      <c r="D595" s="2" t="n"/>
      <c r="E595" s="4" t="n"/>
      <c r="F595" s="2" t="n"/>
      <c r="G595" s="43">
        <f>IF(G511=0,0,SUMPRODUCT($K511:$M511,$K595:$M595)/G511)</f>
        <v/>
      </c>
      <c r="H595" s="2" t="n"/>
      <c r="I595" s="4" t="n"/>
      <c r="J595" s="2" t="n"/>
      <c r="K595" s="44">
        <f>IF('RPT1'!$J595="","",'RPT1'!$J595)</f>
        <v/>
      </c>
      <c r="L595" s="44">
        <f>IF('RPT2'!$J595="","",'RPT2'!$J595)</f>
        <v/>
      </c>
      <c r="M595" s="44">
        <f>IF('RPT3'!$J595="","",'RPT3'!$J595)</f>
        <v/>
      </c>
    </row>
    <row r="596">
      <c r="A596" s="16" t="inlineStr">
        <is>
          <t>Custom B/G - Projected AWP / Rx - w/o Exclusions - Mail - Generic - Year 2</t>
        </is>
      </c>
      <c r="B596" s="2" t="n"/>
      <c r="C596" s="43">
        <f>IF(Combine="Y", $G596, 0)</f>
        <v/>
      </c>
      <c r="D596" s="2" t="n"/>
      <c r="E596" s="4" t="n"/>
      <c r="F596" s="2" t="n"/>
      <c r="G596" s="43">
        <f>IF(G512=0,0,SUMPRODUCT($K512:$M512,$K596:$M596)/G512)</f>
        <v/>
      </c>
      <c r="H596" s="2" t="n"/>
      <c r="I596" s="4" t="n"/>
      <c r="J596" s="2" t="n"/>
      <c r="K596" s="44">
        <f>IF('RPT1'!$J596="","",'RPT1'!$J596)</f>
        <v/>
      </c>
      <c r="L596" s="44">
        <f>IF('RPT2'!$J596="","",'RPT2'!$J596)</f>
        <v/>
      </c>
      <c r="M596" s="44">
        <f>IF('RPT3'!$J596="","",'RPT3'!$J596)</f>
        <v/>
      </c>
    </row>
    <row r="597">
      <c r="A597" s="16" t="inlineStr">
        <is>
          <t>Custom B/G - Projected AWP / Rx - w/o Exclusions - Mail - Generic - Year 3</t>
        </is>
      </c>
      <c r="B597" s="2" t="n"/>
      <c r="C597" s="43">
        <f>IF(Combine="Y", $G597, 0)</f>
        <v/>
      </c>
      <c r="D597" s="2" t="n"/>
      <c r="E597" s="4" t="n"/>
      <c r="F597" s="2" t="n"/>
      <c r="G597" s="43">
        <f>IF(G513=0,0,SUMPRODUCT($K513:$M513,$K597:$M597)/G513)</f>
        <v/>
      </c>
      <c r="H597" s="2" t="n"/>
      <c r="I597" s="4" t="n"/>
      <c r="J597" s="2" t="n"/>
      <c r="K597" s="44">
        <f>IF('RPT1'!$J597="","",'RPT1'!$J597)</f>
        <v/>
      </c>
      <c r="L597" s="44">
        <f>IF('RPT2'!$J597="","",'RPT2'!$J597)</f>
        <v/>
      </c>
      <c r="M597" s="44">
        <f>IF('RPT3'!$J597="","",'RPT3'!$J597)</f>
        <v/>
      </c>
    </row>
    <row r="598">
      <c r="A598" s="16" t="inlineStr">
        <is>
          <t>Custom B/G - Projected AWP / Rx - w/o Exclusions - Mail - Generic - Year 4</t>
        </is>
      </c>
      <c r="B598" s="2" t="n"/>
      <c r="C598" s="43">
        <f>IF(Combine="Y", $G598, 0)</f>
        <v/>
      </c>
      <c r="D598" s="2" t="n"/>
      <c r="E598" s="4" t="n"/>
      <c r="F598" s="2" t="n"/>
      <c r="G598" s="43">
        <f>IF(G514=0,0,SUMPRODUCT($K514:$M514,$K598:$M598)/G514)</f>
        <v/>
      </c>
      <c r="H598" s="2" t="n"/>
      <c r="I598" s="4" t="n"/>
      <c r="J598" s="2" t="n"/>
      <c r="K598" s="44">
        <f>IF('RPT1'!$J598="","",'RPT1'!$J598)</f>
        <v/>
      </c>
      <c r="L598" s="44">
        <f>IF('RPT2'!$J598="","",'RPT2'!$J598)</f>
        <v/>
      </c>
      <c r="M598" s="44">
        <f>IF('RPT3'!$J598="","",'RPT3'!$J598)</f>
        <v/>
      </c>
    </row>
    <row r="599">
      <c r="A599" s="16" t="inlineStr">
        <is>
          <t>Custom B/G - Projected AWP / Rx - w/o Exclusions - Mail - Generic - Year 5</t>
        </is>
      </c>
      <c r="B599" s="2" t="n"/>
      <c r="C599" s="43">
        <f>IF(Combine="Y", $G599, 0)</f>
        <v/>
      </c>
      <c r="D599" s="2" t="n"/>
      <c r="E599" s="4" t="n"/>
      <c r="F599" s="2" t="n"/>
      <c r="G599" s="43">
        <f>IF(G515=0,0,SUMPRODUCT($K515:$M515,$K599:$M599)/G515)</f>
        <v/>
      </c>
      <c r="H599" s="2" t="n"/>
      <c r="I599" s="4" t="n"/>
      <c r="J599" s="2" t="n"/>
      <c r="K599" s="44">
        <f>IF('RPT1'!$J599="","",'RPT1'!$J599)</f>
        <v/>
      </c>
      <c r="L599" s="44">
        <f>IF('RPT2'!$J599="","",'RPT2'!$J599)</f>
        <v/>
      </c>
      <c r="M599" s="44">
        <f>IF('RPT3'!$J599="","",'RPT3'!$J599)</f>
        <v/>
      </c>
    </row>
    <row r="600">
      <c r="A600" s="16" t="inlineStr">
        <is>
          <t>Custom B/G - Projected AWP / Rx - w/o Exclusions - Retail 30 - Brand - Year 1</t>
        </is>
      </c>
      <c r="B600" s="2" t="n"/>
      <c r="C600" s="43">
        <f>IF(Combine="Y", $G600, 0)</f>
        <v/>
      </c>
      <c r="D600" s="2" t="n"/>
      <c r="E600" s="4" t="n"/>
      <c r="F600" s="2" t="n"/>
      <c r="G600" s="43">
        <f>IF(G516=0,0,SUMPRODUCT($K516:$M516,$K600:$M600)/G516)</f>
        <v/>
      </c>
      <c r="H600" s="2" t="n"/>
      <c r="I600" s="4" t="n"/>
      <c r="J600" s="2" t="n"/>
      <c r="K600" s="44">
        <f>IF('RPT1'!$J600="","",'RPT1'!$J600)</f>
        <v/>
      </c>
      <c r="L600" s="44">
        <f>IF('RPT2'!$J600="","",'RPT2'!$J600)</f>
        <v/>
      </c>
      <c r="M600" s="44">
        <f>IF('RPT3'!$J600="","",'RPT3'!$J600)</f>
        <v/>
      </c>
    </row>
    <row r="601">
      <c r="A601" s="16" t="inlineStr">
        <is>
          <t>Custom B/G - Projected AWP / Rx - w/o Exclusions - Retail 30 - Brand - Year 2</t>
        </is>
      </c>
      <c r="B601" s="2" t="n"/>
      <c r="C601" s="43">
        <f>IF(Combine="Y", $G601, 0)</f>
        <v/>
      </c>
      <c r="D601" s="2" t="n"/>
      <c r="E601" s="4" t="n"/>
      <c r="F601" s="2" t="n"/>
      <c r="G601" s="43">
        <f>IF(G517=0,0,SUMPRODUCT($K517:$M517,$K601:$M601)/G517)</f>
        <v/>
      </c>
      <c r="H601" s="2" t="n"/>
      <c r="I601" s="4" t="n"/>
      <c r="J601" s="2" t="n"/>
      <c r="K601" s="44">
        <f>IF('RPT1'!$J601="","",'RPT1'!$J601)</f>
        <v/>
      </c>
      <c r="L601" s="44">
        <f>IF('RPT2'!$J601="","",'RPT2'!$J601)</f>
        <v/>
      </c>
      <c r="M601" s="44">
        <f>IF('RPT3'!$J601="","",'RPT3'!$J601)</f>
        <v/>
      </c>
    </row>
    <row r="602">
      <c r="A602" s="16" t="inlineStr">
        <is>
          <t>Custom B/G - Projected AWP / Rx - w/o Exclusions - Retail 30 - Brand - Year 3</t>
        </is>
      </c>
      <c r="B602" s="2" t="n"/>
      <c r="C602" s="43">
        <f>IF(Combine="Y", $G602, 0)</f>
        <v/>
      </c>
      <c r="D602" s="2" t="n"/>
      <c r="E602" s="4" t="n"/>
      <c r="F602" s="2" t="n"/>
      <c r="G602" s="43">
        <f>IF(G518=0,0,SUMPRODUCT($K518:$M518,$K602:$M602)/G518)</f>
        <v/>
      </c>
      <c r="H602" s="2" t="n"/>
      <c r="I602" s="4" t="n"/>
      <c r="J602" s="2" t="n"/>
      <c r="K602" s="44">
        <f>IF('RPT1'!$J602="","",'RPT1'!$J602)</f>
        <v/>
      </c>
      <c r="L602" s="44">
        <f>IF('RPT2'!$J602="","",'RPT2'!$J602)</f>
        <v/>
      </c>
      <c r="M602" s="44">
        <f>IF('RPT3'!$J602="","",'RPT3'!$J602)</f>
        <v/>
      </c>
    </row>
    <row r="603">
      <c r="A603" s="16" t="inlineStr">
        <is>
          <t>Custom B/G - Projected AWP / Rx - w/o Exclusions - Retail 30 - Brand - Year 4</t>
        </is>
      </c>
      <c r="B603" s="2" t="n"/>
      <c r="C603" s="43">
        <f>IF(Combine="Y", $G603, 0)</f>
        <v/>
      </c>
      <c r="D603" s="2" t="n"/>
      <c r="E603" s="4" t="n"/>
      <c r="F603" s="2" t="n"/>
      <c r="G603" s="43">
        <f>IF(G519=0,0,SUMPRODUCT($K519:$M519,$K603:$M603)/G519)</f>
        <v/>
      </c>
      <c r="H603" s="2" t="n"/>
      <c r="I603" s="4" t="n"/>
      <c r="J603" s="2" t="n"/>
      <c r="K603" s="44">
        <f>IF('RPT1'!$J603="","",'RPT1'!$J603)</f>
        <v/>
      </c>
      <c r="L603" s="44">
        <f>IF('RPT2'!$J603="","",'RPT2'!$J603)</f>
        <v/>
      </c>
      <c r="M603" s="44">
        <f>IF('RPT3'!$J603="","",'RPT3'!$J603)</f>
        <v/>
      </c>
    </row>
    <row r="604">
      <c r="A604" s="16" t="inlineStr">
        <is>
          <t>Custom B/G - Projected AWP / Rx - w/o Exclusions - Retail 30 - Brand - Year 5</t>
        </is>
      </c>
      <c r="B604" s="2" t="n"/>
      <c r="C604" s="43">
        <f>IF(Combine="Y", $G604, 0)</f>
        <v/>
      </c>
      <c r="D604" s="2" t="n"/>
      <c r="E604" s="4" t="n"/>
      <c r="F604" s="2" t="n"/>
      <c r="G604" s="43">
        <f>IF(G520=0,0,SUMPRODUCT($K520:$M520,$K604:$M604)/G520)</f>
        <v/>
      </c>
      <c r="H604" s="2" t="n"/>
      <c r="I604" s="4" t="n"/>
      <c r="J604" s="2" t="n"/>
      <c r="K604" s="44">
        <f>IF('RPT1'!$J604="","",'RPT1'!$J604)</f>
        <v/>
      </c>
      <c r="L604" s="44">
        <f>IF('RPT2'!$J604="","",'RPT2'!$J604)</f>
        <v/>
      </c>
      <c r="M604" s="44">
        <f>IF('RPT3'!$J604="","",'RPT3'!$J604)</f>
        <v/>
      </c>
    </row>
    <row r="605">
      <c r="A605" s="16" t="inlineStr">
        <is>
          <t>Custom B/G - Projected AWP / Rx - w/o Exclusions - Retail 30 - Generic - Year 1</t>
        </is>
      </c>
      <c r="B605" s="2" t="n"/>
      <c r="C605" s="43">
        <f>IF(Combine="Y", $G605, 0)</f>
        <v/>
      </c>
      <c r="D605" s="2" t="n"/>
      <c r="E605" s="4" t="n"/>
      <c r="F605" s="2" t="n"/>
      <c r="G605" s="43">
        <f>IF(G521=0,0,SUMPRODUCT($K521:$M521,$K605:$M605)/G521)</f>
        <v/>
      </c>
      <c r="H605" s="2" t="n"/>
      <c r="I605" s="4" t="n"/>
      <c r="J605" s="2" t="n"/>
      <c r="K605" s="44">
        <f>IF('RPT1'!$J605="","",'RPT1'!$J605)</f>
        <v/>
      </c>
      <c r="L605" s="44">
        <f>IF('RPT2'!$J605="","",'RPT2'!$J605)</f>
        <v/>
      </c>
      <c r="M605" s="44">
        <f>IF('RPT3'!$J605="","",'RPT3'!$J605)</f>
        <v/>
      </c>
    </row>
    <row r="606">
      <c r="A606" s="16" t="inlineStr">
        <is>
          <t>Custom B/G - Projected AWP / Rx - w/o Exclusions - Retail 30 - Generic - Year 2</t>
        </is>
      </c>
      <c r="B606" s="2" t="n"/>
      <c r="C606" s="43">
        <f>IF(Combine="Y", $G606, 0)</f>
        <v/>
      </c>
      <c r="D606" s="2" t="n"/>
      <c r="E606" s="4" t="n"/>
      <c r="F606" s="2" t="n"/>
      <c r="G606" s="43">
        <f>IF(G522=0,0,SUMPRODUCT($K522:$M522,$K606:$M606)/G522)</f>
        <v/>
      </c>
      <c r="H606" s="2" t="n"/>
      <c r="I606" s="4" t="n"/>
      <c r="J606" s="2" t="n"/>
      <c r="K606" s="44">
        <f>IF('RPT1'!$J606="","",'RPT1'!$J606)</f>
        <v/>
      </c>
      <c r="L606" s="44">
        <f>IF('RPT2'!$J606="","",'RPT2'!$J606)</f>
        <v/>
      </c>
      <c r="M606" s="44">
        <f>IF('RPT3'!$J606="","",'RPT3'!$J606)</f>
        <v/>
      </c>
    </row>
    <row r="607">
      <c r="A607" s="16" t="inlineStr">
        <is>
          <t>Custom B/G - Projected AWP / Rx - w/o Exclusions - Retail 30 - Generic - Year 3</t>
        </is>
      </c>
      <c r="B607" s="2" t="n"/>
      <c r="C607" s="43">
        <f>IF(Combine="Y", $G607, 0)</f>
        <v/>
      </c>
      <c r="D607" s="2" t="n"/>
      <c r="E607" s="4" t="n"/>
      <c r="F607" s="2" t="n"/>
      <c r="G607" s="43">
        <f>IF(G523=0,0,SUMPRODUCT($K523:$M523,$K607:$M607)/G523)</f>
        <v/>
      </c>
      <c r="H607" s="2" t="n"/>
      <c r="I607" s="4" t="n"/>
      <c r="J607" s="2" t="n"/>
      <c r="K607" s="44">
        <f>IF('RPT1'!$J607="","",'RPT1'!$J607)</f>
        <v/>
      </c>
      <c r="L607" s="44">
        <f>IF('RPT2'!$J607="","",'RPT2'!$J607)</f>
        <v/>
      </c>
      <c r="M607" s="44">
        <f>IF('RPT3'!$J607="","",'RPT3'!$J607)</f>
        <v/>
      </c>
    </row>
    <row r="608">
      <c r="A608" s="16" t="inlineStr">
        <is>
          <t>Custom B/G - Projected AWP / Rx - w/o Exclusions - Retail 30 - Generic - Year 4</t>
        </is>
      </c>
      <c r="B608" s="2" t="n"/>
      <c r="C608" s="43">
        <f>IF(Combine="Y", $G608, 0)</f>
        <v/>
      </c>
      <c r="D608" s="2" t="n"/>
      <c r="E608" s="4" t="n"/>
      <c r="F608" s="2" t="n"/>
      <c r="G608" s="43">
        <f>IF(G524=0,0,SUMPRODUCT($K524:$M524,$K608:$M608)/G524)</f>
        <v/>
      </c>
      <c r="H608" s="2" t="n"/>
      <c r="I608" s="4" t="n"/>
      <c r="J608" s="2" t="n"/>
      <c r="K608" s="44">
        <f>IF('RPT1'!$J608="","",'RPT1'!$J608)</f>
        <v/>
      </c>
      <c r="L608" s="44">
        <f>IF('RPT2'!$J608="","",'RPT2'!$J608)</f>
        <v/>
      </c>
      <c r="M608" s="44">
        <f>IF('RPT3'!$J608="","",'RPT3'!$J608)</f>
        <v/>
      </c>
    </row>
    <row r="609">
      <c r="A609" s="16" t="inlineStr">
        <is>
          <t>Custom B/G - Projected AWP / Rx - w/o Exclusions - Retail 30 - Generic - Year 5</t>
        </is>
      </c>
      <c r="B609" s="2" t="n"/>
      <c r="C609" s="43">
        <f>IF(Combine="Y", $G609, 0)</f>
        <v/>
      </c>
      <c r="D609" s="2" t="n"/>
      <c r="E609" s="4" t="n"/>
      <c r="F609" s="2" t="n"/>
      <c r="G609" s="43">
        <f>IF(G525=0,0,SUMPRODUCT($K525:$M525,$K609:$M609)/G525)</f>
        <v/>
      </c>
      <c r="H609" s="2" t="n"/>
      <c r="I609" s="4" t="n"/>
      <c r="J609" s="2" t="n"/>
      <c r="K609" s="44">
        <f>IF('RPT1'!$J609="","",'RPT1'!$J609)</f>
        <v/>
      </c>
      <c r="L609" s="44">
        <f>IF('RPT2'!$J609="","",'RPT2'!$J609)</f>
        <v/>
      </c>
      <c r="M609" s="44">
        <f>IF('RPT3'!$J609="","",'RPT3'!$J609)</f>
        <v/>
      </c>
    </row>
    <row r="610">
      <c r="A610" s="16" t="inlineStr">
        <is>
          <t>Custom B/G - Projected AWP / Rx - w/o Exclusions - Retail 90 - Brand - Year 1</t>
        </is>
      </c>
      <c r="B610" s="2" t="n"/>
      <c r="C610" s="43">
        <f>IF(Combine="Y", $G610, 0)</f>
        <v/>
      </c>
      <c r="D610" s="2" t="n"/>
      <c r="E610" s="4" t="n"/>
      <c r="F610" s="2" t="n"/>
      <c r="G610" s="43">
        <f>IF(G526=0,0,SUMPRODUCT($K526:$M526,$K610:$M610)/G526)</f>
        <v/>
      </c>
      <c r="H610" s="2" t="n"/>
      <c r="I610" s="4" t="n"/>
      <c r="J610" s="2" t="n"/>
      <c r="K610" s="44">
        <f>IF('RPT1'!$J610="","",'RPT1'!$J610)</f>
        <v/>
      </c>
      <c r="L610" s="44">
        <f>IF('RPT2'!$J610="","",'RPT2'!$J610)</f>
        <v/>
      </c>
      <c r="M610" s="44">
        <f>IF('RPT3'!$J610="","",'RPT3'!$J610)</f>
        <v/>
      </c>
    </row>
    <row r="611">
      <c r="A611" s="16" t="inlineStr">
        <is>
          <t>Custom B/G - Projected AWP / Rx - w/o Exclusions - Retail 90 - Brand - Year 2</t>
        </is>
      </c>
      <c r="B611" s="2" t="n"/>
      <c r="C611" s="43">
        <f>IF(Combine="Y", $G611, 0)</f>
        <v/>
      </c>
      <c r="D611" s="2" t="n"/>
      <c r="E611" s="4" t="n"/>
      <c r="F611" s="2" t="n"/>
      <c r="G611" s="43">
        <f>IF(G527=0,0,SUMPRODUCT($K527:$M527,$K611:$M611)/G527)</f>
        <v/>
      </c>
      <c r="H611" s="2" t="n"/>
      <c r="I611" s="4" t="n"/>
      <c r="J611" s="2" t="n"/>
      <c r="K611" s="44">
        <f>IF('RPT1'!$J611="","",'RPT1'!$J611)</f>
        <v/>
      </c>
      <c r="L611" s="44">
        <f>IF('RPT2'!$J611="","",'RPT2'!$J611)</f>
        <v/>
      </c>
      <c r="M611" s="44">
        <f>IF('RPT3'!$J611="","",'RPT3'!$J611)</f>
        <v/>
      </c>
    </row>
    <row r="612">
      <c r="A612" s="16" t="inlineStr">
        <is>
          <t>Custom B/G - Projected AWP / Rx - w/o Exclusions - Retail 90 - Brand - Year 3</t>
        </is>
      </c>
      <c r="B612" s="2" t="n"/>
      <c r="C612" s="43">
        <f>IF(Combine="Y", $G612, 0)</f>
        <v/>
      </c>
      <c r="D612" s="2" t="n"/>
      <c r="E612" s="4" t="n"/>
      <c r="F612" s="2" t="n"/>
      <c r="G612" s="43">
        <f>IF(G528=0,0,SUMPRODUCT($K528:$M528,$K612:$M612)/G528)</f>
        <v/>
      </c>
      <c r="H612" s="2" t="n"/>
      <c r="I612" s="4" t="n"/>
      <c r="J612" s="2" t="n"/>
      <c r="K612" s="44">
        <f>IF('RPT1'!$J612="","",'RPT1'!$J612)</f>
        <v/>
      </c>
      <c r="L612" s="44">
        <f>IF('RPT2'!$J612="","",'RPT2'!$J612)</f>
        <v/>
      </c>
      <c r="M612" s="44">
        <f>IF('RPT3'!$J612="","",'RPT3'!$J612)</f>
        <v/>
      </c>
    </row>
    <row r="613">
      <c r="A613" s="16" t="inlineStr">
        <is>
          <t>Custom B/G - Projected AWP / Rx - w/o Exclusions - Retail 90 - Brand - Year 4</t>
        </is>
      </c>
      <c r="B613" s="2" t="n"/>
      <c r="C613" s="43">
        <f>IF(Combine="Y", $G613, 0)</f>
        <v/>
      </c>
      <c r="D613" s="2" t="n"/>
      <c r="E613" s="4" t="n"/>
      <c r="F613" s="2" t="n"/>
      <c r="G613" s="43">
        <f>IF(G529=0,0,SUMPRODUCT($K529:$M529,$K613:$M613)/G529)</f>
        <v/>
      </c>
      <c r="H613" s="2" t="n"/>
      <c r="I613" s="4" t="n"/>
      <c r="J613" s="2" t="n"/>
      <c r="K613" s="44">
        <f>IF('RPT1'!$J613="","",'RPT1'!$J613)</f>
        <v/>
      </c>
      <c r="L613" s="44">
        <f>IF('RPT2'!$J613="","",'RPT2'!$J613)</f>
        <v/>
      </c>
      <c r="M613" s="44">
        <f>IF('RPT3'!$J613="","",'RPT3'!$J613)</f>
        <v/>
      </c>
    </row>
    <row r="614">
      <c r="A614" s="16" t="inlineStr">
        <is>
          <t>Custom B/G - Projected AWP / Rx - w/o Exclusions - Retail 90 - Brand - Year 5</t>
        </is>
      </c>
      <c r="B614" s="2" t="n"/>
      <c r="C614" s="43">
        <f>IF(Combine="Y", $G614, 0)</f>
        <v/>
      </c>
      <c r="D614" s="2" t="n"/>
      <c r="E614" s="4" t="n"/>
      <c r="F614" s="2" t="n"/>
      <c r="G614" s="43">
        <f>IF(G530=0,0,SUMPRODUCT($K530:$M530,$K614:$M614)/G530)</f>
        <v/>
      </c>
      <c r="H614" s="2" t="n"/>
      <c r="I614" s="4" t="n"/>
      <c r="J614" s="2" t="n"/>
      <c r="K614" s="44">
        <f>IF('RPT1'!$J614="","",'RPT1'!$J614)</f>
        <v/>
      </c>
      <c r="L614" s="44">
        <f>IF('RPT2'!$J614="","",'RPT2'!$J614)</f>
        <v/>
      </c>
      <c r="M614" s="44">
        <f>IF('RPT3'!$J614="","",'RPT3'!$J614)</f>
        <v/>
      </c>
    </row>
    <row r="615">
      <c r="A615" s="16" t="inlineStr">
        <is>
          <t>Custom B/G - Projected AWP / Rx - w/o Exclusions - Retail 90 - Generic - Year 1</t>
        </is>
      </c>
      <c r="B615" s="2" t="n"/>
      <c r="C615" s="43">
        <f>IF(Combine="Y", $G615, 0)</f>
        <v/>
      </c>
      <c r="D615" s="2" t="n"/>
      <c r="E615" s="4" t="n"/>
      <c r="F615" s="2" t="n"/>
      <c r="G615" s="43">
        <f>IF(G531=0,0,SUMPRODUCT($K531:$M531,$K615:$M615)/G531)</f>
        <v/>
      </c>
      <c r="H615" s="2" t="n"/>
      <c r="I615" s="4" t="n"/>
      <c r="J615" s="2" t="n"/>
      <c r="K615" s="44">
        <f>IF('RPT1'!$J615="","",'RPT1'!$J615)</f>
        <v/>
      </c>
      <c r="L615" s="44">
        <f>IF('RPT2'!$J615="","",'RPT2'!$J615)</f>
        <v/>
      </c>
      <c r="M615" s="44">
        <f>IF('RPT3'!$J615="","",'RPT3'!$J615)</f>
        <v/>
      </c>
    </row>
    <row r="616">
      <c r="A616" s="16" t="inlineStr">
        <is>
          <t>Custom B/G - Projected AWP / Rx - w/o Exclusions - Retail 90 - Generic - Year 2</t>
        </is>
      </c>
      <c r="B616" s="2" t="n"/>
      <c r="C616" s="43">
        <f>IF(Combine="Y", $G616, 0)</f>
        <v/>
      </c>
      <c r="D616" s="2" t="n"/>
      <c r="E616" s="4" t="n"/>
      <c r="F616" s="2" t="n"/>
      <c r="G616" s="43">
        <f>IF(G532=0,0,SUMPRODUCT($K532:$M532,$K616:$M616)/G532)</f>
        <v/>
      </c>
      <c r="H616" s="2" t="n"/>
      <c r="I616" s="4" t="n"/>
      <c r="J616" s="2" t="n"/>
      <c r="K616" s="44">
        <f>IF('RPT1'!$J616="","",'RPT1'!$J616)</f>
        <v/>
      </c>
      <c r="L616" s="44">
        <f>IF('RPT2'!$J616="","",'RPT2'!$J616)</f>
        <v/>
      </c>
      <c r="M616" s="44">
        <f>IF('RPT3'!$J616="","",'RPT3'!$J616)</f>
        <v/>
      </c>
    </row>
    <row r="617">
      <c r="A617" s="16" t="inlineStr">
        <is>
          <t>Custom B/G - Projected AWP / Rx - w/o Exclusions - Retail 90 - Generic - Year 3</t>
        </is>
      </c>
      <c r="B617" s="2" t="n"/>
      <c r="C617" s="43">
        <f>IF(Combine="Y", $G617, 0)</f>
        <v/>
      </c>
      <c r="D617" s="2" t="n"/>
      <c r="E617" s="4" t="n"/>
      <c r="F617" s="2" t="n"/>
      <c r="G617" s="43">
        <f>IF(G533=0,0,SUMPRODUCT($K533:$M533,$K617:$M617)/G533)</f>
        <v/>
      </c>
      <c r="H617" s="2" t="n"/>
      <c r="I617" s="4" t="n"/>
      <c r="J617" s="2" t="n"/>
      <c r="K617" s="44">
        <f>IF('RPT1'!$J617="","",'RPT1'!$J617)</f>
        <v/>
      </c>
      <c r="L617" s="44">
        <f>IF('RPT2'!$J617="","",'RPT2'!$J617)</f>
        <v/>
      </c>
      <c r="M617" s="44">
        <f>IF('RPT3'!$J617="","",'RPT3'!$J617)</f>
        <v/>
      </c>
    </row>
    <row r="618">
      <c r="A618" s="16" t="inlineStr">
        <is>
          <t>Custom B/G - Projected AWP / Rx - w/o Exclusions - Retail 90 - Generic - Year 4</t>
        </is>
      </c>
      <c r="B618" s="2" t="n"/>
      <c r="C618" s="43">
        <f>IF(Combine="Y", $G618, 0)</f>
        <v/>
      </c>
      <c r="D618" s="2" t="n"/>
      <c r="E618" s="4" t="n"/>
      <c r="F618" s="2" t="n"/>
      <c r="G618" s="43">
        <f>IF(G534=0,0,SUMPRODUCT($K534:$M534,$K618:$M618)/G534)</f>
        <v/>
      </c>
      <c r="H618" s="2" t="n"/>
      <c r="I618" s="4" t="n"/>
      <c r="J618" s="2" t="n"/>
      <c r="K618" s="44">
        <f>IF('RPT1'!$J618="","",'RPT1'!$J618)</f>
        <v/>
      </c>
      <c r="L618" s="44">
        <f>IF('RPT2'!$J618="","",'RPT2'!$J618)</f>
        <v/>
      </c>
      <c r="M618" s="44">
        <f>IF('RPT3'!$J618="","",'RPT3'!$J618)</f>
        <v/>
      </c>
    </row>
    <row r="619">
      <c r="A619" s="16" t="inlineStr">
        <is>
          <t>Custom B/G - Projected AWP / Rx - w/o Exclusions - Retail 90 - Generic - Year 5</t>
        </is>
      </c>
      <c r="B619" s="2" t="n"/>
      <c r="C619" s="43">
        <f>IF(Combine="Y", $G619, 0)</f>
        <v/>
      </c>
      <c r="D619" s="2" t="n"/>
      <c r="E619" s="4" t="n"/>
      <c r="F619" s="2" t="n"/>
      <c r="G619" s="43">
        <f>IF(G535=0,0,SUMPRODUCT($K535:$M535,$K619:$M619)/G535)</f>
        <v/>
      </c>
      <c r="H619" s="2" t="n"/>
      <c r="I619" s="4" t="n"/>
      <c r="J619" s="2" t="n"/>
      <c r="K619" s="44">
        <f>IF('RPT1'!$J619="","",'RPT1'!$J619)</f>
        <v/>
      </c>
      <c r="L619" s="44">
        <f>IF('RPT2'!$J619="","",'RPT2'!$J619)</f>
        <v/>
      </c>
      <c r="M619" s="44">
        <f>IF('RPT3'!$J619="","",'RPT3'!$J619)</f>
        <v/>
      </c>
    </row>
    <row r="620">
      <c r="A620" s="16" t="inlineStr">
        <is>
          <t>Custom B/G - Projected AWP / Rx - w/o Exclusions - Specialty - Brand - Year 1</t>
        </is>
      </c>
      <c r="B620" s="2" t="n"/>
      <c r="C620" s="43">
        <f>IF(Combine="Y", $G620, 0)</f>
        <v/>
      </c>
      <c r="D620" s="2" t="n"/>
      <c r="E620" s="4" t="n"/>
      <c r="F620" s="2" t="n"/>
      <c r="G620" s="43">
        <f>IF(G536=0,0,SUMPRODUCT($K536:$M536,$K620:$M620)/G536)</f>
        <v/>
      </c>
      <c r="H620" s="2" t="n"/>
      <c r="I620" s="4" t="n"/>
      <c r="J620" s="2" t="n"/>
      <c r="K620" s="44">
        <f>IF('RPT1'!$J620="","",'RPT1'!$J620)</f>
        <v/>
      </c>
      <c r="L620" s="44">
        <f>IF('RPT2'!$J620="","",'RPT2'!$J620)</f>
        <v/>
      </c>
      <c r="M620" s="44">
        <f>IF('RPT3'!$J620="","",'RPT3'!$J620)</f>
        <v/>
      </c>
    </row>
    <row r="621">
      <c r="A621" s="16" t="inlineStr">
        <is>
          <t>Custom B/G - Projected AWP / Rx - w/o Exclusions - Specialty - Brand - Year 2</t>
        </is>
      </c>
      <c r="B621" s="2" t="n"/>
      <c r="C621" s="43">
        <f>IF(Combine="Y", $G621, 0)</f>
        <v/>
      </c>
      <c r="D621" s="2" t="n"/>
      <c r="E621" s="4" t="n"/>
      <c r="F621" s="2" t="n"/>
      <c r="G621" s="43">
        <f>IF(G537=0,0,SUMPRODUCT($K537:$M537,$K621:$M621)/G537)</f>
        <v/>
      </c>
      <c r="H621" s="2" t="n"/>
      <c r="I621" s="4" t="n"/>
      <c r="J621" s="2" t="n"/>
      <c r="K621" s="44">
        <f>IF('RPT1'!$J621="","",'RPT1'!$J621)</f>
        <v/>
      </c>
      <c r="L621" s="44">
        <f>IF('RPT2'!$J621="","",'RPT2'!$J621)</f>
        <v/>
      </c>
      <c r="M621" s="44">
        <f>IF('RPT3'!$J621="","",'RPT3'!$J621)</f>
        <v/>
      </c>
    </row>
    <row r="622">
      <c r="A622" s="16" t="inlineStr">
        <is>
          <t>Custom B/G - Projected AWP / Rx - w/o Exclusions - Specialty - Brand - Year 3</t>
        </is>
      </c>
      <c r="B622" s="2" t="n"/>
      <c r="C622" s="43">
        <f>IF(Combine="Y", $G622, 0)</f>
        <v/>
      </c>
      <c r="D622" s="2" t="n"/>
      <c r="E622" s="4" t="n"/>
      <c r="F622" s="2" t="n"/>
      <c r="G622" s="43">
        <f>IF(G538=0,0,SUMPRODUCT($K538:$M538,$K622:$M622)/G538)</f>
        <v/>
      </c>
      <c r="H622" s="2" t="n"/>
      <c r="I622" s="4" t="n"/>
      <c r="J622" s="2" t="n"/>
      <c r="K622" s="44">
        <f>IF('RPT1'!$J622="","",'RPT1'!$J622)</f>
        <v/>
      </c>
      <c r="L622" s="44">
        <f>IF('RPT2'!$J622="","",'RPT2'!$J622)</f>
        <v/>
      </c>
      <c r="M622" s="44">
        <f>IF('RPT3'!$J622="","",'RPT3'!$J622)</f>
        <v/>
      </c>
    </row>
    <row r="623">
      <c r="A623" s="16" t="inlineStr">
        <is>
          <t>Custom B/G - Projected AWP / Rx - w/o Exclusions - Specialty - Brand - Year 4</t>
        </is>
      </c>
      <c r="B623" s="2" t="n"/>
      <c r="C623" s="43">
        <f>IF(Combine="Y", $G623, 0)</f>
        <v/>
      </c>
      <c r="D623" s="2" t="n"/>
      <c r="E623" s="4" t="n"/>
      <c r="F623" s="2" t="n"/>
      <c r="G623" s="43">
        <f>IF(G539=0,0,SUMPRODUCT($K539:$M539,$K623:$M623)/G539)</f>
        <v/>
      </c>
      <c r="H623" s="2" t="n"/>
      <c r="I623" s="4" t="n"/>
      <c r="J623" s="2" t="n"/>
      <c r="K623" s="44">
        <f>IF('RPT1'!$J623="","",'RPT1'!$J623)</f>
        <v/>
      </c>
      <c r="L623" s="44">
        <f>IF('RPT2'!$J623="","",'RPT2'!$J623)</f>
        <v/>
      </c>
      <c r="M623" s="44">
        <f>IF('RPT3'!$J623="","",'RPT3'!$J623)</f>
        <v/>
      </c>
    </row>
    <row r="624">
      <c r="A624" s="16" t="inlineStr">
        <is>
          <t>Custom B/G - Projected AWP / Rx - w/o Exclusions - Specialty - Brand - Year 5</t>
        </is>
      </c>
      <c r="B624" s="2" t="n"/>
      <c r="C624" s="43">
        <f>IF(Combine="Y", $G624, 0)</f>
        <v/>
      </c>
      <c r="D624" s="2" t="n"/>
      <c r="E624" s="4" t="n"/>
      <c r="F624" s="2" t="n"/>
      <c r="G624" s="43">
        <f>IF(G540=0,0,SUMPRODUCT($K540:$M540,$K624:$M624)/G540)</f>
        <v/>
      </c>
      <c r="H624" s="2" t="n"/>
      <c r="I624" s="4" t="n"/>
      <c r="J624" s="2" t="n"/>
      <c r="K624" s="44">
        <f>IF('RPT1'!$J624="","",'RPT1'!$J624)</f>
        <v/>
      </c>
      <c r="L624" s="44">
        <f>IF('RPT2'!$J624="","",'RPT2'!$J624)</f>
        <v/>
      </c>
      <c r="M624" s="44">
        <f>IF('RPT3'!$J624="","",'RPT3'!$J624)</f>
        <v/>
      </c>
    </row>
    <row r="625">
      <c r="A625" s="16" t="inlineStr">
        <is>
          <t>Custom B/G - Projected AWP / Rx - w/o Exclusions - Specialty - Generic - Year 1</t>
        </is>
      </c>
      <c r="B625" s="2" t="n"/>
      <c r="C625" s="43">
        <f>IF(Combine="Y", $G625, 0)</f>
        <v/>
      </c>
      <c r="D625" s="2" t="n"/>
      <c r="E625" s="4" t="n"/>
      <c r="F625" s="2" t="n"/>
      <c r="G625" s="43">
        <f>IF(G541=0,0,SUMPRODUCT($K541:$M541,$K625:$M625)/G541)</f>
        <v/>
      </c>
      <c r="H625" s="2" t="n"/>
      <c r="I625" s="4" t="n"/>
      <c r="J625" s="2" t="n"/>
      <c r="K625" s="44">
        <f>IF('RPT1'!$J625="","",'RPT1'!$J625)</f>
        <v/>
      </c>
      <c r="L625" s="44">
        <f>IF('RPT2'!$J625="","",'RPT2'!$J625)</f>
        <v/>
      </c>
      <c r="M625" s="44">
        <f>IF('RPT3'!$J625="","",'RPT3'!$J625)</f>
        <v/>
      </c>
    </row>
    <row r="626">
      <c r="A626" s="16" t="inlineStr">
        <is>
          <t>Custom B/G - Projected AWP / Rx - w/o Exclusions - Specialty - Generic - Year 2</t>
        </is>
      </c>
      <c r="B626" s="2" t="n"/>
      <c r="C626" s="43">
        <f>IF(Combine="Y", $G626, 0)</f>
        <v/>
      </c>
      <c r="D626" s="2" t="n"/>
      <c r="E626" s="4" t="n"/>
      <c r="F626" s="2" t="n"/>
      <c r="G626" s="43">
        <f>IF(G542=0,0,SUMPRODUCT($K542:$M542,$K626:$M626)/G542)</f>
        <v/>
      </c>
      <c r="H626" s="2" t="n"/>
      <c r="I626" s="4" t="n"/>
      <c r="J626" s="2" t="n"/>
      <c r="K626" s="44">
        <f>IF('RPT1'!$J626="","",'RPT1'!$J626)</f>
        <v/>
      </c>
      <c r="L626" s="44">
        <f>IF('RPT2'!$J626="","",'RPT2'!$J626)</f>
        <v/>
      </c>
      <c r="M626" s="44">
        <f>IF('RPT3'!$J626="","",'RPT3'!$J626)</f>
        <v/>
      </c>
    </row>
    <row r="627">
      <c r="A627" s="16" t="inlineStr">
        <is>
          <t>Custom B/G - Projected AWP / Rx - w/o Exclusions - Specialty - Generic - Year 3</t>
        </is>
      </c>
      <c r="B627" s="2" t="n"/>
      <c r="C627" s="43">
        <f>IF(Combine="Y", $G627, 0)</f>
        <v/>
      </c>
      <c r="D627" s="2" t="n"/>
      <c r="E627" s="4" t="n"/>
      <c r="F627" s="2" t="n"/>
      <c r="G627" s="43">
        <f>IF(G543=0,0,SUMPRODUCT($K543:$M543,$K627:$M627)/G543)</f>
        <v/>
      </c>
      <c r="H627" s="2" t="n"/>
      <c r="I627" s="4" t="n"/>
      <c r="J627" s="2" t="n"/>
      <c r="K627" s="44">
        <f>IF('RPT1'!$J627="","",'RPT1'!$J627)</f>
        <v/>
      </c>
      <c r="L627" s="44">
        <f>IF('RPT2'!$J627="","",'RPT2'!$J627)</f>
        <v/>
      </c>
      <c r="M627" s="44">
        <f>IF('RPT3'!$J627="","",'RPT3'!$J627)</f>
        <v/>
      </c>
    </row>
    <row r="628">
      <c r="A628" s="16" t="inlineStr">
        <is>
          <t>Custom B/G - Projected AWP / Rx - w/o Exclusions - Specialty - Generic - Year 4</t>
        </is>
      </c>
      <c r="B628" s="2" t="n"/>
      <c r="C628" s="43">
        <f>IF(Combine="Y", $G628, 0)</f>
        <v/>
      </c>
      <c r="D628" s="2" t="n"/>
      <c r="E628" s="4" t="n"/>
      <c r="F628" s="2" t="n"/>
      <c r="G628" s="43">
        <f>IF(G544=0,0,SUMPRODUCT($K544:$M544,$K628:$M628)/G544)</f>
        <v/>
      </c>
      <c r="H628" s="2" t="n"/>
      <c r="I628" s="4" t="n"/>
      <c r="J628" s="2" t="n"/>
      <c r="K628" s="44">
        <f>IF('RPT1'!$J628="","",'RPT1'!$J628)</f>
        <v/>
      </c>
      <c r="L628" s="44">
        <f>IF('RPT2'!$J628="","",'RPT2'!$J628)</f>
        <v/>
      </c>
      <c r="M628" s="44">
        <f>IF('RPT3'!$J628="","",'RPT3'!$J628)</f>
        <v/>
      </c>
    </row>
    <row r="629">
      <c r="A629" s="16" t="inlineStr">
        <is>
          <t>Custom B/G - Projected AWP / Rx - w/o Exclusions - Specialty - Generic - Year 5</t>
        </is>
      </c>
      <c r="B629" s="2" t="n"/>
      <c r="C629" s="43">
        <f>IF(Combine="Y", $G629, 0)</f>
        <v/>
      </c>
      <c r="D629" s="2" t="n"/>
      <c r="E629" s="4" t="n"/>
      <c r="F629" s="2" t="n"/>
      <c r="G629" s="43">
        <f>IF(G545=0,0,SUMPRODUCT($K545:$M545,$K629:$M629)/G545)</f>
        <v/>
      </c>
      <c r="H629" s="2" t="n"/>
      <c r="I629" s="4" t="n"/>
      <c r="J629" s="2" t="n"/>
      <c r="K629" s="44">
        <f>IF('RPT1'!$J629="","",'RPT1'!$J629)</f>
        <v/>
      </c>
      <c r="L629" s="44">
        <f>IF('RPT2'!$J629="","",'RPT2'!$J629)</f>
        <v/>
      </c>
      <c r="M629" s="44">
        <f>IF('RPT3'!$J629="","",'RPT3'!$J629)</f>
        <v/>
      </c>
    </row>
    <row r="630">
      <c r="A630" s="31" t="n"/>
      <c r="B630" s="2" t="n"/>
      <c r="C630" s="14" t="n"/>
      <c r="D630" s="2" t="n"/>
      <c r="E630" s="4" t="n"/>
      <c r="F630" s="2" t="n"/>
      <c r="G630" s="14" t="n"/>
      <c r="H630" s="2" t="n"/>
      <c r="I630" s="4" t="n"/>
      <c r="J630" s="2" t="n"/>
      <c r="K630" s="32" t="n"/>
      <c r="L630" s="32" t="n"/>
      <c r="M630" s="32" t="n"/>
    </row>
    <row r="631">
      <c r="A631" s="12" t="inlineStr">
        <is>
          <t>Custom B/G - Projected AWP / Rx - w/ Exclusions</t>
        </is>
      </c>
      <c r="B631" s="2" t="n"/>
      <c r="C631" s="14" t="n"/>
      <c r="D631" s="2" t="n"/>
      <c r="E631" s="4" t="n"/>
      <c r="F631" s="2" t="n"/>
      <c r="G631" s="14" t="n"/>
      <c r="H631" s="2" t="n"/>
      <c r="I631" s="4" t="n"/>
      <c r="J631" s="2" t="n"/>
      <c r="K631" s="32">
        <f>IF('RPT1'!$J631="","",'RPT1'!$J631)</f>
        <v/>
      </c>
      <c r="L631" s="32">
        <f>IF('RPT2'!$J631="","",'RPT2'!$J631)</f>
        <v/>
      </c>
      <c r="M631" s="32">
        <f>IF('RPT3'!$J631="","",'RPT3'!$J631)</f>
        <v/>
      </c>
    </row>
    <row r="632">
      <c r="A632" s="16" t="inlineStr">
        <is>
          <t>Custom B/G - Projected AWP / Rx - w/ Exclusions - Mail - Brand - Year 1</t>
        </is>
      </c>
      <c r="B632" s="2" t="n"/>
      <c r="C632" s="43">
        <f>IF(Combine="Y", $G632, 0)</f>
        <v/>
      </c>
      <c r="D632" s="2" t="n"/>
      <c r="E632" s="4" t="n"/>
      <c r="F632" s="2" t="n"/>
      <c r="G632" s="43">
        <f>IF(G548=0,0,SUMPRODUCT($K548:$M548,$K632:$M632)/G548)</f>
        <v/>
      </c>
      <c r="H632" s="2" t="n"/>
      <c r="I632" s="4" t="n"/>
      <c r="J632" s="2" t="n"/>
      <c r="K632" s="44">
        <f>IF('RPT1'!$J632="","",'RPT1'!$J632)</f>
        <v/>
      </c>
      <c r="L632" s="44">
        <f>IF('RPT2'!$J632="","",'RPT2'!$J632)</f>
        <v/>
      </c>
      <c r="M632" s="44">
        <f>IF('RPT3'!$J632="","",'RPT3'!$J632)</f>
        <v/>
      </c>
    </row>
    <row r="633">
      <c r="A633" s="16" t="inlineStr">
        <is>
          <t>Custom B/G - Projected AWP / Rx - w/ Exclusions - Mail - Brand - Year 2</t>
        </is>
      </c>
      <c r="B633" s="2" t="n"/>
      <c r="C633" s="43">
        <f>IF(Combine="Y", $G633, 0)</f>
        <v/>
      </c>
      <c r="D633" s="2" t="n"/>
      <c r="E633" s="4" t="n"/>
      <c r="F633" s="2" t="n"/>
      <c r="G633" s="43">
        <f>IF(G549=0,0,SUMPRODUCT($K549:$M549,$K633:$M633)/G549)</f>
        <v/>
      </c>
      <c r="H633" s="2" t="n"/>
      <c r="I633" s="4" t="n"/>
      <c r="J633" s="2" t="n"/>
      <c r="K633" s="44">
        <f>IF('RPT1'!$J633="","",'RPT1'!$J633)</f>
        <v/>
      </c>
      <c r="L633" s="44">
        <f>IF('RPT2'!$J633="","",'RPT2'!$J633)</f>
        <v/>
      </c>
      <c r="M633" s="44">
        <f>IF('RPT3'!$J633="","",'RPT3'!$J633)</f>
        <v/>
      </c>
    </row>
    <row r="634">
      <c r="A634" s="16" t="inlineStr">
        <is>
          <t>Custom B/G - Projected AWP / Rx - w/ Exclusions - Mail - Brand - Year 3</t>
        </is>
      </c>
      <c r="B634" s="2" t="n"/>
      <c r="C634" s="43">
        <f>IF(Combine="Y", $G634, 0)</f>
        <v/>
      </c>
      <c r="D634" s="2" t="n"/>
      <c r="E634" s="4" t="n"/>
      <c r="F634" s="2" t="n"/>
      <c r="G634" s="43">
        <f>IF(G550=0,0,SUMPRODUCT($K550:$M550,$K634:$M634)/G550)</f>
        <v/>
      </c>
      <c r="H634" s="2" t="n"/>
      <c r="I634" s="4" t="n"/>
      <c r="J634" s="2" t="n"/>
      <c r="K634" s="44">
        <f>IF('RPT1'!$J634="","",'RPT1'!$J634)</f>
        <v/>
      </c>
      <c r="L634" s="44">
        <f>IF('RPT2'!$J634="","",'RPT2'!$J634)</f>
        <v/>
      </c>
      <c r="M634" s="44">
        <f>IF('RPT3'!$J634="","",'RPT3'!$J634)</f>
        <v/>
      </c>
    </row>
    <row r="635">
      <c r="A635" s="16" t="inlineStr">
        <is>
          <t>Custom B/G - Projected AWP / Rx - w/ Exclusions - Mail - Brand - Year 4</t>
        </is>
      </c>
      <c r="B635" s="2" t="n"/>
      <c r="C635" s="43">
        <f>IF(Combine="Y", $G635, 0)</f>
        <v/>
      </c>
      <c r="D635" s="2" t="n"/>
      <c r="E635" s="4" t="n"/>
      <c r="F635" s="2" t="n"/>
      <c r="G635" s="43">
        <f>IF(G551=0,0,SUMPRODUCT($K551:$M551,$K635:$M635)/G551)</f>
        <v/>
      </c>
      <c r="H635" s="2" t="n"/>
      <c r="I635" s="4" t="n"/>
      <c r="J635" s="2" t="n"/>
      <c r="K635" s="44">
        <f>IF('RPT1'!$J635="","",'RPT1'!$J635)</f>
        <v/>
      </c>
      <c r="L635" s="44">
        <f>IF('RPT2'!$J635="","",'RPT2'!$J635)</f>
        <v/>
      </c>
      <c r="M635" s="44">
        <f>IF('RPT3'!$J635="","",'RPT3'!$J635)</f>
        <v/>
      </c>
    </row>
    <row r="636">
      <c r="A636" s="16" t="inlineStr">
        <is>
          <t>Custom B/G - Projected AWP / Rx - w/ Exclusions - Mail - Brand - Year 5</t>
        </is>
      </c>
      <c r="B636" s="2" t="n"/>
      <c r="C636" s="43">
        <f>IF(Combine="Y", $G636, 0)</f>
        <v/>
      </c>
      <c r="D636" s="2" t="n"/>
      <c r="E636" s="4" t="n"/>
      <c r="F636" s="2" t="n"/>
      <c r="G636" s="43">
        <f>IF(G552=0,0,SUMPRODUCT($K552:$M552,$K636:$M636)/G552)</f>
        <v/>
      </c>
      <c r="H636" s="2" t="n"/>
      <c r="I636" s="4" t="n"/>
      <c r="J636" s="2" t="n"/>
      <c r="K636" s="44">
        <f>IF('RPT1'!$J636="","",'RPT1'!$J636)</f>
        <v/>
      </c>
      <c r="L636" s="44">
        <f>IF('RPT2'!$J636="","",'RPT2'!$J636)</f>
        <v/>
      </c>
      <c r="M636" s="44">
        <f>IF('RPT3'!$J636="","",'RPT3'!$J636)</f>
        <v/>
      </c>
    </row>
    <row r="637">
      <c r="A637" s="16" t="inlineStr">
        <is>
          <t>Custom B/G - Projected AWP / Rx - w/ Exclusions - Mail - Generic - Year 1</t>
        </is>
      </c>
      <c r="B637" s="2" t="n"/>
      <c r="C637" s="43">
        <f>IF(Combine="Y", $G637, 0)</f>
        <v/>
      </c>
      <c r="D637" s="2" t="n"/>
      <c r="E637" s="4" t="n"/>
      <c r="F637" s="2" t="n"/>
      <c r="G637" s="43">
        <f>IF(G553=0,0,SUMPRODUCT($K553:$M553,$K637:$M637)/G553)</f>
        <v/>
      </c>
      <c r="H637" s="2" t="n"/>
      <c r="I637" s="4" t="n"/>
      <c r="J637" s="2" t="n"/>
      <c r="K637" s="44">
        <f>IF('RPT1'!$J637="","",'RPT1'!$J637)</f>
        <v/>
      </c>
      <c r="L637" s="44">
        <f>IF('RPT2'!$J637="","",'RPT2'!$J637)</f>
        <v/>
      </c>
      <c r="M637" s="44">
        <f>IF('RPT3'!$J637="","",'RPT3'!$J637)</f>
        <v/>
      </c>
    </row>
    <row r="638">
      <c r="A638" s="16" t="inlineStr">
        <is>
          <t>Custom B/G - Projected AWP / Rx - w/ Exclusions - Mail - Generic - Year 2</t>
        </is>
      </c>
      <c r="B638" s="2" t="n"/>
      <c r="C638" s="43">
        <f>IF(Combine="Y", $G638, 0)</f>
        <v/>
      </c>
      <c r="D638" s="2" t="n"/>
      <c r="E638" s="4" t="n"/>
      <c r="F638" s="2" t="n"/>
      <c r="G638" s="43">
        <f>IF(G554=0,0,SUMPRODUCT($K554:$M554,$K638:$M638)/G554)</f>
        <v/>
      </c>
      <c r="H638" s="2" t="n"/>
      <c r="I638" s="4" t="n"/>
      <c r="J638" s="2" t="n"/>
      <c r="K638" s="44">
        <f>IF('RPT1'!$J638="","",'RPT1'!$J638)</f>
        <v/>
      </c>
      <c r="L638" s="44">
        <f>IF('RPT2'!$J638="","",'RPT2'!$J638)</f>
        <v/>
      </c>
      <c r="M638" s="44">
        <f>IF('RPT3'!$J638="","",'RPT3'!$J638)</f>
        <v/>
      </c>
    </row>
    <row r="639">
      <c r="A639" s="16" t="inlineStr">
        <is>
          <t>Custom B/G - Projected AWP / Rx - w/ Exclusions - Mail - Generic - Year 3</t>
        </is>
      </c>
      <c r="B639" s="2" t="n"/>
      <c r="C639" s="43">
        <f>IF(Combine="Y", $G639, 0)</f>
        <v/>
      </c>
      <c r="D639" s="2" t="n"/>
      <c r="E639" s="4" t="n"/>
      <c r="F639" s="2" t="n"/>
      <c r="G639" s="43">
        <f>IF(G555=0,0,SUMPRODUCT($K555:$M555,$K639:$M639)/G555)</f>
        <v/>
      </c>
      <c r="H639" s="2" t="n"/>
      <c r="I639" s="4" t="n"/>
      <c r="J639" s="2" t="n"/>
      <c r="K639" s="44">
        <f>IF('RPT1'!$J639="","",'RPT1'!$J639)</f>
        <v/>
      </c>
      <c r="L639" s="44">
        <f>IF('RPT2'!$J639="","",'RPT2'!$J639)</f>
        <v/>
      </c>
      <c r="M639" s="44">
        <f>IF('RPT3'!$J639="","",'RPT3'!$J639)</f>
        <v/>
      </c>
    </row>
    <row r="640">
      <c r="A640" s="16" t="inlineStr">
        <is>
          <t>Custom B/G - Projected AWP / Rx - w/ Exclusions - Mail - Generic - Year 4</t>
        </is>
      </c>
      <c r="B640" s="2" t="n"/>
      <c r="C640" s="43">
        <f>IF(Combine="Y", $G640, 0)</f>
        <v/>
      </c>
      <c r="D640" s="2" t="n"/>
      <c r="E640" s="4" t="n"/>
      <c r="F640" s="2" t="n"/>
      <c r="G640" s="43">
        <f>IF(G556=0,0,SUMPRODUCT($K556:$M556,$K640:$M640)/G556)</f>
        <v/>
      </c>
      <c r="H640" s="2" t="n"/>
      <c r="I640" s="4" t="n"/>
      <c r="J640" s="2" t="n"/>
      <c r="K640" s="44">
        <f>IF('RPT1'!$J640="","",'RPT1'!$J640)</f>
        <v/>
      </c>
      <c r="L640" s="44">
        <f>IF('RPT2'!$J640="","",'RPT2'!$J640)</f>
        <v/>
      </c>
      <c r="M640" s="44">
        <f>IF('RPT3'!$J640="","",'RPT3'!$J640)</f>
        <v/>
      </c>
    </row>
    <row r="641">
      <c r="A641" s="16" t="inlineStr">
        <is>
          <t>Custom B/G - Projected AWP / Rx - w/ Exclusions - Mail - Generic - Year 5</t>
        </is>
      </c>
      <c r="B641" s="2" t="n"/>
      <c r="C641" s="43">
        <f>IF(Combine="Y", $G641, 0)</f>
        <v/>
      </c>
      <c r="D641" s="2" t="n"/>
      <c r="E641" s="4" t="n"/>
      <c r="F641" s="2" t="n"/>
      <c r="G641" s="43">
        <f>IF(G557=0,0,SUMPRODUCT($K557:$M557,$K641:$M641)/G557)</f>
        <v/>
      </c>
      <c r="H641" s="2" t="n"/>
      <c r="I641" s="4" t="n"/>
      <c r="J641" s="2" t="n"/>
      <c r="K641" s="44">
        <f>IF('RPT1'!$J641="","",'RPT1'!$J641)</f>
        <v/>
      </c>
      <c r="L641" s="44">
        <f>IF('RPT2'!$J641="","",'RPT2'!$J641)</f>
        <v/>
      </c>
      <c r="M641" s="44">
        <f>IF('RPT3'!$J641="","",'RPT3'!$J641)</f>
        <v/>
      </c>
    </row>
    <row r="642">
      <c r="A642" s="16" t="inlineStr">
        <is>
          <t>Custom B/G - Projected AWP / Rx - w/ Exclusions - Retail 30 - Brand - Year 1</t>
        </is>
      </c>
      <c r="B642" s="2" t="n"/>
      <c r="C642" s="43">
        <f>IF(Combine="Y", $G642, 0)</f>
        <v/>
      </c>
      <c r="D642" s="2" t="n"/>
      <c r="E642" s="4" t="n"/>
      <c r="F642" s="2" t="n"/>
      <c r="G642" s="43">
        <f>IF(G558=0,0,SUMPRODUCT($K558:$M558,$K642:$M642)/G558)</f>
        <v/>
      </c>
      <c r="H642" s="2" t="n"/>
      <c r="I642" s="4" t="n"/>
      <c r="J642" s="2" t="n"/>
      <c r="K642" s="44">
        <f>IF('RPT1'!$J642="","",'RPT1'!$J642)</f>
        <v/>
      </c>
      <c r="L642" s="44">
        <f>IF('RPT2'!$J642="","",'RPT2'!$J642)</f>
        <v/>
      </c>
      <c r="M642" s="44">
        <f>IF('RPT3'!$J642="","",'RPT3'!$J642)</f>
        <v/>
      </c>
    </row>
    <row r="643">
      <c r="A643" s="16" t="inlineStr">
        <is>
          <t>Custom B/G - Projected AWP / Rx - w/ Exclusions - Retail 30 - Brand - Year 2</t>
        </is>
      </c>
      <c r="B643" s="2" t="n"/>
      <c r="C643" s="43">
        <f>IF(Combine="Y", $G643, 0)</f>
        <v/>
      </c>
      <c r="D643" s="2" t="n"/>
      <c r="E643" s="4" t="n"/>
      <c r="F643" s="2" t="n"/>
      <c r="G643" s="43">
        <f>IF(G559=0,0,SUMPRODUCT($K559:$M559,$K643:$M643)/G559)</f>
        <v/>
      </c>
      <c r="H643" s="2" t="n"/>
      <c r="I643" s="4" t="n"/>
      <c r="J643" s="2" t="n"/>
      <c r="K643" s="44">
        <f>IF('RPT1'!$J643="","",'RPT1'!$J643)</f>
        <v/>
      </c>
      <c r="L643" s="44">
        <f>IF('RPT2'!$J643="","",'RPT2'!$J643)</f>
        <v/>
      </c>
      <c r="M643" s="44">
        <f>IF('RPT3'!$J643="","",'RPT3'!$J643)</f>
        <v/>
      </c>
    </row>
    <row r="644">
      <c r="A644" s="16" t="inlineStr">
        <is>
          <t>Custom B/G - Projected AWP / Rx - w/ Exclusions - Retail 30 - Brand - Year 3</t>
        </is>
      </c>
      <c r="B644" s="2" t="n"/>
      <c r="C644" s="43">
        <f>IF(Combine="Y", $G644, 0)</f>
        <v/>
      </c>
      <c r="D644" s="2" t="n"/>
      <c r="E644" s="4" t="n"/>
      <c r="F644" s="2" t="n"/>
      <c r="G644" s="43">
        <f>IF(G560=0,0,SUMPRODUCT($K560:$M560,$K644:$M644)/G560)</f>
        <v/>
      </c>
      <c r="H644" s="2" t="n"/>
      <c r="I644" s="4" t="n"/>
      <c r="J644" s="2" t="n"/>
      <c r="K644" s="44">
        <f>IF('RPT1'!$J644="","",'RPT1'!$J644)</f>
        <v/>
      </c>
      <c r="L644" s="44">
        <f>IF('RPT2'!$J644="","",'RPT2'!$J644)</f>
        <v/>
      </c>
      <c r="M644" s="44">
        <f>IF('RPT3'!$J644="","",'RPT3'!$J644)</f>
        <v/>
      </c>
    </row>
    <row r="645">
      <c r="A645" s="16" t="inlineStr">
        <is>
          <t>Custom B/G - Projected AWP / Rx - w/ Exclusions - Retail 30 - Brand - Year 4</t>
        </is>
      </c>
      <c r="B645" s="2" t="n"/>
      <c r="C645" s="43">
        <f>IF(Combine="Y", $G645, 0)</f>
        <v/>
      </c>
      <c r="D645" s="2" t="n"/>
      <c r="E645" s="4" t="n"/>
      <c r="F645" s="2" t="n"/>
      <c r="G645" s="43">
        <f>IF(G561=0,0,SUMPRODUCT($K561:$M561,$K645:$M645)/G561)</f>
        <v/>
      </c>
      <c r="H645" s="2" t="n"/>
      <c r="I645" s="4" t="n"/>
      <c r="J645" s="2" t="n"/>
      <c r="K645" s="44">
        <f>IF('RPT1'!$J645="","",'RPT1'!$J645)</f>
        <v/>
      </c>
      <c r="L645" s="44">
        <f>IF('RPT2'!$J645="","",'RPT2'!$J645)</f>
        <v/>
      </c>
      <c r="M645" s="44">
        <f>IF('RPT3'!$J645="","",'RPT3'!$J645)</f>
        <v/>
      </c>
    </row>
    <row r="646">
      <c r="A646" s="16" t="inlineStr">
        <is>
          <t>Custom B/G - Projected AWP / Rx - w/ Exclusions - Retail 30 - Brand - Year 5</t>
        </is>
      </c>
      <c r="B646" s="2" t="n"/>
      <c r="C646" s="43">
        <f>IF(Combine="Y", $G646, 0)</f>
        <v/>
      </c>
      <c r="D646" s="2" t="n"/>
      <c r="E646" s="4" t="n"/>
      <c r="F646" s="2" t="n"/>
      <c r="G646" s="43">
        <f>IF(G562=0,0,SUMPRODUCT($K562:$M562,$K646:$M646)/G562)</f>
        <v/>
      </c>
      <c r="H646" s="2" t="n"/>
      <c r="I646" s="4" t="n"/>
      <c r="J646" s="2" t="n"/>
      <c r="K646" s="44">
        <f>IF('RPT1'!$J646="","",'RPT1'!$J646)</f>
        <v/>
      </c>
      <c r="L646" s="44">
        <f>IF('RPT2'!$J646="","",'RPT2'!$J646)</f>
        <v/>
      </c>
      <c r="M646" s="44">
        <f>IF('RPT3'!$J646="","",'RPT3'!$J646)</f>
        <v/>
      </c>
    </row>
    <row r="647">
      <c r="A647" s="16" t="inlineStr">
        <is>
          <t>Custom B/G - Projected AWP / Rx - w/ Exclusions - Retail 30 - Generic - Year 1</t>
        </is>
      </c>
      <c r="B647" s="2" t="n"/>
      <c r="C647" s="43">
        <f>IF(Combine="Y", $G647, 0)</f>
        <v/>
      </c>
      <c r="D647" s="2" t="n"/>
      <c r="E647" s="4" t="n"/>
      <c r="F647" s="2" t="n"/>
      <c r="G647" s="43">
        <f>IF(G563=0,0,SUMPRODUCT($K563:$M563,$K647:$M647)/G563)</f>
        <v/>
      </c>
      <c r="H647" s="2" t="n"/>
      <c r="I647" s="4" t="n"/>
      <c r="J647" s="2" t="n"/>
      <c r="K647" s="44">
        <f>IF('RPT1'!$J647="","",'RPT1'!$J647)</f>
        <v/>
      </c>
      <c r="L647" s="44">
        <f>IF('RPT2'!$J647="","",'RPT2'!$J647)</f>
        <v/>
      </c>
      <c r="M647" s="44">
        <f>IF('RPT3'!$J647="","",'RPT3'!$J647)</f>
        <v/>
      </c>
    </row>
    <row r="648">
      <c r="A648" s="16" t="inlineStr">
        <is>
          <t>Custom B/G - Projected AWP / Rx - w/ Exclusions - Retail 30 - Generic - Year 2</t>
        </is>
      </c>
      <c r="B648" s="2" t="n"/>
      <c r="C648" s="43">
        <f>IF(Combine="Y", $G648, 0)</f>
        <v/>
      </c>
      <c r="D648" s="2" t="n"/>
      <c r="E648" s="4" t="n"/>
      <c r="F648" s="2" t="n"/>
      <c r="G648" s="43">
        <f>IF(G564=0,0,SUMPRODUCT($K564:$M564,$K648:$M648)/G564)</f>
        <v/>
      </c>
      <c r="H648" s="2" t="n"/>
      <c r="I648" s="4" t="n"/>
      <c r="J648" s="2" t="n"/>
      <c r="K648" s="44">
        <f>IF('RPT1'!$J648="","",'RPT1'!$J648)</f>
        <v/>
      </c>
      <c r="L648" s="44">
        <f>IF('RPT2'!$J648="","",'RPT2'!$J648)</f>
        <v/>
      </c>
      <c r="M648" s="44">
        <f>IF('RPT3'!$J648="","",'RPT3'!$J648)</f>
        <v/>
      </c>
    </row>
    <row r="649">
      <c r="A649" s="16" t="inlineStr">
        <is>
          <t>Custom B/G - Projected AWP / Rx - w/ Exclusions - Retail 30 - Generic - Year 3</t>
        </is>
      </c>
      <c r="B649" s="2" t="n"/>
      <c r="C649" s="43">
        <f>IF(Combine="Y", $G649, 0)</f>
        <v/>
      </c>
      <c r="D649" s="2" t="n"/>
      <c r="E649" s="4" t="n"/>
      <c r="F649" s="2" t="n"/>
      <c r="G649" s="43">
        <f>IF(G565=0,0,SUMPRODUCT($K565:$M565,$K649:$M649)/G565)</f>
        <v/>
      </c>
      <c r="H649" s="2" t="n"/>
      <c r="I649" s="4" t="n"/>
      <c r="J649" s="2" t="n"/>
      <c r="K649" s="44">
        <f>IF('RPT1'!$J649="","",'RPT1'!$J649)</f>
        <v/>
      </c>
      <c r="L649" s="44">
        <f>IF('RPT2'!$J649="","",'RPT2'!$J649)</f>
        <v/>
      </c>
      <c r="M649" s="44">
        <f>IF('RPT3'!$J649="","",'RPT3'!$J649)</f>
        <v/>
      </c>
    </row>
    <row r="650">
      <c r="A650" s="16" t="inlineStr">
        <is>
          <t>Custom B/G - Projected AWP / Rx - w/ Exclusions - Retail 30 - Generic - Year 4</t>
        </is>
      </c>
      <c r="B650" s="2" t="n"/>
      <c r="C650" s="43">
        <f>IF(Combine="Y", $G650, 0)</f>
        <v/>
      </c>
      <c r="D650" s="2" t="n"/>
      <c r="E650" s="4" t="n"/>
      <c r="F650" s="2" t="n"/>
      <c r="G650" s="43">
        <f>IF(G566=0,0,SUMPRODUCT($K566:$M566,$K650:$M650)/G566)</f>
        <v/>
      </c>
      <c r="H650" s="2" t="n"/>
      <c r="I650" s="4" t="n"/>
      <c r="J650" s="2" t="n"/>
      <c r="K650" s="44">
        <f>IF('RPT1'!$J650="","",'RPT1'!$J650)</f>
        <v/>
      </c>
      <c r="L650" s="44">
        <f>IF('RPT2'!$J650="","",'RPT2'!$J650)</f>
        <v/>
      </c>
      <c r="M650" s="44">
        <f>IF('RPT3'!$J650="","",'RPT3'!$J650)</f>
        <v/>
      </c>
    </row>
    <row r="651">
      <c r="A651" s="16" t="inlineStr">
        <is>
          <t>Custom B/G - Projected AWP / Rx - w/ Exclusions - Retail 30 - Generic - Year 5</t>
        </is>
      </c>
      <c r="B651" s="2" t="n"/>
      <c r="C651" s="43">
        <f>IF(Combine="Y", $G651, 0)</f>
        <v/>
      </c>
      <c r="D651" s="2" t="n"/>
      <c r="E651" s="4" t="n"/>
      <c r="F651" s="2" t="n"/>
      <c r="G651" s="43">
        <f>IF(G567=0,0,SUMPRODUCT($K567:$M567,$K651:$M651)/G567)</f>
        <v/>
      </c>
      <c r="H651" s="2" t="n"/>
      <c r="I651" s="4" t="n"/>
      <c r="J651" s="2" t="n"/>
      <c r="K651" s="44">
        <f>IF('RPT1'!$J651="","",'RPT1'!$J651)</f>
        <v/>
      </c>
      <c r="L651" s="44">
        <f>IF('RPT2'!$J651="","",'RPT2'!$J651)</f>
        <v/>
      </c>
      <c r="M651" s="44">
        <f>IF('RPT3'!$J651="","",'RPT3'!$J651)</f>
        <v/>
      </c>
    </row>
    <row r="652">
      <c r="A652" s="16" t="inlineStr">
        <is>
          <t>Custom B/G - Projected AWP / Rx - w/ Exclusions - Retail 90 - Brand - Year 1</t>
        </is>
      </c>
      <c r="B652" s="2" t="n"/>
      <c r="C652" s="43">
        <f>IF(Combine="Y", $G652, 0)</f>
        <v/>
      </c>
      <c r="D652" s="2" t="n"/>
      <c r="E652" s="4" t="n"/>
      <c r="F652" s="2" t="n"/>
      <c r="G652" s="43">
        <f>IF(G568=0,0,SUMPRODUCT($K568:$M568,$K652:$M652)/G568)</f>
        <v/>
      </c>
      <c r="H652" s="2" t="n"/>
      <c r="I652" s="4" t="n"/>
      <c r="J652" s="2" t="n"/>
      <c r="K652" s="44">
        <f>IF('RPT1'!$J652="","",'RPT1'!$J652)</f>
        <v/>
      </c>
      <c r="L652" s="44">
        <f>IF('RPT2'!$J652="","",'RPT2'!$J652)</f>
        <v/>
      </c>
      <c r="M652" s="44">
        <f>IF('RPT3'!$J652="","",'RPT3'!$J652)</f>
        <v/>
      </c>
    </row>
    <row r="653">
      <c r="A653" s="16" t="inlineStr">
        <is>
          <t>Custom B/G - Projected AWP / Rx - w/ Exclusions - Retail 90 - Brand - Year 2</t>
        </is>
      </c>
      <c r="B653" s="2" t="n"/>
      <c r="C653" s="43">
        <f>IF(Combine="Y", $G653, 0)</f>
        <v/>
      </c>
      <c r="D653" s="2" t="n"/>
      <c r="E653" s="4" t="n"/>
      <c r="F653" s="2" t="n"/>
      <c r="G653" s="43">
        <f>IF(G569=0,0,SUMPRODUCT($K569:$M569,$K653:$M653)/G569)</f>
        <v/>
      </c>
      <c r="H653" s="2" t="n"/>
      <c r="I653" s="4" t="n"/>
      <c r="J653" s="2" t="n"/>
      <c r="K653" s="44">
        <f>IF('RPT1'!$J653="","",'RPT1'!$J653)</f>
        <v/>
      </c>
      <c r="L653" s="44">
        <f>IF('RPT2'!$J653="","",'RPT2'!$J653)</f>
        <v/>
      </c>
      <c r="M653" s="44">
        <f>IF('RPT3'!$J653="","",'RPT3'!$J653)</f>
        <v/>
      </c>
    </row>
    <row r="654">
      <c r="A654" s="16" t="inlineStr">
        <is>
          <t>Custom B/G - Projected AWP / Rx - w/ Exclusions - Retail 90 - Brand - Year 3</t>
        </is>
      </c>
      <c r="B654" s="2" t="n"/>
      <c r="C654" s="43">
        <f>IF(Combine="Y", $G654, 0)</f>
        <v/>
      </c>
      <c r="D654" s="2" t="n"/>
      <c r="E654" s="4" t="n"/>
      <c r="F654" s="2" t="n"/>
      <c r="G654" s="43">
        <f>IF(G570=0,0,SUMPRODUCT($K570:$M570,$K654:$M654)/G570)</f>
        <v/>
      </c>
      <c r="H654" s="2" t="n"/>
      <c r="I654" s="4" t="n"/>
      <c r="J654" s="2" t="n"/>
      <c r="K654" s="44">
        <f>IF('RPT1'!$J654="","",'RPT1'!$J654)</f>
        <v/>
      </c>
      <c r="L654" s="44">
        <f>IF('RPT2'!$J654="","",'RPT2'!$J654)</f>
        <v/>
      </c>
      <c r="M654" s="44">
        <f>IF('RPT3'!$J654="","",'RPT3'!$J654)</f>
        <v/>
      </c>
    </row>
    <row r="655">
      <c r="A655" s="16" t="inlineStr">
        <is>
          <t>Custom B/G - Projected AWP / Rx - w/ Exclusions - Retail 90 - Brand - Year 4</t>
        </is>
      </c>
      <c r="B655" s="2" t="n"/>
      <c r="C655" s="43">
        <f>IF(Combine="Y", $G655, 0)</f>
        <v/>
      </c>
      <c r="D655" s="2" t="n"/>
      <c r="E655" s="4" t="n"/>
      <c r="F655" s="2" t="n"/>
      <c r="G655" s="43">
        <f>IF(G571=0,0,SUMPRODUCT($K571:$M571,$K655:$M655)/G571)</f>
        <v/>
      </c>
      <c r="H655" s="2" t="n"/>
      <c r="I655" s="4" t="n"/>
      <c r="J655" s="2" t="n"/>
      <c r="K655" s="44">
        <f>IF('RPT1'!$J655="","",'RPT1'!$J655)</f>
        <v/>
      </c>
      <c r="L655" s="44">
        <f>IF('RPT2'!$J655="","",'RPT2'!$J655)</f>
        <v/>
      </c>
      <c r="M655" s="44">
        <f>IF('RPT3'!$J655="","",'RPT3'!$J655)</f>
        <v/>
      </c>
    </row>
    <row r="656">
      <c r="A656" s="16" t="inlineStr">
        <is>
          <t>Custom B/G - Projected AWP / Rx - w/ Exclusions - Retail 90 - Brand - Year 5</t>
        </is>
      </c>
      <c r="B656" s="2" t="n"/>
      <c r="C656" s="43">
        <f>IF(Combine="Y", $G656, 0)</f>
        <v/>
      </c>
      <c r="D656" s="2" t="n"/>
      <c r="E656" s="4" t="n"/>
      <c r="F656" s="2" t="n"/>
      <c r="G656" s="43">
        <f>IF(G572=0,0,SUMPRODUCT($K572:$M572,$K656:$M656)/G572)</f>
        <v/>
      </c>
      <c r="H656" s="2" t="n"/>
      <c r="I656" s="4" t="n"/>
      <c r="J656" s="2" t="n"/>
      <c r="K656" s="44">
        <f>IF('RPT1'!$J656="","",'RPT1'!$J656)</f>
        <v/>
      </c>
      <c r="L656" s="44">
        <f>IF('RPT2'!$J656="","",'RPT2'!$J656)</f>
        <v/>
      </c>
      <c r="M656" s="44">
        <f>IF('RPT3'!$J656="","",'RPT3'!$J656)</f>
        <v/>
      </c>
    </row>
    <row r="657">
      <c r="A657" s="16" t="inlineStr">
        <is>
          <t>Custom B/G - Projected AWP / Rx - w/ Exclusions - Retail 90 - Generic - Year 1</t>
        </is>
      </c>
      <c r="B657" s="2" t="n"/>
      <c r="C657" s="43">
        <f>IF(Combine="Y", $G657, 0)</f>
        <v/>
      </c>
      <c r="D657" s="2" t="n"/>
      <c r="E657" s="4" t="n"/>
      <c r="F657" s="2" t="n"/>
      <c r="G657" s="43">
        <f>IF(G573=0,0,SUMPRODUCT($K573:$M573,$K657:$M657)/G573)</f>
        <v/>
      </c>
      <c r="H657" s="2" t="n"/>
      <c r="I657" s="4" t="n"/>
      <c r="J657" s="2" t="n"/>
      <c r="K657" s="44">
        <f>IF('RPT1'!$J657="","",'RPT1'!$J657)</f>
        <v/>
      </c>
      <c r="L657" s="44">
        <f>IF('RPT2'!$J657="","",'RPT2'!$J657)</f>
        <v/>
      </c>
      <c r="M657" s="44">
        <f>IF('RPT3'!$J657="","",'RPT3'!$J657)</f>
        <v/>
      </c>
    </row>
    <row r="658">
      <c r="A658" s="16" t="inlineStr">
        <is>
          <t>Custom B/G - Projected AWP / Rx - w/ Exclusions - Retail 90 - Generic - Year 2</t>
        </is>
      </c>
      <c r="B658" s="2" t="n"/>
      <c r="C658" s="43">
        <f>IF(Combine="Y", $G658, 0)</f>
        <v/>
      </c>
      <c r="D658" s="2" t="n"/>
      <c r="E658" s="4" t="n"/>
      <c r="F658" s="2" t="n"/>
      <c r="G658" s="43">
        <f>IF(G574=0,0,SUMPRODUCT($K574:$M574,$K658:$M658)/G574)</f>
        <v/>
      </c>
      <c r="H658" s="2" t="n"/>
      <c r="I658" s="4" t="n"/>
      <c r="J658" s="2" t="n"/>
      <c r="K658" s="44">
        <f>IF('RPT1'!$J658="","",'RPT1'!$J658)</f>
        <v/>
      </c>
      <c r="L658" s="44">
        <f>IF('RPT2'!$J658="","",'RPT2'!$J658)</f>
        <v/>
      </c>
      <c r="M658" s="44">
        <f>IF('RPT3'!$J658="","",'RPT3'!$J658)</f>
        <v/>
      </c>
    </row>
    <row r="659">
      <c r="A659" s="16" t="inlineStr">
        <is>
          <t>Custom B/G - Projected AWP / Rx - w/ Exclusions - Retail 90 - Generic - Year 3</t>
        </is>
      </c>
      <c r="B659" s="2" t="n"/>
      <c r="C659" s="43">
        <f>IF(Combine="Y", $G659, 0)</f>
        <v/>
      </c>
      <c r="D659" s="2" t="n"/>
      <c r="E659" s="4" t="n"/>
      <c r="F659" s="2" t="n"/>
      <c r="G659" s="43">
        <f>IF(G575=0,0,SUMPRODUCT($K575:$M575,$K659:$M659)/G575)</f>
        <v/>
      </c>
      <c r="H659" s="2" t="n"/>
      <c r="I659" s="4" t="n"/>
      <c r="J659" s="2" t="n"/>
      <c r="K659" s="44">
        <f>IF('RPT1'!$J659="","",'RPT1'!$J659)</f>
        <v/>
      </c>
      <c r="L659" s="44">
        <f>IF('RPT2'!$J659="","",'RPT2'!$J659)</f>
        <v/>
      </c>
      <c r="M659" s="44">
        <f>IF('RPT3'!$J659="","",'RPT3'!$J659)</f>
        <v/>
      </c>
    </row>
    <row r="660">
      <c r="A660" s="16" t="inlineStr">
        <is>
          <t>Custom B/G - Projected AWP / Rx - w/ Exclusions - Retail 90 - Generic - Year 4</t>
        </is>
      </c>
      <c r="B660" s="2" t="n"/>
      <c r="C660" s="43">
        <f>IF(Combine="Y", $G660, 0)</f>
        <v/>
      </c>
      <c r="D660" s="2" t="n"/>
      <c r="E660" s="4" t="n"/>
      <c r="F660" s="2" t="n"/>
      <c r="G660" s="43">
        <f>IF(G576=0,0,SUMPRODUCT($K576:$M576,$K660:$M660)/G576)</f>
        <v/>
      </c>
      <c r="H660" s="2" t="n"/>
      <c r="I660" s="4" t="n"/>
      <c r="J660" s="2" t="n"/>
      <c r="K660" s="44">
        <f>IF('RPT1'!$J660="","",'RPT1'!$J660)</f>
        <v/>
      </c>
      <c r="L660" s="44">
        <f>IF('RPT2'!$J660="","",'RPT2'!$J660)</f>
        <v/>
      </c>
      <c r="M660" s="44">
        <f>IF('RPT3'!$J660="","",'RPT3'!$J660)</f>
        <v/>
      </c>
    </row>
    <row r="661">
      <c r="A661" s="16" t="inlineStr">
        <is>
          <t>Custom B/G - Projected AWP / Rx - w/ Exclusions - Retail 90 - Generic - Year 5</t>
        </is>
      </c>
      <c r="B661" s="2" t="n"/>
      <c r="C661" s="43">
        <f>IF(Combine="Y", $G661, 0)</f>
        <v/>
      </c>
      <c r="D661" s="2" t="n"/>
      <c r="E661" s="4" t="n"/>
      <c r="F661" s="2" t="n"/>
      <c r="G661" s="43">
        <f>IF(G577=0,0,SUMPRODUCT($K577:$M577,$K661:$M661)/G577)</f>
        <v/>
      </c>
      <c r="H661" s="2" t="n"/>
      <c r="I661" s="4" t="n"/>
      <c r="J661" s="2" t="n"/>
      <c r="K661" s="44">
        <f>IF('RPT1'!$J661="","",'RPT1'!$J661)</f>
        <v/>
      </c>
      <c r="L661" s="44">
        <f>IF('RPT2'!$J661="","",'RPT2'!$J661)</f>
        <v/>
      </c>
      <c r="M661" s="44">
        <f>IF('RPT3'!$J661="","",'RPT3'!$J661)</f>
        <v/>
      </c>
    </row>
    <row r="662">
      <c r="A662" s="16" t="inlineStr">
        <is>
          <t>Custom B/G - Projected AWP / Rx - w/ Exclusions - Specialty - Brand - Year 1</t>
        </is>
      </c>
      <c r="B662" s="2" t="n"/>
      <c r="C662" s="43">
        <f>IF(Combine="Y", $G662, 0)</f>
        <v/>
      </c>
      <c r="D662" s="2" t="n"/>
      <c r="E662" s="4" t="n"/>
      <c r="F662" s="2" t="n"/>
      <c r="G662" s="43">
        <f>IF(G578=0,0,SUMPRODUCT($K578:$M578,$K662:$M662)/G578)</f>
        <v/>
      </c>
      <c r="H662" s="2" t="n"/>
      <c r="I662" s="4" t="n"/>
      <c r="J662" s="2" t="n"/>
      <c r="K662" s="44">
        <f>IF('RPT1'!$J662="","",'RPT1'!$J662)</f>
        <v/>
      </c>
      <c r="L662" s="44">
        <f>IF('RPT2'!$J662="","",'RPT2'!$J662)</f>
        <v/>
      </c>
      <c r="M662" s="44">
        <f>IF('RPT3'!$J662="","",'RPT3'!$J662)</f>
        <v/>
      </c>
    </row>
    <row r="663">
      <c r="A663" s="16" t="inlineStr">
        <is>
          <t>Custom B/G - Projected AWP / Rx - w/ Exclusions - Specialty - Brand - Year 2</t>
        </is>
      </c>
      <c r="B663" s="2" t="n"/>
      <c r="C663" s="43">
        <f>IF(Combine="Y", $G663, 0)</f>
        <v/>
      </c>
      <c r="D663" s="2" t="n"/>
      <c r="E663" s="4" t="n"/>
      <c r="F663" s="2" t="n"/>
      <c r="G663" s="43">
        <f>IF(G579=0,0,SUMPRODUCT($K579:$M579,$K663:$M663)/G579)</f>
        <v/>
      </c>
      <c r="H663" s="2" t="n"/>
      <c r="I663" s="4" t="n"/>
      <c r="J663" s="2" t="n"/>
      <c r="K663" s="44">
        <f>IF('RPT1'!$J663="","",'RPT1'!$J663)</f>
        <v/>
      </c>
      <c r="L663" s="44">
        <f>IF('RPT2'!$J663="","",'RPT2'!$J663)</f>
        <v/>
      </c>
      <c r="M663" s="44">
        <f>IF('RPT3'!$J663="","",'RPT3'!$J663)</f>
        <v/>
      </c>
    </row>
    <row r="664">
      <c r="A664" s="16" t="inlineStr">
        <is>
          <t>Custom B/G - Projected AWP / Rx - w/ Exclusions - Specialty - Brand - Year 3</t>
        </is>
      </c>
      <c r="B664" s="2" t="n"/>
      <c r="C664" s="43">
        <f>IF(Combine="Y", $G664, 0)</f>
        <v/>
      </c>
      <c r="D664" s="2" t="n"/>
      <c r="E664" s="4" t="n"/>
      <c r="F664" s="2" t="n"/>
      <c r="G664" s="43">
        <f>IF(G580=0,0,SUMPRODUCT($K580:$M580,$K664:$M664)/G580)</f>
        <v/>
      </c>
      <c r="H664" s="2" t="n"/>
      <c r="I664" s="4" t="n"/>
      <c r="J664" s="2" t="n"/>
      <c r="K664" s="44">
        <f>IF('RPT1'!$J664="","",'RPT1'!$J664)</f>
        <v/>
      </c>
      <c r="L664" s="44">
        <f>IF('RPT2'!$J664="","",'RPT2'!$J664)</f>
        <v/>
      </c>
      <c r="M664" s="44">
        <f>IF('RPT3'!$J664="","",'RPT3'!$J664)</f>
        <v/>
      </c>
    </row>
    <row r="665">
      <c r="A665" s="16" t="inlineStr">
        <is>
          <t>Custom B/G - Projected AWP / Rx - w/ Exclusions - Specialty - Brand - Year 4</t>
        </is>
      </c>
      <c r="B665" s="2" t="n"/>
      <c r="C665" s="43">
        <f>IF(Combine="Y", $G665, 0)</f>
        <v/>
      </c>
      <c r="D665" s="2" t="n"/>
      <c r="E665" s="4" t="n"/>
      <c r="F665" s="2" t="n"/>
      <c r="G665" s="43">
        <f>IF(G581=0,0,SUMPRODUCT($K581:$M581,$K665:$M665)/G581)</f>
        <v/>
      </c>
      <c r="H665" s="2" t="n"/>
      <c r="I665" s="4" t="n"/>
      <c r="J665" s="2" t="n"/>
      <c r="K665" s="44">
        <f>IF('RPT1'!$J665="","",'RPT1'!$J665)</f>
        <v/>
      </c>
      <c r="L665" s="44">
        <f>IF('RPT2'!$J665="","",'RPT2'!$J665)</f>
        <v/>
      </c>
      <c r="M665" s="44">
        <f>IF('RPT3'!$J665="","",'RPT3'!$J665)</f>
        <v/>
      </c>
    </row>
    <row r="666">
      <c r="A666" s="16" t="inlineStr">
        <is>
          <t>Custom B/G - Projected AWP / Rx - w/ Exclusions - Specialty - Brand - Year 5</t>
        </is>
      </c>
      <c r="B666" s="2" t="n"/>
      <c r="C666" s="43">
        <f>IF(Combine="Y", $G666, 0)</f>
        <v/>
      </c>
      <c r="D666" s="2" t="n"/>
      <c r="E666" s="4" t="n"/>
      <c r="F666" s="2" t="n"/>
      <c r="G666" s="43">
        <f>IF(G582=0,0,SUMPRODUCT($K582:$M582,$K666:$M666)/G582)</f>
        <v/>
      </c>
      <c r="H666" s="2" t="n"/>
      <c r="I666" s="4" t="n"/>
      <c r="J666" s="2" t="n"/>
      <c r="K666" s="44">
        <f>IF('RPT1'!$J666="","",'RPT1'!$J666)</f>
        <v/>
      </c>
      <c r="L666" s="44">
        <f>IF('RPT2'!$J666="","",'RPT2'!$J666)</f>
        <v/>
      </c>
      <c r="M666" s="44">
        <f>IF('RPT3'!$J666="","",'RPT3'!$J666)</f>
        <v/>
      </c>
    </row>
    <row r="667">
      <c r="A667" s="16" t="inlineStr">
        <is>
          <t>Custom B/G - Projected AWP / Rx - w/ Exclusions - Specialty - Generic - Year 1</t>
        </is>
      </c>
      <c r="B667" s="2" t="n"/>
      <c r="C667" s="43">
        <f>IF(Combine="Y", $G667, 0)</f>
        <v/>
      </c>
      <c r="D667" s="2" t="n"/>
      <c r="E667" s="4" t="n"/>
      <c r="F667" s="2" t="n"/>
      <c r="G667" s="43">
        <f>IF(G583=0,0,SUMPRODUCT($K583:$M583,$K667:$M667)/G583)</f>
        <v/>
      </c>
      <c r="H667" s="2" t="n"/>
      <c r="I667" s="4" t="n"/>
      <c r="J667" s="2" t="n"/>
      <c r="K667" s="44">
        <f>IF('RPT1'!$J667="","",'RPT1'!$J667)</f>
        <v/>
      </c>
      <c r="L667" s="44">
        <f>IF('RPT2'!$J667="","",'RPT2'!$J667)</f>
        <v/>
      </c>
      <c r="M667" s="44">
        <f>IF('RPT3'!$J667="","",'RPT3'!$J667)</f>
        <v/>
      </c>
    </row>
    <row r="668">
      <c r="A668" s="16" t="inlineStr">
        <is>
          <t>Custom B/G - Projected AWP / Rx - w/ Exclusions - Specialty - Generic - Year 2</t>
        </is>
      </c>
      <c r="B668" s="2" t="n"/>
      <c r="C668" s="43">
        <f>IF(Combine="Y", $G668, 0)</f>
        <v/>
      </c>
      <c r="D668" s="2" t="n"/>
      <c r="E668" s="4" t="n"/>
      <c r="F668" s="2" t="n"/>
      <c r="G668" s="43">
        <f>IF(G584=0,0,SUMPRODUCT($K584:$M584,$K668:$M668)/G584)</f>
        <v/>
      </c>
      <c r="H668" s="2" t="n"/>
      <c r="I668" s="4" t="n"/>
      <c r="J668" s="2" t="n"/>
      <c r="K668" s="44">
        <f>IF('RPT1'!$J668="","",'RPT1'!$J668)</f>
        <v/>
      </c>
      <c r="L668" s="44">
        <f>IF('RPT2'!$J668="","",'RPT2'!$J668)</f>
        <v/>
      </c>
      <c r="M668" s="44">
        <f>IF('RPT3'!$J668="","",'RPT3'!$J668)</f>
        <v/>
      </c>
    </row>
    <row r="669">
      <c r="A669" s="16" t="inlineStr">
        <is>
          <t>Custom B/G - Projected AWP / Rx - w/ Exclusions - Specialty - Generic - Year 3</t>
        </is>
      </c>
      <c r="B669" s="2" t="n"/>
      <c r="C669" s="43">
        <f>IF(Combine="Y", $G669, 0)</f>
        <v/>
      </c>
      <c r="D669" s="2" t="n"/>
      <c r="E669" s="4" t="n"/>
      <c r="F669" s="2" t="n"/>
      <c r="G669" s="43">
        <f>IF(G585=0,0,SUMPRODUCT($K585:$M585,$K669:$M669)/G585)</f>
        <v/>
      </c>
      <c r="H669" s="2" t="n"/>
      <c r="I669" s="4" t="n"/>
      <c r="J669" s="2" t="n"/>
      <c r="K669" s="44">
        <f>IF('RPT1'!$J669="","",'RPT1'!$J669)</f>
        <v/>
      </c>
      <c r="L669" s="44">
        <f>IF('RPT2'!$J669="","",'RPT2'!$J669)</f>
        <v/>
      </c>
      <c r="M669" s="44">
        <f>IF('RPT3'!$J669="","",'RPT3'!$J669)</f>
        <v/>
      </c>
    </row>
    <row r="670">
      <c r="A670" s="16" t="inlineStr">
        <is>
          <t>Custom B/G - Projected AWP / Rx - w/ Exclusions - Specialty - Generic - Year 4</t>
        </is>
      </c>
      <c r="B670" s="2" t="n"/>
      <c r="C670" s="43">
        <f>IF(Combine="Y", $G670, 0)</f>
        <v/>
      </c>
      <c r="D670" s="2" t="n"/>
      <c r="E670" s="4" t="n"/>
      <c r="F670" s="2" t="n"/>
      <c r="G670" s="43">
        <f>IF(G586=0,0,SUMPRODUCT($K586:$M586,$K670:$M670)/G586)</f>
        <v/>
      </c>
      <c r="H670" s="2" t="n"/>
      <c r="I670" s="4" t="n"/>
      <c r="J670" s="2" t="n"/>
      <c r="K670" s="44">
        <f>IF('RPT1'!$J670="","",'RPT1'!$J670)</f>
        <v/>
      </c>
      <c r="L670" s="44">
        <f>IF('RPT2'!$J670="","",'RPT2'!$J670)</f>
        <v/>
      </c>
      <c r="M670" s="44">
        <f>IF('RPT3'!$J670="","",'RPT3'!$J670)</f>
        <v/>
      </c>
    </row>
    <row r="671">
      <c r="A671" s="16" t="inlineStr">
        <is>
          <t>Custom B/G - Projected AWP / Rx - w/ Exclusions - Specialty - Generic - Year 5</t>
        </is>
      </c>
      <c r="B671" s="2" t="n"/>
      <c r="C671" s="43">
        <f>IF(Combine="Y", $G671, 0)</f>
        <v/>
      </c>
      <c r="D671" s="2" t="n"/>
      <c r="E671" s="4" t="n"/>
      <c r="F671" s="2" t="n"/>
      <c r="G671" s="43">
        <f>IF(G587=0,0,SUMPRODUCT($K587:$M587,$K671:$M671)/G587)</f>
        <v/>
      </c>
      <c r="H671" s="2" t="n"/>
      <c r="I671" s="4" t="n"/>
      <c r="J671" s="2" t="n"/>
      <c r="K671" s="44">
        <f>IF('RPT1'!$J671="","",'RPT1'!$J671)</f>
        <v/>
      </c>
      <c r="L671" s="44">
        <f>IF('RPT2'!$J671="","",'RPT2'!$J671)</f>
        <v/>
      </c>
      <c r="M671" s="44">
        <f>IF('RPT3'!$J671="","",'RPT3'!$J671)</f>
        <v/>
      </c>
    </row>
    <row r="672">
      <c r="A672" s="31" t="n"/>
      <c r="B672" s="2" t="n"/>
      <c r="C672" s="14" t="n"/>
      <c r="D672" s="2" t="n"/>
      <c r="E672" s="4" t="n"/>
      <c r="F672" s="2" t="n"/>
      <c r="G672" s="14" t="n"/>
      <c r="H672" s="2" t="n"/>
      <c r="I672" s="4" t="n"/>
      <c r="J672" s="2" t="n"/>
      <c r="K672" s="32" t="n"/>
      <c r="L672" s="32" t="n"/>
      <c r="M672" s="32" t="n"/>
    </row>
    <row r="673">
      <c r="A673" s="12" t="inlineStr">
        <is>
          <t>Custom B/G - Base Scripts - w/o Exclusions</t>
        </is>
      </c>
      <c r="B673" s="2" t="n"/>
      <c r="C673" s="14" t="n"/>
      <c r="D673" s="2" t="n"/>
      <c r="E673" s="4" t="n"/>
      <c r="F673" s="2" t="n"/>
      <c r="G673" s="14" t="n"/>
      <c r="H673" s="2" t="n"/>
      <c r="I673" s="4" t="n"/>
      <c r="J673" s="2" t="n"/>
      <c r="K673" s="32">
        <f>IF('RPT1'!$J673="","",'RPT1'!$J673)</f>
        <v/>
      </c>
      <c r="L673" s="32">
        <f>IF('RPT2'!$J673="","",'RPT2'!$J673)</f>
        <v/>
      </c>
      <c r="M673" s="32">
        <f>IF('RPT3'!$J673="","",'RPT3'!$J673)</f>
        <v/>
      </c>
    </row>
    <row r="674">
      <c r="A674" s="16" t="inlineStr">
        <is>
          <t>Custom B/G - Base Scripts - w/o Exclusions - Mail - Brand - Base - Maintenance</t>
        </is>
      </c>
      <c r="B674" s="2" t="n"/>
      <c r="C674" s="33">
        <f>IF(Combine="Y", $G674, 0)</f>
        <v/>
      </c>
      <c r="D674" s="2" t="n"/>
      <c r="E674" s="4" t="n"/>
      <c r="F674" s="2" t="n"/>
      <c r="G674" s="33">
        <f>SUM($K674:$M674)</f>
        <v/>
      </c>
      <c r="H674" s="2" t="n"/>
      <c r="I674" s="4" t="n"/>
      <c r="J674" s="2" t="n"/>
      <c r="K674" s="34">
        <f>IF('RPT1'!$J674="","",'RPT1'!$J674)</f>
        <v/>
      </c>
      <c r="L674" s="34">
        <f>IF('RPT2'!$J674="","",'RPT2'!$J674)</f>
        <v/>
      </c>
      <c r="M674" s="34">
        <f>IF('RPT3'!$J674="","",'RPT3'!$J674)</f>
        <v/>
      </c>
    </row>
    <row r="675">
      <c r="A675" s="16" t="inlineStr">
        <is>
          <t>Custom B/G - Base Scripts - w/o Exclusions - Mail - Generic - Base - Maintenance</t>
        </is>
      </c>
      <c r="B675" s="2" t="n"/>
      <c r="C675" s="33">
        <f>IF(Combine="Y", $G675, 0)</f>
        <v/>
      </c>
      <c r="D675" s="2" t="n"/>
      <c r="E675" s="4" t="n"/>
      <c r="F675" s="2" t="n"/>
      <c r="G675" s="33">
        <f>SUM($K675:$M675)</f>
        <v/>
      </c>
      <c r="H675" s="2" t="n"/>
      <c r="I675" s="4" t="n"/>
      <c r="J675" s="2" t="n"/>
      <c r="K675" s="34">
        <f>IF('RPT1'!$J675="","",'RPT1'!$J675)</f>
        <v/>
      </c>
      <c r="L675" s="34">
        <f>IF('RPT2'!$J675="","",'RPT2'!$J675)</f>
        <v/>
      </c>
      <c r="M675" s="34">
        <f>IF('RPT3'!$J675="","",'RPT3'!$J675)</f>
        <v/>
      </c>
    </row>
    <row r="676">
      <c r="A676" s="16" t="inlineStr">
        <is>
          <t>Custom B/G - Base Scripts - w/o Exclusions - Retail 30 - Brand - Base - Maintenance</t>
        </is>
      </c>
      <c r="B676" s="2" t="n"/>
      <c r="C676" s="33">
        <f>IF(Combine="Y", $G676, 0)</f>
        <v/>
      </c>
      <c r="D676" s="2" t="n"/>
      <c r="E676" s="4" t="n"/>
      <c r="F676" s="2" t="n"/>
      <c r="G676" s="33">
        <f>SUM($K676:$M676)</f>
        <v/>
      </c>
      <c r="H676" s="2" t="n"/>
      <c r="I676" s="4" t="n"/>
      <c r="J676" s="2" t="n"/>
      <c r="K676" s="34">
        <f>IF('RPT1'!$J676="","",'RPT1'!$J676)</f>
        <v/>
      </c>
      <c r="L676" s="34">
        <f>IF('RPT2'!$J676="","",'RPT2'!$J676)</f>
        <v/>
      </c>
      <c r="M676" s="34">
        <f>IF('RPT3'!$J676="","",'RPT3'!$J676)</f>
        <v/>
      </c>
    </row>
    <row r="677">
      <c r="A677" s="16" t="inlineStr">
        <is>
          <t>Custom B/G - Base Scripts - w/o Exclusions - Retail 30 - Generic - Base - Maintenance</t>
        </is>
      </c>
      <c r="B677" s="2" t="n"/>
      <c r="C677" s="33">
        <f>IF(Combine="Y", $G677, 0)</f>
        <v/>
      </c>
      <c r="D677" s="2" t="n"/>
      <c r="E677" s="4" t="n"/>
      <c r="F677" s="2" t="n"/>
      <c r="G677" s="33">
        <f>SUM($K677:$M677)</f>
        <v/>
      </c>
      <c r="H677" s="2" t="n"/>
      <c r="I677" s="4" t="n"/>
      <c r="J677" s="2" t="n"/>
      <c r="K677" s="34">
        <f>IF('RPT1'!$J677="","",'RPT1'!$J677)</f>
        <v/>
      </c>
      <c r="L677" s="34">
        <f>IF('RPT2'!$J677="","",'RPT2'!$J677)</f>
        <v/>
      </c>
      <c r="M677" s="34">
        <f>IF('RPT3'!$J677="","",'RPT3'!$J677)</f>
        <v/>
      </c>
    </row>
    <row r="678">
      <c r="A678" s="16" t="inlineStr">
        <is>
          <t>Custom B/G - Base Scripts - w/o Exclusions - Retail 90 - Brand - Base - Maintenance</t>
        </is>
      </c>
      <c r="B678" s="2" t="n"/>
      <c r="C678" s="33">
        <f>IF(Combine="Y", $G678, 0)</f>
        <v/>
      </c>
      <c r="D678" s="2" t="n"/>
      <c r="E678" s="4" t="n"/>
      <c r="F678" s="2" t="n"/>
      <c r="G678" s="33">
        <f>SUM($K678:$M678)</f>
        <v/>
      </c>
      <c r="H678" s="2" t="n"/>
      <c r="I678" s="4" t="n"/>
      <c r="J678" s="2" t="n"/>
      <c r="K678" s="34">
        <f>IF('RPT1'!$J678="","",'RPT1'!$J678)</f>
        <v/>
      </c>
      <c r="L678" s="34">
        <f>IF('RPT2'!$J678="","",'RPT2'!$J678)</f>
        <v/>
      </c>
      <c r="M678" s="34">
        <f>IF('RPT3'!$J678="","",'RPT3'!$J678)</f>
        <v/>
      </c>
    </row>
    <row r="679">
      <c r="A679" s="16" t="inlineStr">
        <is>
          <t>Custom B/G - Base Scripts - w/o Exclusions - Retail 90 - Generic - Base - Maintenance</t>
        </is>
      </c>
      <c r="B679" s="2" t="n"/>
      <c r="C679" s="33">
        <f>IF(Combine="Y", $G679, 0)</f>
        <v/>
      </c>
      <c r="D679" s="2" t="n"/>
      <c r="E679" s="4" t="n"/>
      <c r="F679" s="2" t="n"/>
      <c r="G679" s="33">
        <f>SUM($K679:$M679)</f>
        <v/>
      </c>
      <c r="H679" s="2" t="n"/>
      <c r="I679" s="4" t="n"/>
      <c r="J679" s="2" t="n"/>
      <c r="K679" s="34">
        <f>IF('RPT1'!$J679="","",'RPT1'!$J679)</f>
        <v/>
      </c>
      <c r="L679" s="34">
        <f>IF('RPT2'!$J679="","",'RPT2'!$J679)</f>
        <v/>
      </c>
      <c r="M679" s="34">
        <f>IF('RPT3'!$J679="","",'RPT3'!$J679)</f>
        <v/>
      </c>
    </row>
    <row r="680">
      <c r="A680" s="16" t="inlineStr">
        <is>
          <t>Custom B/G - Base Scripts - w/o Exclusions - Specialty - Brand - Base - Maintenance</t>
        </is>
      </c>
      <c r="B680" s="2" t="n"/>
      <c r="C680" s="33">
        <f>IF(Combine="Y", $G680, 0)</f>
        <v/>
      </c>
      <c r="D680" s="2" t="n"/>
      <c r="E680" s="4" t="n"/>
      <c r="F680" s="2" t="n"/>
      <c r="G680" s="33">
        <f>SUM($K680:$M680)</f>
        <v/>
      </c>
      <c r="H680" s="2" t="n"/>
      <c r="I680" s="4" t="n"/>
      <c r="J680" s="2" t="n"/>
      <c r="K680" s="34">
        <f>IF('RPT1'!$J680="","",'RPT1'!$J680)</f>
        <v/>
      </c>
      <c r="L680" s="34">
        <f>IF('RPT2'!$J680="","",'RPT2'!$J680)</f>
        <v/>
      </c>
      <c r="M680" s="34">
        <f>IF('RPT3'!$J680="","",'RPT3'!$J680)</f>
        <v/>
      </c>
    </row>
    <row r="681">
      <c r="A681" s="16" t="inlineStr">
        <is>
          <t>Custom B/G - Base Scripts - w/o Exclusions - Specialty - Generic - Base - Maintenance</t>
        </is>
      </c>
      <c r="B681" s="2" t="n"/>
      <c r="C681" s="33">
        <f>IF(Combine="Y", $G681, 0)</f>
        <v/>
      </c>
      <c r="D681" s="2" t="n"/>
      <c r="E681" s="4" t="n"/>
      <c r="F681" s="2" t="n"/>
      <c r="G681" s="33">
        <f>SUM($K681:$M681)</f>
        <v/>
      </c>
      <c r="H681" s="2" t="n"/>
      <c r="I681" s="4" t="n"/>
      <c r="J681" s="2" t="n"/>
      <c r="K681" s="34">
        <f>IF('RPT1'!$J681="","",'RPT1'!$J681)</f>
        <v/>
      </c>
      <c r="L681" s="34">
        <f>IF('RPT2'!$J681="","",'RPT2'!$J681)</f>
        <v/>
      </c>
      <c r="M681" s="34">
        <f>IF('RPT3'!$J681="","",'RPT3'!$J681)</f>
        <v/>
      </c>
    </row>
    <row r="682">
      <c r="A682" s="16" t="inlineStr">
        <is>
          <t>Custom B/G - Base Scripts - w/o Exclusions - Mail - Brand - Base - Non-Maintenance</t>
        </is>
      </c>
      <c r="B682" s="2" t="n"/>
      <c r="C682" s="33">
        <f>IF(Combine="Y", $G682, 0)</f>
        <v/>
      </c>
      <c r="D682" s="2" t="n"/>
      <c r="E682" s="4" t="n"/>
      <c r="F682" s="2" t="n"/>
      <c r="G682" s="33">
        <f>SUM($K682:$M682)</f>
        <v/>
      </c>
      <c r="H682" s="2" t="n"/>
      <c r="I682" s="4" t="n"/>
      <c r="J682" s="2" t="n"/>
      <c r="K682" s="34">
        <f>IF('RPT1'!$J682="","",'RPT1'!$J682)</f>
        <v/>
      </c>
      <c r="L682" s="34">
        <f>IF('RPT2'!$J682="","",'RPT2'!$J682)</f>
        <v/>
      </c>
      <c r="M682" s="34">
        <f>IF('RPT3'!$J682="","",'RPT3'!$J682)</f>
        <v/>
      </c>
    </row>
    <row r="683">
      <c r="A683" s="16" t="inlineStr">
        <is>
          <t>Custom B/G - Base Scripts - w/o Exclusions - Mail - Generic - Base - Non-Maintenance</t>
        </is>
      </c>
      <c r="B683" s="2" t="n"/>
      <c r="C683" s="33">
        <f>IF(Combine="Y", $G683, 0)</f>
        <v/>
      </c>
      <c r="D683" s="2" t="n"/>
      <c r="E683" s="4" t="n"/>
      <c r="F683" s="2" t="n"/>
      <c r="G683" s="33">
        <f>SUM($K683:$M683)</f>
        <v/>
      </c>
      <c r="H683" s="2" t="n"/>
      <c r="I683" s="4" t="n"/>
      <c r="J683" s="2" t="n"/>
      <c r="K683" s="34">
        <f>IF('RPT1'!$J683="","",'RPT1'!$J683)</f>
        <v/>
      </c>
      <c r="L683" s="34">
        <f>IF('RPT2'!$J683="","",'RPT2'!$J683)</f>
        <v/>
      </c>
      <c r="M683" s="34">
        <f>IF('RPT3'!$J683="","",'RPT3'!$J683)</f>
        <v/>
      </c>
    </row>
    <row r="684">
      <c r="A684" s="16" t="inlineStr">
        <is>
          <t>Custom B/G - Base Scripts - w/o Exclusions - Retail 30 - Brand - Base - Non-Maintenance</t>
        </is>
      </c>
      <c r="B684" s="2" t="n"/>
      <c r="C684" s="33">
        <f>IF(Combine="Y", $G684, 0)</f>
        <v/>
      </c>
      <c r="D684" s="2" t="n"/>
      <c r="E684" s="4" t="n"/>
      <c r="F684" s="2" t="n"/>
      <c r="G684" s="33">
        <f>SUM($K684:$M684)</f>
        <v/>
      </c>
      <c r="H684" s="2" t="n"/>
      <c r="I684" s="4" t="n"/>
      <c r="J684" s="2" t="n"/>
      <c r="K684" s="34">
        <f>IF('RPT1'!$J684="","",'RPT1'!$J684)</f>
        <v/>
      </c>
      <c r="L684" s="34">
        <f>IF('RPT2'!$J684="","",'RPT2'!$J684)</f>
        <v/>
      </c>
      <c r="M684" s="34">
        <f>IF('RPT3'!$J684="","",'RPT3'!$J684)</f>
        <v/>
      </c>
    </row>
    <row r="685">
      <c r="A685" s="16" t="inlineStr">
        <is>
          <t>Custom B/G - Base Scripts - w/o Exclusions - Retail 30 - Generic - Base - Non-Maintenance</t>
        </is>
      </c>
      <c r="B685" s="2" t="n"/>
      <c r="C685" s="33">
        <f>IF(Combine="Y", $G685, 0)</f>
        <v/>
      </c>
      <c r="D685" s="2" t="n"/>
      <c r="E685" s="4" t="n"/>
      <c r="F685" s="2" t="n"/>
      <c r="G685" s="33">
        <f>SUM($K685:$M685)</f>
        <v/>
      </c>
      <c r="H685" s="2" t="n"/>
      <c r="I685" s="4" t="n"/>
      <c r="J685" s="2" t="n"/>
      <c r="K685" s="34">
        <f>IF('RPT1'!$J685="","",'RPT1'!$J685)</f>
        <v/>
      </c>
      <c r="L685" s="34">
        <f>IF('RPT2'!$J685="","",'RPT2'!$J685)</f>
        <v/>
      </c>
      <c r="M685" s="34">
        <f>IF('RPT3'!$J685="","",'RPT3'!$J685)</f>
        <v/>
      </c>
    </row>
    <row r="686">
      <c r="A686" s="16" t="inlineStr">
        <is>
          <t>Custom B/G - Base Scripts - w/o Exclusions - Retail 90 - Brand - Base - Non-Maintenance</t>
        </is>
      </c>
      <c r="B686" s="2" t="n"/>
      <c r="C686" s="33">
        <f>IF(Combine="Y", $G686, 0)</f>
        <v/>
      </c>
      <c r="D686" s="2" t="n"/>
      <c r="E686" s="4" t="n"/>
      <c r="F686" s="2" t="n"/>
      <c r="G686" s="33">
        <f>SUM($K686:$M686)</f>
        <v/>
      </c>
      <c r="H686" s="2" t="n"/>
      <c r="I686" s="4" t="n"/>
      <c r="J686" s="2" t="n"/>
      <c r="K686" s="34">
        <f>IF('RPT1'!$J686="","",'RPT1'!$J686)</f>
        <v/>
      </c>
      <c r="L686" s="34">
        <f>IF('RPT2'!$J686="","",'RPT2'!$J686)</f>
        <v/>
      </c>
      <c r="M686" s="34">
        <f>IF('RPT3'!$J686="","",'RPT3'!$J686)</f>
        <v/>
      </c>
    </row>
    <row r="687">
      <c r="A687" s="16" t="inlineStr">
        <is>
          <t>Custom B/G - Base Scripts - w/o Exclusions - Retail 90 - Generic - Base - Non-Maintenance</t>
        </is>
      </c>
      <c r="B687" s="2" t="n"/>
      <c r="C687" s="33">
        <f>IF(Combine="Y", $G687, 0)</f>
        <v/>
      </c>
      <c r="D687" s="2" t="n"/>
      <c r="E687" s="4" t="n"/>
      <c r="F687" s="2" t="n"/>
      <c r="G687" s="33">
        <f>SUM($K687:$M687)</f>
        <v/>
      </c>
      <c r="H687" s="2" t="n"/>
      <c r="I687" s="4" t="n"/>
      <c r="J687" s="2" t="n"/>
      <c r="K687" s="34">
        <f>IF('RPT1'!$J687="","",'RPT1'!$J687)</f>
        <v/>
      </c>
      <c r="L687" s="34">
        <f>IF('RPT2'!$J687="","",'RPT2'!$J687)</f>
        <v/>
      </c>
      <c r="M687" s="34">
        <f>IF('RPT3'!$J687="","",'RPT3'!$J687)</f>
        <v/>
      </c>
    </row>
    <row r="688">
      <c r="A688" s="16" t="inlineStr">
        <is>
          <t>Custom B/G - Base Scripts - w/o Exclusions - Specialty - Brand - Base - Non-Maintenance</t>
        </is>
      </c>
      <c r="B688" s="2" t="n"/>
      <c r="C688" s="33">
        <f>IF(Combine="Y", $G688, 0)</f>
        <v/>
      </c>
      <c r="D688" s="2" t="n"/>
      <c r="E688" s="4" t="n"/>
      <c r="F688" s="2" t="n"/>
      <c r="G688" s="33">
        <f>SUM($K688:$M688)</f>
        <v/>
      </c>
      <c r="H688" s="2" t="n"/>
      <c r="I688" s="4" t="n"/>
      <c r="J688" s="2" t="n"/>
      <c r="K688" s="34">
        <f>IF('RPT1'!$J688="","",'RPT1'!$J688)</f>
        <v/>
      </c>
      <c r="L688" s="34">
        <f>IF('RPT2'!$J688="","",'RPT2'!$J688)</f>
        <v/>
      </c>
      <c r="M688" s="34">
        <f>IF('RPT3'!$J688="","",'RPT3'!$J688)</f>
        <v/>
      </c>
    </row>
    <row r="689">
      <c r="A689" s="16" t="inlineStr">
        <is>
          <t>Custom B/G - Base Scripts - w/o Exclusions - Specialty - Generic - Base - Non-Maintenance</t>
        </is>
      </c>
      <c r="B689" s="2" t="n"/>
      <c r="C689" s="33">
        <f>IF(Combine="Y", $G689, 0)</f>
        <v/>
      </c>
      <c r="D689" s="2" t="n"/>
      <c r="E689" s="4" t="n"/>
      <c r="F689" s="2" t="n"/>
      <c r="G689" s="33">
        <f>SUM($K689:$M689)</f>
        <v/>
      </c>
      <c r="H689" s="2" t="n"/>
      <c r="I689" s="4" t="n"/>
      <c r="J689" s="2" t="n"/>
      <c r="K689" s="34">
        <f>IF('RPT1'!$J689="","",'RPT1'!$J689)</f>
        <v/>
      </c>
      <c r="L689" s="34">
        <f>IF('RPT2'!$J689="","",'RPT2'!$J689)</f>
        <v/>
      </c>
      <c r="M689" s="34">
        <f>IF('RPT3'!$J689="","",'RPT3'!$J689)</f>
        <v/>
      </c>
    </row>
    <row r="690">
      <c r="A690" s="16" t="inlineStr">
        <is>
          <t>Custom B/G - Base Scripts - w/o Exclusions - Mail - Brand - Base - Total</t>
        </is>
      </c>
      <c r="B690" s="2" t="n"/>
      <c r="C690" s="33">
        <f>IF(Combine="Y", $G690, 0)</f>
        <v/>
      </c>
      <c r="D690" s="2" t="n"/>
      <c r="E690" s="4" t="n"/>
      <c r="F690" s="2" t="n"/>
      <c r="G690" s="33">
        <f>SUM($K690:$M690)</f>
        <v/>
      </c>
      <c r="H690" s="2" t="n"/>
      <c r="I690" s="4" t="n"/>
      <c r="J690" s="2" t="n"/>
      <c r="K690" s="34">
        <f>IF('RPT1'!$J690="","",'RPT1'!$J690)</f>
        <v/>
      </c>
      <c r="L690" s="34">
        <f>IF('RPT2'!$J690="","",'RPT2'!$J690)</f>
        <v/>
      </c>
      <c r="M690" s="34">
        <f>IF('RPT3'!$J690="","",'RPT3'!$J690)</f>
        <v/>
      </c>
    </row>
    <row r="691">
      <c r="A691" s="16" t="inlineStr">
        <is>
          <t>Custom B/G - Base Scripts - w/o Exclusions - Mail - Generic - Base - Total</t>
        </is>
      </c>
      <c r="B691" s="2" t="n"/>
      <c r="C691" s="33">
        <f>IF(Combine="Y", $G691, 0)</f>
        <v/>
      </c>
      <c r="D691" s="2" t="n"/>
      <c r="E691" s="4" t="n"/>
      <c r="F691" s="2" t="n"/>
      <c r="G691" s="33">
        <f>SUM($K691:$M691)</f>
        <v/>
      </c>
      <c r="H691" s="2" t="n"/>
      <c r="I691" s="4" t="n"/>
      <c r="J691" s="2" t="n"/>
      <c r="K691" s="34">
        <f>IF('RPT1'!$J691="","",'RPT1'!$J691)</f>
        <v/>
      </c>
      <c r="L691" s="34">
        <f>IF('RPT2'!$J691="","",'RPT2'!$J691)</f>
        <v/>
      </c>
      <c r="M691" s="34">
        <f>IF('RPT3'!$J691="","",'RPT3'!$J691)</f>
        <v/>
      </c>
    </row>
    <row r="692">
      <c r="A692" s="16" t="inlineStr">
        <is>
          <t>Custom B/G - Base Scripts - w/o Exclusions - Retail 30 - Brand - Base - Total</t>
        </is>
      </c>
      <c r="B692" s="2" t="n"/>
      <c r="C692" s="33">
        <f>IF(Combine="Y", $G692, 0)</f>
        <v/>
      </c>
      <c r="D692" s="2" t="n"/>
      <c r="E692" s="4" t="n"/>
      <c r="F692" s="2" t="n"/>
      <c r="G692" s="33">
        <f>SUM($K692:$M692)</f>
        <v/>
      </c>
      <c r="H692" s="2" t="n"/>
      <c r="I692" s="4" t="n"/>
      <c r="J692" s="2" t="n"/>
      <c r="K692" s="34">
        <f>IF('RPT1'!$J692="","",'RPT1'!$J692)</f>
        <v/>
      </c>
      <c r="L692" s="34">
        <f>IF('RPT2'!$J692="","",'RPT2'!$J692)</f>
        <v/>
      </c>
      <c r="M692" s="34">
        <f>IF('RPT3'!$J692="","",'RPT3'!$J692)</f>
        <v/>
      </c>
    </row>
    <row r="693">
      <c r="A693" s="16" t="inlineStr">
        <is>
          <t>Custom B/G - Base Scripts - w/o Exclusions - Retail 30 - Generic - Base - Total</t>
        </is>
      </c>
      <c r="B693" s="2" t="n"/>
      <c r="C693" s="33">
        <f>IF(Combine="Y", $G693, 0)</f>
        <v/>
      </c>
      <c r="D693" s="2" t="n"/>
      <c r="E693" s="4" t="n"/>
      <c r="F693" s="2" t="n"/>
      <c r="G693" s="33">
        <f>SUM($K693:$M693)</f>
        <v/>
      </c>
      <c r="H693" s="2" t="n"/>
      <c r="I693" s="4" t="n"/>
      <c r="J693" s="2" t="n"/>
      <c r="K693" s="34">
        <f>IF('RPT1'!$J693="","",'RPT1'!$J693)</f>
        <v/>
      </c>
      <c r="L693" s="34">
        <f>IF('RPT2'!$J693="","",'RPT2'!$J693)</f>
        <v/>
      </c>
      <c r="M693" s="34">
        <f>IF('RPT3'!$J693="","",'RPT3'!$J693)</f>
        <v/>
      </c>
    </row>
    <row r="694">
      <c r="A694" s="16" t="inlineStr">
        <is>
          <t>Custom B/G - Base Scripts - w/o Exclusions - Retail 90 - Brand - Base - Total</t>
        </is>
      </c>
      <c r="B694" s="2" t="n"/>
      <c r="C694" s="33">
        <f>IF(Combine="Y", $G694, 0)</f>
        <v/>
      </c>
      <c r="D694" s="2" t="n"/>
      <c r="E694" s="4" t="n"/>
      <c r="F694" s="2" t="n"/>
      <c r="G694" s="33">
        <f>SUM($K694:$M694)</f>
        <v/>
      </c>
      <c r="H694" s="2" t="n"/>
      <c r="I694" s="4" t="n"/>
      <c r="J694" s="2" t="n"/>
      <c r="K694" s="34">
        <f>IF('RPT1'!$J694="","",'RPT1'!$J694)</f>
        <v/>
      </c>
      <c r="L694" s="34">
        <f>IF('RPT2'!$J694="","",'RPT2'!$J694)</f>
        <v/>
      </c>
      <c r="M694" s="34">
        <f>IF('RPT3'!$J694="","",'RPT3'!$J694)</f>
        <v/>
      </c>
    </row>
    <row r="695">
      <c r="A695" s="16" t="inlineStr">
        <is>
          <t>Custom B/G - Base Scripts - w/o Exclusions - Retail 90 - Generic - Base - Total</t>
        </is>
      </c>
      <c r="B695" s="2" t="n"/>
      <c r="C695" s="33">
        <f>IF(Combine="Y", $G695, 0)</f>
        <v/>
      </c>
      <c r="D695" s="2" t="n"/>
      <c r="E695" s="4" t="n"/>
      <c r="F695" s="2" t="n"/>
      <c r="G695" s="33">
        <f>SUM($K695:$M695)</f>
        <v/>
      </c>
      <c r="H695" s="2" t="n"/>
      <c r="I695" s="4" t="n"/>
      <c r="J695" s="2" t="n"/>
      <c r="K695" s="34">
        <f>IF('RPT1'!$J695="","",'RPT1'!$J695)</f>
        <v/>
      </c>
      <c r="L695" s="34">
        <f>IF('RPT2'!$J695="","",'RPT2'!$J695)</f>
        <v/>
      </c>
      <c r="M695" s="34">
        <f>IF('RPT3'!$J695="","",'RPT3'!$J695)</f>
        <v/>
      </c>
    </row>
    <row r="696">
      <c r="A696" s="16" t="inlineStr">
        <is>
          <t>Custom B/G - Base Scripts - w/o Exclusions - Specialty - Brand - Base - Total</t>
        </is>
      </c>
      <c r="B696" s="2" t="n"/>
      <c r="C696" s="33">
        <f>IF(Combine="Y", $G696, 0)</f>
        <v/>
      </c>
      <c r="D696" s="2" t="n"/>
      <c r="E696" s="4" t="n"/>
      <c r="F696" s="2" t="n"/>
      <c r="G696" s="33">
        <f>SUM($K696:$M696)</f>
        <v/>
      </c>
      <c r="H696" s="2" t="n"/>
      <c r="I696" s="4" t="n"/>
      <c r="J696" s="2" t="n"/>
      <c r="K696" s="34">
        <f>IF('RPT1'!$J696="","",'RPT1'!$J696)</f>
        <v/>
      </c>
      <c r="L696" s="34">
        <f>IF('RPT2'!$J696="","",'RPT2'!$J696)</f>
        <v/>
      </c>
      <c r="M696" s="34">
        <f>IF('RPT3'!$J696="","",'RPT3'!$J696)</f>
        <v/>
      </c>
    </row>
    <row r="697">
      <c r="A697" s="16" t="inlineStr">
        <is>
          <t>Custom B/G - Base Scripts - w/o Exclusions - Specialty - Generic - Base - Total</t>
        </is>
      </c>
      <c r="B697" s="2" t="n"/>
      <c r="C697" s="33">
        <f>IF(Combine="Y", $G697, 0)</f>
        <v/>
      </c>
      <c r="D697" s="2" t="n"/>
      <c r="E697" s="4" t="n"/>
      <c r="F697" s="2" t="n"/>
      <c r="G697" s="33">
        <f>SUM($K697:$M697)</f>
        <v/>
      </c>
      <c r="H697" s="2" t="n"/>
      <c r="I697" s="4" t="n"/>
      <c r="J697" s="2" t="n"/>
      <c r="K697" s="34">
        <f>IF('RPT1'!$J697="","",'RPT1'!$J697)</f>
        <v/>
      </c>
      <c r="L697" s="34">
        <f>IF('RPT2'!$J697="","",'RPT2'!$J697)</f>
        <v/>
      </c>
      <c r="M697" s="34">
        <f>IF('RPT3'!$J697="","",'RPT3'!$J697)</f>
        <v/>
      </c>
    </row>
    <row r="698">
      <c r="A698" s="31" t="n"/>
      <c r="B698" s="2" t="n"/>
      <c r="C698" s="14" t="n"/>
      <c r="D698" s="2" t="n"/>
      <c r="E698" s="4" t="n"/>
      <c r="F698" s="2" t="n"/>
      <c r="G698" s="14" t="n"/>
      <c r="H698" s="2" t="n"/>
      <c r="I698" s="4" t="n"/>
      <c r="J698" s="2" t="n"/>
      <c r="K698" s="32" t="n"/>
      <c r="L698" s="32" t="n"/>
      <c r="M698" s="32" t="n"/>
    </row>
    <row r="699">
      <c r="A699" s="12" t="inlineStr">
        <is>
          <t>Custom B/G - Base Scripts - w/ Exclusions</t>
        </is>
      </c>
      <c r="B699" s="2" t="n"/>
      <c r="C699" s="14" t="n"/>
      <c r="D699" s="2" t="n"/>
      <c r="E699" s="4" t="n"/>
      <c r="F699" s="2" t="n"/>
      <c r="G699" s="14" t="n"/>
      <c r="H699" s="2" t="n"/>
      <c r="I699" s="4" t="n"/>
      <c r="J699" s="2" t="n"/>
      <c r="K699" s="32">
        <f>IF('RPT1'!$J699="","",'RPT1'!$J699)</f>
        <v/>
      </c>
      <c r="L699" s="32">
        <f>IF('RPT2'!$J699="","",'RPT2'!$J699)</f>
        <v/>
      </c>
      <c r="M699" s="32">
        <f>IF('RPT3'!$J699="","",'RPT3'!$J699)</f>
        <v/>
      </c>
    </row>
    <row r="700">
      <c r="A700" s="16" t="inlineStr">
        <is>
          <t>Custom B/G - Base Scripts - w/ Exclusions - Mail - Brand - Base - Maintenance</t>
        </is>
      </c>
      <c r="B700" s="2" t="n"/>
      <c r="C700" s="33">
        <f>IF(Combine="Y", $G700, 0)</f>
        <v/>
      </c>
      <c r="D700" s="2" t="n"/>
      <c r="E700" s="4" t="n"/>
      <c r="F700" s="2" t="n"/>
      <c r="G700" s="33">
        <f>SUM($K700:$M700)</f>
        <v/>
      </c>
      <c r="H700" s="2" t="n"/>
      <c r="I700" s="4" t="n"/>
      <c r="J700" s="2" t="n"/>
      <c r="K700" s="34">
        <f>IF('RPT1'!$J700="","",'RPT1'!$J700)</f>
        <v/>
      </c>
      <c r="L700" s="34">
        <f>IF('RPT2'!$J700="","",'RPT2'!$J700)</f>
        <v/>
      </c>
      <c r="M700" s="34">
        <f>IF('RPT3'!$J700="","",'RPT3'!$J700)</f>
        <v/>
      </c>
    </row>
    <row r="701">
      <c r="A701" s="16" t="inlineStr">
        <is>
          <t>Custom B/G - Base Scripts - w/ Exclusions - Mail - Generic - Base - Maintenance</t>
        </is>
      </c>
      <c r="B701" s="2" t="n"/>
      <c r="C701" s="33">
        <f>IF(Combine="Y", $G701, 0)</f>
        <v/>
      </c>
      <c r="D701" s="2" t="n"/>
      <c r="E701" s="4" t="n"/>
      <c r="F701" s="2" t="n"/>
      <c r="G701" s="33">
        <f>SUM($K701:$M701)</f>
        <v/>
      </c>
      <c r="H701" s="2" t="n"/>
      <c r="I701" s="4" t="n"/>
      <c r="J701" s="2" t="n"/>
      <c r="K701" s="34">
        <f>IF('RPT1'!$J701="","",'RPT1'!$J701)</f>
        <v/>
      </c>
      <c r="L701" s="34">
        <f>IF('RPT2'!$J701="","",'RPT2'!$J701)</f>
        <v/>
      </c>
      <c r="M701" s="34">
        <f>IF('RPT3'!$J701="","",'RPT3'!$J701)</f>
        <v/>
      </c>
    </row>
    <row r="702">
      <c r="A702" s="16" t="inlineStr">
        <is>
          <t>Custom B/G - Base Scripts - w/ Exclusions - Retail 30 - Brand - Base - Maintenance</t>
        </is>
      </c>
      <c r="B702" s="2" t="n"/>
      <c r="C702" s="33">
        <f>IF(Combine="Y", $G702, 0)</f>
        <v/>
      </c>
      <c r="D702" s="2" t="n"/>
      <c r="E702" s="4" t="n"/>
      <c r="F702" s="2" t="n"/>
      <c r="G702" s="33">
        <f>SUM($K702:$M702)</f>
        <v/>
      </c>
      <c r="H702" s="2" t="n"/>
      <c r="I702" s="4" t="n"/>
      <c r="J702" s="2" t="n"/>
      <c r="K702" s="34">
        <f>IF('RPT1'!$J702="","",'RPT1'!$J702)</f>
        <v/>
      </c>
      <c r="L702" s="34">
        <f>IF('RPT2'!$J702="","",'RPT2'!$J702)</f>
        <v/>
      </c>
      <c r="M702" s="34">
        <f>IF('RPT3'!$J702="","",'RPT3'!$J702)</f>
        <v/>
      </c>
    </row>
    <row r="703">
      <c r="A703" s="16" t="inlineStr">
        <is>
          <t>Custom B/G - Base Scripts - w/ Exclusions - Retail 30 - Generic - Base - Maintenance</t>
        </is>
      </c>
      <c r="B703" s="2" t="n"/>
      <c r="C703" s="33">
        <f>IF(Combine="Y", $G703, 0)</f>
        <v/>
      </c>
      <c r="D703" s="2" t="n"/>
      <c r="E703" s="4" t="n"/>
      <c r="F703" s="2" t="n"/>
      <c r="G703" s="33">
        <f>SUM($K703:$M703)</f>
        <v/>
      </c>
      <c r="H703" s="2" t="n"/>
      <c r="I703" s="4" t="n"/>
      <c r="J703" s="2" t="n"/>
      <c r="K703" s="34">
        <f>IF('RPT1'!$J703="","",'RPT1'!$J703)</f>
        <v/>
      </c>
      <c r="L703" s="34">
        <f>IF('RPT2'!$J703="","",'RPT2'!$J703)</f>
        <v/>
      </c>
      <c r="M703" s="34">
        <f>IF('RPT3'!$J703="","",'RPT3'!$J703)</f>
        <v/>
      </c>
    </row>
    <row r="704">
      <c r="A704" s="16" t="inlineStr">
        <is>
          <t>Custom B/G - Base Scripts - w/ Exclusions - Retail 90 - Brand - Base - Maintenance</t>
        </is>
      </c>
      <c r="B704" s="2" t="n"/>
      <c r="C704" s="33">
        <f>IF(Combine="Y", $G704, 0)</f>
        <v/>
      </c>
      <c r="D704" s="2" t="n"/>
      <c r="E704" s="4" t="n"/>
      <c r="F704" s="2" t="n"/>
      <c r="G704" s="33">
        <f>SUM($K704:$M704)</f>
        <v/>
      </c>
      <c r="H704" s="2" t="n"/>
      <c r="I704" s="4" t="n"/>
      <c r="J704" s="2" t="n"/>
      <c r="K704" s="34">
        <f>IF('RPT1'!$J704="","",'RPT1'!$J704)</f>
        <v/>
      </c>
      <c r="L704" s="34">
        <f>IF('RPT2'!$J704="","",'RPT2'!$J704)</f>
        <v/>
      </c>
      <c r="M704" s="34">
        <f>IF('RPT3'!$J704="","",'RPT3'!$J704)</f>
        <v/>
      </c>
    </row>
    <row r="705">
      <c r="A705" s="16" t="inlineStr">
        <is>
          <t>Custom B/G - Base Scripts - w/ Exclusions - Retail 90 - Generic - Base - Maintenance</t>
        </is>
      </c>
      <c r="B705" s="2" t="n"/>
      <c r="C705" s="33">
        <f>IF(Combine="Y", $G705, 0)</f>
        <v/>
      </c>
      <c r="D705" s="2" t="n"/>
      <c r="E705" s="4" t="n"/>
      <c r="F705" s="2" t="n"/>
      <c r="G705" s="33">
        <f>SUM($K705:$M705)</f>
        <v/>
      </c>
      <c r="H705" s="2" t="n"/>
      <c r="I705" s="4" t="n"/>
      <c r="J705" s="2" t="n"/>
      <c r="K705" s="34">
        <f>IF('RPT1'!$J705="","",'RPT1'!$J705)</f>
        <v/>
      </c>
      <c r="L705" s="34">
        <f>IF('RPT2'!$J705="","",'RPT2'!$J705)</f>
        <v/>
      </c>
      <c r="M705" s="34">
        <f>IF('RPT3'!$J705="","",'RPT3'!$J705)</f>
        <v/>
      </c>
    </row>
    <row r="706">
      <c r="A706" s="16" t="inlineStr">
        <is>
          <t>Custom B/G - Base Scripts - w/ Exclusions - Specialty - Brand - Base - Maintenance</t>
        </is>
      </c>
      <c r="B706" s="2" t="n"/>
      <c r="C706" s="33">
        <f>IF(Combine="Y", $G706, 0)</f>
        <v/>
      </c>
      <c r="D706" s="2" t="n"/>
      <c r="E706" s="4" t="n"/>
      <c r="F706" s="2" t="n"/>
      <c r="G706" s="33">
        <f>SUM($K706:$M706)</f>
        <v/>
      </c>
      <c r="H706" s="2" t="n"/>
      <c r="I706" s="4" t="n"/>
      <c r="J706" s="2" t="n"/>
      <c r="K706" s="34">
        <f>IF('RPT1'!$J706="","",'RPT1'!$J706)</f>
        <v/>
      </c>
      <c r="L706" s="34">
        <f>IF('RPT2'!$J706="","",'RPT2'!$J706)</f>
        <v/>
      </c>
      <c r="M706" s="34">
        <f>IF('RPT3'!$J706="","",'RPT3'!$J706)</f>
        <v/>
      </c>
    </row>
    <row r="707">
      <c r="A707" s="16" t="inlineStr">
        <is>
          <t>Custom B/G - Base Scripts - w/ Exclusions - Specialty - Generic - Base - Maintenance</t>
        </is>
      </c>
      <c r="B707" s="2" t="n"/>
      <c r="C707" s="33">
        <f>IF(Combine="Y", $G707, 0)</f>
        <v/>
      </c>
      <c r="D707" s="2" t="n"/>
      <c r="E707" s="4" t="n"/>
      <c r="F707" s="2" t="n"/>
      <c r="G707" s="33">
        <f>SUM($K707:$M707)</f>
        <v/>
      </c>
      <c r="H707" s="2" t="n"/>
      <c r="I707" s="4" t="n"/>
      <c r="J707" s="2" t="n"/>
      <c r="K707" s="34">
        <f>IF('RPT1'!$J707="","",'RPT1'!$J707)</f>
        <v/>
      </c>
      <c r="L707" s="34">
        <f>IF('RPT2'!$J707="","",'RPT2'!$J707)</f>
        <v/>
      </c>
      <c r="M707" s="34">
        <f>IF('RPT3'!$J707="","",'RPT3'!$J707)</f>
        <v/>
      </c>
    </row>
    <row r="708">
      <c r="A708" s="16" t="inlineStr">
        <is>
          <t>Custom B/G - Base Scripts - w/ Exclusions - Mail - Brand - Base - Non-Maintenance</t>
        </is>
      </c>
      <c r="B708" s="2" t="n"/>
      <c r="C708" s="33">
        <f>IF(Combine="Y", $G708, 0)</f>
        <v/>
      </c>
      <c r="D708" s="2" t="n"/>
      <c r="E708" s="4" t="n"/>
      <c r="F708" s="2" t="n"/>
      <c r="G708" s="33">
        <f>SUM($K708:$M708)</f>
        <v/>
      </c>
      <c r="H708" s="2" t="n"/>
      <c r="I708" s="4" t="n"/>
      <c r="J708" s="2" t="n"/>
      <c r="K708" s="34">
        <f>IF('RPT1'!$J708="","",'RPT1'!$J708)</f>
        <v/>
      </c>
      <c r="L708" s="34">
        <f>IF('RPT2'!$J708="","",'RPT2'!$J708)</f>
        <v/>
      </c>
      <c r="M708" s="34">
        <f>IF('RPT3'!$J708="","",'RPT3'!$J708)</f>
        <v/>
      </c>
    </row>
    <row r="709">
      <c r="A709" s="16" t="inlineStr">
        <is>
          <t>Custom B/G - Base Scripts - w/ Exclusions - Mail - Generic - Base - Non-Maintenance</t>
        </is>
      </c>
      <c r="B709" s="2" t="n"/>
      <c r="C709" s="33">
        <f>IF(Combine="Y", $G709, 0)</f>
        <v/>
      </c>
      <c r="D709" s="2" t="n"/>
      <c r="E709" s="4" t="n"/>
      <c r="F709" s="2" t="n"/>
      <c r="G709" s="33">
        <f>SUM($K709:$M709)</f>
        <v/>
      </c>
      <c r="H709" s="2" t="n"/>
      <c r="I709" s="4" t="n"/>
      <c r="J709" s="2" t="n"/>
      <c r="K709" s="34">
        <f>IF('RPT1'!$J709="","",'RPT1'!$J709)</f>
        <v/>
      </c>
      <c r="L709" s="34">
        <f>IF('RPT2'!$J709="","",'RPT2'!$J709)</f>
        <v/>
      </c>
      <c r="M709" s="34">
        <f>IF('RPT3'!$J709="","",'RPT3'!$J709)</f>
        <v/>
      </c>
    </row>
    <row r="710">
      <c r="A710" s="16" t="inlineStr">
        <is>
          <t>Custom B/G - Base Scripts - w/ Exclusions - Retail 30 - Brand - Base - Non-Maintenance</t>
        </is>
      </c>
      <c r="B710" s="2" t="n"/>
      <c r="C710" s="33">
        <f>IF(Combine="Y", $G710, 0)</f>
        <v/>
      </c>
      <c r="D710" s="2" t="n"/>
      <c r="E710" s="4" t="n"/>
      <c r="F710" s="2" t="n"/>
      <c r="G710" s="33">
        <f>SUM($K710:$M710)</f>
        <v/>
      </c>
      <c r="H710" s="2" t="n"/>
      <c r="I710" s="4" t="n"/>
      <c r="J710" s="2" t="n"/>
      <c r="K710" s="34">
        <f>IF('RPT1'!$J710="","",'RPT1'!$J710)</f>
        <v/>
      </c>
      <c r="L710" s="34">
        <f>IF('RPT2'!$J710="","",'RPT2'!$J710)</f>
        <v/>
      </c>
      <c r="M710" s="34">
        <f>IF('RPT3'!$J710="","",'RPT3'!$J710)</f>
        <v/>
      </c>
    </row>
    <row r="711">
      <c r="A711" s="16" t="inlineStr">
        <is>
          <t>Custom B/G - Base Scripts - w/ Exclusions - Retail 30 - Generic - Base - Non-Maintenance</t>
        </is>
      </c>
      <c r="B711" s="2" t="n"/>
      <c r="C711" s="33">
        <f>IF(Combine="Y", $G711, 0)</f>
        <v/>
      </c>
      <c r="D711" s="2" t="n"/>
      <c r="E711" s="4" t="n"/>
      <c r="F711" s="2" t="n"/>
      <c r="G711" s="33">
        <f>SUM($K711:$M711)</f>
        <v/>
      </c>
      <c r="H711" s="2" t="n"/>
      <c r="I711" s="4" t="n"/>
      <c r="J711" s="2" t="n"/>
      <c r="K711" s="34">
        <f>IF('RPT1'!$J711="","",'RPT1'!$J711)</f>
        <v/>
      </c>
      <c r="L711" s="34">
        <f>IF('RPT2'!$J711="","",'RPT2'!$J711)</f>
        <v/>
      </c>
      <c r="M711" s="34">
        <f>IF('RPT3'!$J711="","",'RPT3'!$J711)</f>
        <v/>
      </c>
    </row>
    <row r="712">
      <c r="A712" s="16" t="inlineStr">
        <is>
          <t>Custom B/G - Base Scripts - w/ Exclusions - Retail 90 - Brand - Base - Non-Maintenance</t>
        </is>
      </c>
      <c r="B712" s="2" t="n"/>
      <c r="C712" s="33">
        <f>IF(Combine="Y", $G712, 0)</f>
        <v/>
      </c>
      <c r="D712" s="2" t="n"/>
      <c r="E712" s="4" t="n"/>
      <c r="F712" s="2" t="n"/>
      <c r="G712" s="33">
        <f>SUM($K712:$M712)</f>
        <v/>
      </c>
      <c r="H712" s="2" t="n"/>
      <c r="I712" s="4" t="n"/>
      <c r="J712" s="2" t="n"/>
      <c r="K712" s="34">
        <f>IF('RPT1'!$J712="","",'RPT1'!$J712)</f>
        <v/>
      </c>
      <c r="L712" s="34">
        <f>IF('RPT2'!$J712="","",'RPT2'!$J712)</f>
        <v/>
      </c>
      <c r="M712" s="34">
        <f>IF('RPT3'!$J712="","",'RPT3'!$J712)</f>
        <v/>
      </c>
    </row>
    <row r="713">
      <c r="A713" s="16" t="inlineStr">
        <is>
          <t>Custom B/G - Base Scripts - w/ Exclusions - Retail 90 - Generic - Base - Non-Maintenance</t>
        </is>
      </c>
      <c r="B713" s="2" t="n"/>
      <c r="C713" s="33">
        <f>IF(Combine="Y", $G713, 0)</f>
        <v/>
      </c>
      <c r="D713" s="2" t="n"/>
      <c r="E713" s="4" t="n"/>
      <c r="F713" s="2" t="n"/>
      <c r="G713" s="33">
        <f>SUM($K713:$M713)</f>
        <v/>
      </c>
      <c r="H713" s="2" t="n"/>
      <c r="I713" s="4" t="n"/>
      <c r="J713" s="2" t="n"/>
      <c r="K713" s="34">
        <f>IF('RPT1'!$J713="","",'RPT1'!$J713)</f>
        <v/>
      </c>
      <c r="L713" s="34">
        <f>IF('RPT2'!$J713="","",'RPT2'!$J713)</f>
        <v/>
      </c>
      <c r="M713" s="34">
        <f>IF('RPT3'!$J713="","",'RPT3'!$J713)</f>
        <v/>
      </c>
    </row>
    <row r="714">
      <c r="A714" s="16" t="inlineStr">
        <is>
          <t>Custom B/G - Base Scripts - w/ Exclusions - Specialty - Brand - Base - Non-Maintenance</t>
        </is>
      </c>
      <c r="B714" s="2" t="n"/>
      <c r="C714" s="33">
        <f>IF(Combine="Y", $G714, 0)</f>
        <v/>
      </c>
      <c r="D714" s="2" t="n"/>
      <c r="E714" s="4" t="n"/>
      <c r="F714" s="2" t="n"/>
      <c r="G714" s="33">
        <f>SUM($K714:$M714)</f>
        <v/>
      </c>
      <c r="H714" s="2" t="n"/>
      <c r="I714" s="4" t="n"/>
      <c r="J714" s="2" t="n"/>
      <c r="K714" s="34">
        <f>IF('RPT1'!$J714="","",'RPT1'!$J714)</f>
        <v/>
      </c>
      <c r="L714" s="34">
        <f>IF('RPT2'!$J714="","",'RPT2'!$J714)</f>
        <v/>
      </c>
      <c r="M714" s="34">
        <f>IF('RPT3'!$J714="","",'RPT3'!$J714)</f>
        <v/>
      </c>
    </row>
    <row r="715">
      <c r="A715" s="16" t="inlineStr">
        <is>
          <t>Custom B/G - Base Scripts - w/ Exclusions - Specialty - Generic - Base - Non-Maintenance</t>
        </is>
      </c>
      <c r="B715" s="2" t="n"/>
      <c r="C715" s="33">
        <f>IF(Combine="Y", $G715, 0)</f>
        <v/>
      </c>
      <c r="D715" s="2" t="n"/>
      <c r="E715" s="4" t="n"/>
      <c r="F715" s="2" t="n"/>
      <c r="G715" s="33">
        <f>SUM($K715:$M715)</f>
        <v/>
      </c>
      <c r="H715" s="2" t="n"/>
      <c r="I715" s="4" t="n"/>
      <c r="J715" s="2" t="n"/>
      <c r="K715" s="34">
        <f>IF('RPT1'!$J715="","",'RPT1'!$J715)</f>
        <v/>
      </c>
      <c r="L715" s="34">
        <f>IF('RPT2'!$J715="","",'RPT2'!$J715)</f>
        <v/>
      </c>
      <c r="M715" s="34">
        <f>IF('RPT3'!$J715="","",'RPT3'!$J715)</f>
        <v/>
      </c>
    </row>
    <row r="716">
      <c r="A716" s="16" t="inlineStr">
        <is>
          <t>Custom B/G - Base Scripts - w/ Exclusions - Mail - Brand - Base - Total</t>
        </is>
      </c>
      <c r="B716" s="2" t="n"/>
      <c r="C716" s="33">
        <f>IF(Combine="Y", $G716, 0)</f>
        <v/>
      </c>
      <c r="D716" s="2" t="n"/>
      <c r="E716" s="4" t="n"/>
      <c r="F716" s="2" t="n"/>
      <c r="G716" s="33">
        <f>SUM($K716:$M716)</f>
        <v/>
      </c>
      <c r="H716" s="2" t="n"/>
      <c r="I716" s="4" t="n"/>
      <c r="J716" s="2" t="n"/>
      <c r="K716" s="34">
        <f>IF('RPT1'!$J716="","",'RPT1'!$J716)</f>
        <v/>
      </c>
      <c r="L716" s="34">
        <f>IF('RPT2'!$J716="","",'RPT2'!$J716)</f>
        <v/>
      </c>
      <c r="M716" s="34">
        <f>IF('RPT3'!$J716="","",'RPT3'!$J716)</f>
        <v/>
      </c>
    </row>
    <row r="717">
      <c r="A717" s="16" t="inlineStr">
        <is>
          <t>Custom B/G - Base Scripts - w/ Exclusions - Mail - Generic - Base - Total</t>
        </is>
      </c>
      <c r="B717" s="2" t="n"/>
      <c r="C717" s="33">
        <f>IF(Combine="Y", $G717, 0)</f>
        <v/>
      </c>
      <c r="D717" s="2" t="n"/>
      <c r="E717" s="4" t="n"/>
      <c r="F717" s="2" t="n"/>
      <c r="G717" s="33">
        <f>SUM($K717:$M717)</f>
        <v/>
      </c>
      <c r="H717" s="2" t="n"/>
      <c r="I717" s="4" t="n"/>
      <c r="J717" s="2" t="n"/>
      <c r="K717" s="34">
        <f>IF('RPT1'!$J717="","",'RPT1'!$J717)</f>
        <v/>
      </c>
      <c r="L717" s="34">
        <f>IF('RPT2'!$J717="","",'RPT2'!$J717)</f>
        <v/>
      </c>
      <c r="M717" s="34">
        <f>IF('RPT3'!$J717="","",'RPT3'!$J717)</f>
        <v/>
      </c>
    </row>
    <row r="718">
      <c r="A718" s="16" t="inlineStr">
        <is>
          <t>Custom B/G - Base Scripts - w/ Exclusions - Retail 30 - Brand - Base - Total</t>
        </is>
      </c>
      <c r="B718" s="2" t="n"/>
      <c r="C718" s="33">
        <f>IF(Combine="Y", $G718, 0)</f>
        <v/>
      </c>
      <c r="D718" s="2" t="n"/>
      <c r="E718" s="4" t="n"/>
      <c r="F718" s="2" t="n"/>
      <c r="G718" s="33">
        <f>SUM($K718:$M718)</f>
        <v/>
      </c>
      <c r="H718" s="2" t="n"/>
      <c r="I718" s="4" t="n"/>
      <c r="J718" s="2" t="n"/>
      <c r="K718" s="34">
        <f>IF('RPT1'!$J718="","",'RPT1'!$J718)</f>
        <v/>
      </c>
      <c r="L718" s="34">
        <f>IF('RPT2'!$J718="","",'RPT2'!$J718)</f>
        <v/>
      </c>
      <c r="M718" s="34">
        <f>IF('RPT3'!$J718="","",'RPT3'!$J718)</f>
        <v/>
      </c>
    </row>
    <row r="719">
      <c r="A719" s="16" t="inlineStr">
        <is>
          <t>Custom B/G - Base Scripts - w/ Exclusions - Retail 30 - Generic - Base - Total</t>
        </is>
      </c>
      <c r="B719" s="2" t="n"/>
      <c r="C719" s="33">
        <f>IF(Combine="Y", $G719, 0)</f>
        <v/>
      </c>
      <c r="D719" s="2" t="n"/>
      <c r="E719" s="4" t="n"/>
      <c r="F719" s="2" t="n"/>
      <c r="G719" s="33">
        <f>SUM($K719:$M719)</f>
        <v/>
      </c>
      <c r="H719" s="2" t="n"/>
      <c r="I719" s="4" t="n"/>
      <c r="J719" s="2" t="n"/>
      <c r="K719" s="34">
        <f>IF('RPT1'!$J719="","",'RPT1'!$J719)</f>
        <v/>
      </c>
      <c r="L719" s="34">
        <f>IF('RPT2'!$J719="","",'RPT2'!$J719)</f>
        <v/>
      </c>
      <c r="M719" s="34">
        <f>IF('RPT3'!$J719="","",'RPT3'!$J719)</f>
        <v/>
      </c>
    </row>
    <row r="720">
      <c r="A720" s="16" t="inlineStr">
        <is>
          <t>Custom B/G - Base Scripts - w/ Exclusions - Retail 90 - Brand - Base - Total</t>
        </is>
      </c>
      <c r="B720" s="2" t="n"/>
      <c r="C720" s="33">
        <f>IF(Combine="Y", $G720, 0)</f>
        <v/>
      </c>
      <c r="D720" s="2" t="n"/>
      <c r="E720" s="4" t="n"/>
      <c r="F720" s="2" t="n"/>
      <c r="G720" s="33">
        <f>SUM($K720:$M720)</f>
        <v/>
      </c>
      <c r="H720" s="2" t="n"/>
      <c r="I720" s="4" t="n"/>
      <c r="J720" s="2" t="n"/>
      <c r="K720" s="34">
        <f>IF('RPT1'!$J720="","",'RPT1'!$J720)</f>
        <v/>
      </c>
      <c r="L720" s="34">
        <f>IF('RPT2'!$J720="","",'RPT2'!$J720)</f>
        <v/>
      </c>
      <c r="M720" s="34">
        <f>IF('RPT3'!$J720="","",'RPT3'!$J720)</f>
        <v/>
      </c>
    </row>
    <row r="721">
      <c r="A721" s="16" t="inlineStr">
        <is>
          <t>Custom B/G - Base Scripts - w/ Exclusions - Retail 90 - Generic - Base - Total</t>
        </is>
      </c>
      <c r="B721" s="2" t="n"/>
      <c r="C721" s="33">
        <f>IF(Combine="Y", $G721, 0)</f>
        <v/>
      </c>
      <c r="D721" s="2" t="n"/>
      <c r="E721" s="4" t="n"/>
      <c r="F721" s="2" t="n"/>
      <c r="G721" s="33">
        <f>SUM($K721:$M721)</f>
        <v/>
      </c>
      <c r="H721" s="2" t="n"/>
      <c r="I721" s="4" t="n"/>
      <c r="J721" s="2" t="n"/>
      <c r="K721" s="34">
        <f>IF('RPT1'!$J721="","",'RPT1'!$J721)</f>
        <v/>
      </c>
      <c r="L721" s="34">
        <f>IF('RPT2'!$J721="","",'RPT2'!$J721)</f>
        <v/>
      </c>
      <c r="M721" s="34">
        <f>IF('RPT3'!$J721="","",'RPT3'!$J721)</f>
        <v/>
      </c>
    </row>
    <row r="722">
      <c r="A722" s="16" t="inlineStr">
        <is>
          <t>Custom B/G - Base Scripts - w/ Exclusions - Specialty - Brand - Base - Total</t>
        </is>
      </c>
      <c r="B722" s="2" t="n"/>
      <c r="C722" s="33">
        <f>IF(Combine="Y", $G722, 0)</f>
        <v/>
      </c>
      <c r="D722" s="2" t="n"/>
      <c r="E722" s="4" t="n"/>
      <c r="F722" s="2" t="n"/>
      <c r="G722" s="33">
        <f>SUM($K722:$M722)</f>
        <v/>
      </c>
      <c r="H722" s="2" t="n"/>
      <c r="I722" s="4" t="n"/>
      <c r="J722" s="2" t="n"/>
      <c r="K722" s="34">
        <f>IF('RPT1'!$J722="","",'RPT1'!$J722)</f>
        <v/>
      </c>
      <c r="L722" s="34">
        <f>IF('RPT2'!$J722="","",'RPT2'!$J722)</f>
        <v/>
      </c>
      <c r="M722" s="34">
        <f>IF('RPT3'!$J722="","",'RPT3'!$J722)</f>
        <v/>
      </c>
    </row>
    <row r="723">
      <c r="A723" s="16" t="inlineStr">
        <is>
          <t>Custom B/G - Base Scripts - w/ Exclusions - Specialty - Generic - Base - Total</t>
        </is>
      </c>
      <c r="B723" s="2" t="n"/>
      <c r="C723" s="33">
        <f>IF(Combine="Y", $G723, 0)</f>
        <v/>
      </c>
      <c r="D723" s="2" t="n"/>
      <c r="E723" s="4" t="n"/>
      <c r="F723" s="2" t="n"/>
      <c r="G723" s="33">
        <f>SUM($K723:$M723)</f>
        <v/>
      </c>
      <c r="H723" s="2" t="n"/>
      <c r="I723" s="4" t="n"/>
      <c r="J723" s="2" t="n"/>
      <c r="K723" s="34">
        <f>IF('RPT1'!$J723="","",'RPT1'!$J723)</f>
        <v/>
      </c>
      <c r="L723" s="34">
        <f>IF('RPT2'!$J723="","",'RPT2'!$J723)</f>
        <v/>
      </c>
      <c r="M723" s="34">
        <f>IF('RPT3'!$J723="","",'RPT3'!$J723)</f>
        <v/>
      </c>
    </row>
    <row r="724">
      <c r="A724" s="31" t="n"/>
      <c r="B724" s="2" t="n"/>
      <c r="C724" s="14" t="n"/>
      <c r="D724" s="2" t="n"/>
      <c r="E724" s="4" t="n"/>
      <c r="F724" s="2" t="n"/>
      <c r="G724" s="14" t="n"/>
      <c r="H724" s="2" t="n"/>
      <c r="I724" s="4" t="n"/>
      <c r="J724" s="2" t="n"/>
      <c r="K724" s="32" t="n"/>
      <c r="L724" s="32" t="n"/>
      <c r="M724" s="32" t="n"/>
    </row>
    <row r="725">
      <c r="A725" s="12" t="inlineStr">
        <is>
          <t>Custom B/G - Base AWP / Rx - w/o Exclusions</t>
        </is>
      </c>
      <c r="B725" s="2" t="n"/>
      <c r="C725" s="14" t="n"/>
      <c r="D725" s="2" t="n"/>
      <c r="E725" s="4" t="n"/>
      <c r="F725" s="2" t="n"/>
      <c r="G725" s="14" t="n"/>
      <c r="H725" s="2" t="n"/>
      <c r="I725" s="4" t="n"/>
      <c r="J725" s="2" t="n"/>
      <c r="K725" s="32">
        <f>IF('RPT1'!$J725="","",'RPT1'!$J725)</f>
        <v/>
      </c>
      <c r="L725" s="32">
        <f>IF('RPT2'!$J725="","",'RPT2'!$J725)</f>
        <v/>
      </c>
      <c r="M725" s="32">
        <f>IF('RPT3'!$J725="","",'RPT3'!$J725)</f>
        <v/>
      </c>
    </row>
    <row r="726">
      <c r="A726" s="16" t="inlineStr">
        <is>
          <t>Custom B/G - Base AWP / Rx - w/o Exclusions - Mail - Brand - Base - Maintenance</t>
        </is>
      </c>
      <c r="B726" s="2" t="n"/>
      <c r="C726" s="43">
        <f>IF(Combine="Y", $G726, 0)</f>
        <v/>
      </c>
      <c r="D726" s="2" t="n"/>
      <c r="E726" s="4" t="n"/>
      <c r="F726" s="2" t="n"/>
      <c r="G726" s="43">
        <f>IF(G674=0,0,SUMPRODUCT($K674:$M674,$K726:$M726)/G674)</f>
        <v/>
      </c>
      <c r="H726" s="2" t="n"/>
      <c r="I726" s="4" t="n"/>
      <c r="J726" s="2" t="n"/>
      <c r="K726" s="44">
        <f>IF('RPT1'!$J726="","",'RPT1'!$J726)</f>
        <v/>
      </c>
      <c r="L726" s="44">
        <f>IF('RPT2'!$J726="","",'RPT2'!$J726)</f>
        <v/>
      </c>
      <c r="M726" s="44">
        <f>IF('RPT3'!$J726="","",'RPT3'!$J726)</f>
        <v/>
      </c>
    </row>
    <row r="727">
      <c r="A727" s="16" t="inlineStr">
        <is>
          <t>Custom B/G - Base AWP / Rx - w/o Exclusions - Mail - Generic - Base - Maintenance</t>
        </is>
      </c>
      <c r="B727" s="2" t="n"/>
      <c r="C727" s="43">
        <f>IF(Combine="Y", $G727, 0)</f>
        <v/>
      </c>
      <c r="D727" s="2" t="n"/>
      <c r="E727" s="4" t="n"/>
      <c r="F727" s="2" t="n"/>
      <c r="G727" s="43">
        <f>IF(G675=0,0,SUMPRODUCT($K675:$M675,$K727:$M727)/G675)</f>
        <v/>
      </c>
      <c r="H727" s="2" t="n"/>
      <c r="I727" s="4" t="n"/>
      <c r="J727" s="2" t="n"/>
      <c r="K727" s="44">
        <f>IF('RPT1'!$J727="","",'RPT1'!$J727)</f>
        <v/>
      </c>
      <c r="L727" s="44">
        <f>IF('RPT2'!$J727="","",'RPT2'!$J727)</f>
        <v/>
      </c>
      <c r="M727" s="44">
        <f>IF('RPT3'!$J727="","",'RPT3'!$J727)</f>
        <v/>
      </c>
    </row>
    <row r="728">
      <c r="A728" s="16" t="inlineStr">
        <is>
          <t>Custom B/G - Base AWP / Rx - w/o Exclusions - Retail 30 - Brand - Base - Maintenance</t>
        </is>
      </c>
      <c r="B728" s="2" t="n"/>
      <c r="C728" s="43">
        <f>IF(Combine="Y", $G728, 0)</f>
        <v/>
      </c>
      <c r="D728" s="2" t="n"/>
      <c r="E728" s="4" t="n"/>
      <c r="F728" s="2" t="n"/>
      <c r="G728" s="43">
        <f>IF(G676=0,0,SUMPRODUCT($K676:$M676,$K728:$M728)/G676)</f>
        <v/>
      </c>
      <c r="H728" s="2" t="n"/>
      <c r="I728" s="4" t="n"/>
      <c r="J728" s="2" t="n"/>
      <c r="K728" s="44">
        <f>IF('RPT1'!$J728="","",'RPT1'!$J728)</f>
        <v/>
      </c>
      <c r="L728" s="44">
        <f>IF('RPT2'!$J728="","",'RPT2'!$J728)</f>
        <v/>
      </c>
      <c r="M728" s="44">
        <f>IF('RPT3'!$J728="","",'RPT3'!$J728)</f>
        <v/>
      </c>
    </row>
    <row r="729">
      <c r="A729" s="16" t="inlineStr">
        <is>
          <t>Custom B/G - Base AWP / Rx - w/o Exclusions - Retail 30 - Generic - Base - Maintenance</t>
        </is>
      </c>
      <c r="B729" s="2" t="n"/>
      <c r="C729" s="43">
        <f>IF(Combine="Y", $G729, 0)</f>
        <v/>
      </c>
      <c r="D729" s="2" t="n"/>
      <c r="E729" s="4" t="n"/>
      <c r="F729" s="2" t="n"/>
      <c r="G729" s="43">
        <f>IF(G677=0,0,SUMPRODUCT($K677:$M677,$K729:$M729)/G677)</f>
        <v/>
      </c>
      <c r="H729" s="2" t="n"/>
      <c r="I729" s="4" t="n"/>
      <c r="J729" s="2" t="n"/>
      <c r="K729" s="44">
        <f>IF('RPT1'!$J729="","",'RPT1'!$J729)</f>
        <v/>
      </c>
      <c r="L729" s="44">
        <f>IF('RPT2'!$J729="","",'RPT2'!$J729)</f>
        <v/>
      </c>
      <c r="M729" s="44">
        <f>IF('RPT3'!$J729="","",'RPT3'!$J729)</f>
        <v/>
      </c>
    </row>
    <row r="730">
      <c r="A730" s="16" t="inlineStr">
        <is>
          <t>Custom B/G - Base AWP / Rx - w/o Exclusions - Retail 90 - Brand - Base - Maintenance</t>
        </is>
      </c>
      <c r="B730" s="2" t="n"/>
      <c r="C730" s="43">
        <f>IF(Combine="Y", $G730, 0)</f>
        <v/>
      </c>
      <c r="D730" s="2" t="n"/>
      <c r="E730" s="4" t="n"/>
      <c r="F730" s="2" t="n"/>
      <c r="G730" s="43">
        <f>IF(G678=0,0,SUMPRODUCT($K678:$M678,$K730:$M730)/G678)</f>
        <v/>
      </c>
      <c r="H730" s="2" t="n"/>
      <c r="I730" s="4" t="n"/>
      <c r="J730" s="2" t="n"/>
      <c r="K730" s="44">
        <f>IF('RPT1'!$J730="","",'RPT1'!$J730)</f>
        <v/>
      </c>
      <c r="L730" s="44">
        <f>IF('RPT2'!$J730="","",'RPT2'!$J730)</f>
        <v/>
      </c>
      <c r="M730" s="44">
        <f>IF('RPT3'!$J730="","",'RPT3'!$J730)</f>
        <v/>
      </c>
    </row>
    <row r="731">
      <c r="A731" s="16" t="inlineStr">
        <is>
          <t>Custom B/G - Base AWP / Rx - w/o Exclusions - Retail 90 - Generic - Base - Maintenance</t>
        </is>
      </c>
      <c r="B731" s="2" t="n"/>
      <c r="C731" s="43">
        <f>IF(Combine="Y", $G731, 0)</f>
        <v/>
      </c>
      <c r="D731" s="2" t="n"/>
      <c r="E731" s="4" t="n"/>
      <c r="F731" s="2" t="n"/>
      <c r="G731" s="43">
        <f>IF(G679=0,0,SUMPRODUCT($K679:$M679,$K731:$M731)/G679)</f>
        <v/>
      </c>
      <c r="H731" s="2" t="n"/>
      <c r="I731" s="4" t="n"/>
      <c r="J731" s="2" t="n"/>
      <c r="K731" s="44">
        <f>IF('RPT1'!$J731="","",'RPT1'!$J731)</f>
        <v/>
      </c>
      <c r="L731" s="44">
        <f>IF('RPT2'!$J731="","",'RPT2'!$J731)</f>
        <v/>
      </c>
      <c r="M731" s="44">
        <f>IF('RPT3'!$J731="","",'RPT3'!$J731)</f>
        <v/>
      </c>
    </row>
    <row r="732">
      <c r="A732" s="16" t="inlineStr">
        <is>
          <t>Custom B/G - Base AWP / Rx - w/o Exclusions - Specialty - Brand - Base - Maintenance</t>
        </is>
      </c>
      <c r="B732" s="2" t="n"/>
      <c r="C732" s="43">
        <f>IF(Combine="Y", $G732, 0)</f>
        <v/>
      </c>
      <c r="D732" s="2" t="n"/>
      <c r="E732" s="4" t="n"/>
      <c r="F732" s="2" t="n"/>
      <c r="G732" s="43">
        <f>IF(G680=0,0,SUMPRODUCT($K680:$M680,$K732:$M732)/G680)</f>
        <v/>
      </c>
      <c r="H732" s="2" t="n"/>
      <c r="I732" s="4" t="n"/>
      <c r="J732" s="2" t="n"/>
      <c r="K732" s="44">
        <f>IF('RPT1'!$J732="","",'RPT1'!$J732)</f>
        <v/>
      </c>
      <c r="L732" s="44">
        <f>IF('RPT2'!$J732="","",'RPT2'!$J732)</f>
        <v/>
      </c>
      <c r="M732" s="44">
        <f>IF('RPT3'!$J732="","",'RPT3'!$J732)</f>
        <v/>
      </c>
    </row>
    <row r="733">
      <c r="A733" s="16" t="inlineStr">
        <is>
          <t>Custom B/G - Base AWP / Rx - w/o Exclusions - Specialty - Generic - Base - Maintenance</t>
        </is>
      </c>
      <c r="B733" s="2" t="n"/>
      <c r="C733" s="43">
        <f>IF(Combine="Y", $G733, 0)</f>
        <v/>
      </c>
      <c r="D733" s="2" t="n"/>
      <c r="E733" s="4" t="n"/>
      <c r="F733" s="2" t="n"/>
      <c r="G733" s="43">
        <f>IF(G681=0,0,SUMPRODUCT($K681:$M681,$K733:$M733)/G681)</f>
        <v/>
      </c>
      <c r="H733" s="2" t="n"/>
      <c r="I733" s="4" t="n"/>
      <c r="J733" s="2" t="n"/>
      <c r="K733" s="44">
        <f>IF('RPT1'!$J733="","",'RPT1'!$J733)</f>
        <v/>
      </c>
      <c r="L733" s="44">
        <f>IF('RPT2'!$J733="","",'RPT2'!$J733)</f>
        <v/>
      </c>
      <c r="M733" s="44">
        <f>IF('RPT3'!$J733="","",'RPT3'!$J733)</f>
        <v/>
      </c>
    </row>
    <row r="734">
      <c r="A734" s="16" t="inlineStr">
        <is>
          <t>Custom B/G - Base AWP / Rx - w/o Exclusions - Mail - Brand - Base - Non-Maintenance</t>
        </is>
      </c>
      <c r="B734" s="2" t="n"/>
      <c r="C734" s="43">
        <f>IF(Combine="Y", $G734, 0)</f>
        <v/>
      </c>
      <c r="D734" s="2" t="n"/>
      <c r="E734" s="4" t="n"/>
      <c r="F734" s="2" t="n"/>
      <c r="G734" s="43">
        <f>IF(G682=0,0,SUMPRODUCT($K682:$M682,$K734:$M734)/G682)</f>
        <v/>
      </c>
      <c r="H734" s="2" t="n"/>
      <c r="I734" s="4" t="n"/>
      <c r="J734" s="2" t="n"/>
      <c r="K734" s="44">
        <f>IF('RPT1'!$J734="","",'RPT1'!$J734)</f>
        <v/>
      </c>
      <c r="L734" s="44">
        <f>IF('RPT2'!$J734="","",'RPT2'!$J734)</f>
        <v/>
      </c>
      <c r="M734" s="44">
        <f>IF('RPT3'!$J734="","",'RPT3'!$J734)</f>
        <v/>
      </c>
    </row>
    <row r="735">
      <c r="A735" s="16" t="inlineStr">
        <is>
          <t>Custom B/G - Base AWP / Rx - w/o Exclusions - Mail - Generic - Base - Non-Maintenance</t>
        </is>
      </c>
      <c r="B735" s="2" t="n"/>
      <c r="C735" s="43">
        <f>IF(Combine="Y", $G735, 0)</f>
        <v/>
      </c>
      <c r="D735" s="2" t="n"/>
      <c r="E735" s="4" t="n"/>
      <c r="F735" s="2" t="n"/>
      <c r="G735" s="43">
        <f>IF(G683=0,0,SUMPRODUCT($K683:$M683,$K735:$M735)/G683)</f>
        <v/>
      </c>
      <c r="H735" s="2" t="n"/>
      <c r="I735" s="4" t="n"/>
      <c r="J735" s="2" t="n"/>
      <c r="K735" s="44">
        <f>IF('RPT1'!$J735="","",'RPT1'!$J735)</f>
        <v/>
      </c>
      <c r="L735" s="44">
        <f>IF('RPT2'!$J735="","",'RPT2'!$J735)</f>
        <v/>
      </c>
      <c r="M735" s="44">
        <f>IF('RPT3'!$J735="","",'RPT3'!$J735)</f>
        <v/>
      </c>
    </row>
    <row r="736">
      <c r="A736" s="16" t="inlineStr">
        <is>
          <t>Custom B/G - Base AWP / Rx - w/o Exclusions - Retail 30 - Brand - Base - Non-Maintenance</t>
        </is>
      </c>
      <c r="B736" s="2" t="n"/>
      <c r="C736" s="43">
        <f>IF(Combine="Y", $G736, 0)</f>
        <v/>
      </c>
      <c r="D736" s="2" t="n"/>
      <c r="E736" s="4" t="n"/>
      <c r="F736" s="2" t="n"/>
      <c r="G736" s="43">
        <f>IF(G684=0,0,SUMPRODUCT($K684:$M684,$K736:$M736)/G684)</f>
        <v/>
      </c>
      <c r="H736" s="2" t="n"/>
      <c r="I736" s="4" t="n"/>
      <c r="J736" s="2" t="n"/>
      <c r="K736" s="44">
        <f>IF('RPT1'!$J736="","",'RPT1'!$J736)</f>
        <v/>
      </c>
      <c r="L736" s="44">
        <f>IF('RPT2'!$J736="","",'RPT2'!$J736)</f>
        <v/>
      </c>
      <c r="M736" s="44">
        <f>IF('RPT3'!$J736="","",'RPT3'!$J736)</f>
        <v/>
      </c>
    </row>
    <row r="737">
      <c r="A737" s="16" t="inlineStr">
        <is>
          <t>Custom B/G - Base AWP / Rx - w/o Exclusions - Retail 30 - Generic - Base - Non-Maintenance</t>
        </is>
      </c>
      <c r="B737" s="2" t="n"/>
      <c r="C737" s="43">
        <f>IF(Combine="Y", $G737, 0)</f>
        <v/>
      </c>
      <c r="D737" s="2" t="n"/>
      <c r="E737" s="4" t="n"/>
      <c r="F737" s="2" t="n"/>
      <c r="G737" s="43">
        <f>IF(G685=0,0,SUMPRODUCT($K685:$M685,$K737:$M737)/G685)</f>
        <v/>
      </c>
      <c r="H737" s="2" t="n"/>
      <c r="I737" s="4" t="n"/>
      <c r="J737" s="2" t="n"/>
      <c r="K737" s="44">
        <f>IF('RPT1'!$J737="","",'RPT1'!$J737)</f>
        <v/>
      </c>
      <c r="L737" s="44">
        <f>IF('RPT2'!$J737="","",'RPT2'!$J737)</f>
        <v/>
      </c>
      <c r="M737" s="44">
        <f>IF('RPT3'!$J737="","",'RPT3'!$J737)</f>
        <v/>
      </c>
    </row>
    <row r="738">
      <c r="A738" s="16" t="inlineStr">
        <is>
          <t>Custom B/G - Base AWP / Rx - w/o Exclusions - Retail 90 - Brand - Base - Non-Maintenance</t>
        </is>
      </c>
      <c r="B738" s="2" t="n"/>
      <c r="C738" s="43">
        <f>IF(Combine="Y", $G738, 0)</f>
        <v/>
      </c>
      <c r="D738" s="2" t="n"/>
      <c r="E738" s="4" t="n"/>
      <c r="F738" s="2" t="n"/>
      <c r="G738" s="43">
        <f>IF(G686=0,0,SUMPRODUCT($K686:$M686,$K738:$M738)/G686)</f>
        <v/>
      </c>
      <c r="H738" s="2" t="n"/>
      <c r="I738" s="4" t="n"/>
      <c r="J738" s="2" t="n"/>
      <c r="K738" s="44">
        <f>IF('RPT1'!$J738="","",'RPT1'!$J738)</f>
        <v/>
      </c>
      <c r="L738" s="44">
        <f>IF('RPT2'!$J738="","",'RPT2'!$J738)</f>
        <v/>
      </c>
      <c r="M738" s="44">
        <f>IF('RPT3'!$J738="","",'RPT3'!$J738)</f>
        <v/>
      </c>
    </row>
    <row r="739">
      <c r="A739" s="16" t="inlineStr">
        <is>
          <t>Custom B/G - Base AWP / Rx - w/o Exclusions - Retail 90 - Generic - Base - Non-Maintenance</t>
        </is>
      </c>
      <c r="B739" s="2" t="n"/>
      <c r="C739" s="43">
        <f>IF(Combine="Y", $G739, 0)</f>
        <v/>
      </c>
      <c r="D739" s="2" t="n"/>
      <c r="E739" s="4" t="n"/>
      <c r="F739" s="2" t="n"/>
      <c r="G739" s="43">
        <f>IF(G687=0,0,SUMPRODUCT($K687:$M687,$K739:$M739)/G687)</f>
        <v/>
      </c>
      <c r="H739" s="2" t="n"/>
      <c r="I739" s="4" t="n"/>
      <c r="J739" s="2" t="n"/>
      <c r="K739" s="44">
        <f>IF('RPT1'!$J739="","",'RPT1'!$J739)</f>
        <v/>
      </c>
      <c r="L739" s="44">
        <f>IF('RPT2'!$J739="","",'RPT2'!$J739)</f>
        <v/>
      </c>
      <c r="M739" s="44">
        <f>IF('RPT3'!$J739="","",'RPT3'!$J739)</f>
        <v/>
      </c>
    </row>
    <row r="740">
      <c r="A740" s="16" t="inlineStr">
        <is>
          <t>Custom B/G - Base AWP / Rx - w/o Exclusions - Specialty - Brand - Base - Non-Maintenance</t>
        </is>
      </c>
      <c r="B740" s="2" t="n"/>
      <c r="C740" s="43">
        <f>IF(Combine="Y", $G740, 0)</f>
        <v/>
      </c>
      <c r="D740" s="2" t="n"/>
      <c r="E740" s="4" t="n"/>
      <c r="F740" s="2" t="n"/>
      <c r="G740" s="43">
        <f>IF(G688=0,0,SUMPRODUCT($K688:$M688,$K740:$M740)/G688)</f>
        <v/>
      </c>
      <c r="H740" s="2" t="n"/>
      <c r="I740" s="4" t="n"/>
      <c r="J740" s="2" t="n"/>
      <c r="K740" s="44">
        <f>IF('RPT1'!$J740="","",'RPT1'!$J740)</f>
        <v/>
      </c>
      <c r="L740" s="44">
        <f>IF('RPT2'!$J740="","",'RPT2'!$J740)</f>
        <v/>
      </c>
      <c r="M740" s="44">
        <f>IF('RPT3'!$J740="","",'RPT3'!$J740)</f>
        <v/>
      </c>
    </row>
    <row r="741">
      <c r="A741" s="16" t="inlineStr">
        <is>
          <t>Custom B/G - Base AWP / Rx - w/o Exclusions - Specialty - Generic - Base - Non-Maintenance</t>
        </is>
      </c>
      <c r="B741" s="2" t="n"/>
      <c r="C741" s="43">
        <f>IF(Combine="Y", $G741, 0)</f>
        <v/>
      </c>
      <c r="D741" s="2" t="n"/>
      <c r="E741" s="4" t="n"/>
      <c r="F741" s="2" t="n"/>
      <c r="G741" s="43">
        <f>IF(G689=0,0,SUMPRODUCT($K689:$M689,$K741:$M741)/G689)</f>
        <v/>
      </c>
      <c r="H741" s="2" t="n"/>
      <c r="I741" s="4" t="n"/>
      <c r="J741" s="2" t="n"/>
      <c r="K741" s="44">
        <f>IF('RPT1'!$J741="","",'RPT1'!$J741)</f>
        <v/>
      </c>
      <c r="L741" s="44">
        <f>IF('RPT2'!$J741="","",'RPT2'!$J741)</f>
        <v/>
      </c>
      <c r="M741" s="44">
        <f>IF('RPT3'!$J741="","",'RPT3'!$J741)</f>
        <v/>
      </c>
    </row>
    <row r="742">
      <c r="A742" s="16" t="inlineStr">
        <is>
          <t>Custom B/G - Base AWP / Rx - w/o Exclusions - Mail - Brand - Base - Total</t>
        </is>
      </c>
      <c r="B742" s="2" t="n"/>
      <c r="C742" s="43">
        <f>IF(Combine="Y", $G742, 0)</f>
        <v/>
      </c>
      <c r="D742" s="2" t="n"/>
      <c r="E742" s="4" t="n"/>
      <c r="F742" s="2" t="n"/>
      <c r="G742" s="43">
        <f>IF(G690=0,0,SUMPRODUCT($K690:$M690,$K742:$M742)/G690)</f>
        <v/>
      </c>
      <c r="H742" s="2" t="n"/>
      <c r="I742" s="4" t="n"/>
      <c r="J742" s="2" t="n"/>
      <c r="K742" s="44">
        <f>IF('RPT1'!$J742="","",'RPT1'!$J742)</f>
        <v/>
      </c>
      <c r="L742" s="44">
        <f>IF('RPT2'!$J742="","",'RPT2'!$J742)</f>
        <v/>
      </c>
      <c r="M742" s="44">
        <f>IF('RPT3'!$J742="","",'RPT3'!$J742)</f>
        <v/>
      </c>
    </row>
    <row r="743">
      <c r="A743" s="16" t="inlineStr">
        <is>
          <t>Custom B/G - Base AWP / Rx - w/o Exclusions - Mail - Generic - Base - Total</t>
        </is>
      </c>
      <c r="B743" s="2" t="n"/>
      <c r="C743" s="43">
        <f>IF(Combine="Y", $G743, 0)</f>
        <v/>
      </c>
      <c r="D743" s="2" t="n"/>
      <c r="E743" s="4" t="n"/>
      <c r="F743" s="2" t="n"/>
      <c r="G743" s="43">
        <f>IF(G691=0,0,SUMPRODUCT($K691:$M691,$K743:$M743)/G691)</f>
        <v/>
      </c>
      <c r="H743" s="2" t="n"/>
      <c r="I743" s="4" t="n"/>
      <c r="J743" s="2" t="n"/>
      <c r="K743" s="44">
        <f>IF('RPT1'!$J743="","",'RPT1'!$J743)</f>
        <v/>
      </c>
      <c r="L743" s="44">
        <f>IF('RPT2'!$J743="","",'RPT2'!$J743)</f>
        <v/>
      </c>
      <c r="M743" s="44">
        <f>IF('RPT3'!$J743="","",'RPT3'!$J743)</f>
        <v/>
      </c>
    </row>
    <row r="744">
      <c r="A744" s="16" t="inlineStr">
        <is>
          <t>Custom B/G - Base AWP / Rx - w/o Exclusions - Retail 30 - Brand - Base - Total</t>
        </is>
      </c>
      <c r="B744" s="2" t="n"/>
      <c r="C744" s="43">
        <f>IF(Combine="Y", $G744, 0)</f>
        <v/>
      </c>
      <c r="D744" s="2" t="n"/>
      <c r="E744" s="4" t="n"/>
      <c r="F744" s="2" t="n"/>
      <c r="G744" s="43">
        <f>IF(G692=0,0,SUMPRODUCT($K692:$M692,$K744:$M744)/G692)</f>
        <v/>
      </c>
      <c r="H744" s="2" t="n"/>
      <c r="I744" s="4" t="n"/>
      <c r="J744" s="2" t="n"/>
      <c r="K744" s="44">
        <f>IF('RPT1'!$J744="","",'RPT1'!$J744)</f>
        <v/>
      </c>
      <c r="L744" s="44">
        <f>IF('RPT2'!$J744="","",'RPT2'!$J744)</f>
        <v/>
      </c>
      <c r="M744" s="44">
        <f>IF('RPT3'!$J744="","",'RPT3'!$J744)</f>
        <v/>
      </c>
    </row>
    <row r="745">
      <c r="A745" s="16" t="inlineStr">
        <is>
          <t>Custom B/G - Base AWP / Rx - w/o Exclusions - Retail 30 - Generic - Base - Total</t>
        </is>
      </c>
      <c r="B745" s="2" t="n"/>
      <c r="C745" s="43">
        <f>IF(Combine="Y", $G745, 0)</f>
        <v/>
      </c>
      <c r="D745" s="2" t="n"/>
      <c r="E745" s="4" t="n"/>
      <c r="F745" s="2" t="n"/>
      <c r="G745" s="43">
        <f>IF(G693=0,0,SUMPRODUCT($K693:$M693,$K745:$M745)/G693)</f>
        <v/>
      </c>
      <c r="H745" s="2" t="n"/>
      <c r="I745" s="4" t="n"/>
      <c r="J745" s="2" t="n"/>
      <c r="K745" s="44">
        <f>IF('RPT1'!$J745="","",'RPT1'!$J745)</f>
        <v/>
      </c>
      <c r="L745" s="44">
        <f>IF('RPT2'!$J745="","",'RPT2'!$J745)</f>
        <v/>
      </c>
      <c r="M745" s="44">
        <f>IF('RPT3'!$J745="","",'RPT3'!$J745)</f>
        <v/>
      </c>
    </row>
    <row r="746">
      <c r="A746" s="16" t="inlineStr">
        <is>
          <t>Custom B/G - Base AWP / Rx - w/o Exclusions - Retail 90 - Brand - Base - Total</t>
        </is>
      </c>
      <c r="B746" s="2" t="n"/>
      <c r="C746" s="43">
        <f>IF(Combine="Y", $G746, 0)</f>
        <v/>
      </c>
      <c r="D746" s="2" t="n"/>
      <c r="E746" s="4" t="n"/>
      <c r="F746" s="2" t="n"/>
      <c r="G746" s="43">
        <f>IF(G694=0,0,SUMPRODUCT($K694:$M694,$K746:$M746)/G694)</f>
        <v/>
      </c>
      <c r="H746" s="2" t="n"/>
      <c r="I746" s="4" t="n"/>
      <c r="J746" s="2" t="n"/>
      <c r="K746" s="44">
        <f>IF('RPT1'!$J746="","",'RPT1'!$J746)</f>
        <v/>
      </c>
      <c r="L746" s="44">
        <f>IF('RPT2'!$J746="","",'RPT2'!$J746)</f>
        <v/>
      </c>
      <c r="M746" s="44">
        <f>IF('RPT3'!$J746="","",'RPT3'!$J746)</f>
        <v/>
      </c>
    </row>
    <row r="747">
      <c r="A747" s="16" t="inlineStr">
        <is>
          <t>Custom B/G - Base AWP / Rx - w/o Exclusions - Retail 90 - Generic - Base - Total</t>
        </is>
      </c>
      <c r="B747" s="2" t="n"/>
      <c r="C747" s="43">
        <f>IF(Combine="Y", $G747, 0)</f>
        <v/>
      </c>
      <c r="D747" s="2" t="n"/>
      <c r="E747" s="4" t="n"/>
      <c r="F747" s="2" t="n"/>
      <c r="G747" s="43">
        <f>IF(G695=0,0,SUMPRODUCT($K695:$M695,$K747:$M747)/G695)</f>
        <v/>
      </c>
      <c r="H747" s="2" t="n"/>
      <c r="I747" s="4" t="n"/>
      <c r="J747" s="2" t="n"/>
      <c r="K747" s="44">
        <f>IF('RPT1'!$J747="","",'RPT1'!$J747)</f>
        <v/>
      </c>
      <c r="L747" s="44">
        <f>IF('RPT2'!$J747="","",'RPT2'!$J747)</f>
        <v/>
      </c>
      <c r="M747" s="44">
        <f>IF('RPT3'!$J747="","",'RPT3'!$J747)</f>
        <v/>
      </c>
    </row>
    <row r="748">
      <c r="A748" s="16" t="inlineStr">
        <is>
          <t>Custom B/G - Base AWP / Rx - w/o Exclusions - Specialty - Brand - Base - Total</t>
        </is>
      </c>
      <c r="B748" s="2" t="n"/>
      <c r="C748" s="43">
        <f>IF(Combine="Y", $G748, 0)</f>
        <v/>
      </c>
      <c r="D748" s="2" t="n"/>
      <c r="E748" s="4" t="n"/>
      <c r="F748" s="2" t="n"/>
      <c r="G748" s="43">
        <f>IF(G696=0,0,SUMPRODUCT($K696:$M696,$K748:$M748)/G696)</f>
        <v/>
      </c>
      <c r="H748" s="2" t="n"/>
      <c r="I748" s="4" t="n"/>
      <c r="J748" s="2" t="n"/>
      <c r="K748" s="44">
        <f>IF('RPT1'!$J748="","",'RPT1'!$J748)</f>
        <v/>
      </c>
      <c r="L748" s="44">
        <f>IF('RPT2'!$J748="","",'RPT2'!$J748)</f>
        <v/>
      </c>
      <c r="M748" s="44">
        <f>IF('RPT3'!$J748="","",'RPT3'!$J748)</f>
        <v/>
      </c>
    </row>
    <row r="749">
      <c r="A749" s="16" t="inlineStr">
        <is>
          <t>Custom B/G - Base AWP / Rx - w/o Exclusions - Specialty - Generic - Base - Total</t>
        </is>
      </c>
      <c r="B749" s="2" t="n"/>
      <c r="C749" s="43">
        <f>IF(Combine="Y", $G749, 0)</f>
        <v/>
      </c>
      <c r="D749" s="2" t="n"/>
      <c r="E749" s="4" t="n"/>
      <c r="F749" s="2" t="n"/>
      <c r="G749" s="43">
        <f>IF(G697=0,0,SUMPRODUCT($K697:$M697,$K749:$M749)/G697)</f>
        <v/>
      </c>
      <c r="H749" s="2" t="n"/>
      <c r="I749" s="4" t="n"/>
      <c r="J749" s="2" t="n"/>
      <c r="K749" s="44">
        <f>IF('RPT1'!$J749="","",'RPT1'!$J749)</f>
        <v/>
      </c>
      <c r="L749" s="44">
        <f>IF('RPT2'!$J749="","",'RPT2'!$J749)</f>
        <v/>
      </c>
      <c r="M749" s="44">
        <f>IF('RPT3'!$J749="","",'RPT3'!$J749)</f>
        <v/>
      </c>
    </row>
    <row r="750">
      <c r="A750" s="31" t="n"/>
      <c r="B750" s="2" t="n"/>
      <c r="C750" s="14" t="n"/>
      <c r="D750" s="2" t="n"/>
      <c r="E750" s="4" t="n"/>
      <c r="F750" s="2" t="n"/>
      <c r="G750" s="14" t="n"/>
      <c r="H750" s="2" t="n"/>
      <c r="I750" s="4" t="n"/>
      <c r="J750" s="2" t="n"/>
      <c r="K750" s="32" t="n"/>
      <c r="L750" s="32" t="n"/>
      <c r="M750" s="32" t="n"/>
    </row>
    <row r="751">
      <c r="A751" s="12" t="inlineStr">
        <is>
          <t>Custom B/G - Base AWP / Rx - w/ Exclusions</t>
        </is>
      </c>
      <c r="B751" s="2" t="n"/>
      <c r="C751" s="14" t="n"/>
      <c r="D751" s="2" t="n"/>
      <c r="E751" s="4" t="n"/>
      <c r="F751" s="2" t="n"/>
      <c r="G751" s="14" t="n"/>
      <c r="H751" s="2" t="n"/>
      <c r="I751" s="4" t="n"/>
      <c r="J751" s="2" t="n"/>
      <c r="K751" s="32">
        <f>IF('RPT1'!$J751="","",'RPT1'!$J751)</f>
        <v/>
      </c>
      <c r="L751" s="32">
        <f>IF('RPT2'!$J751="","",'RPT2'!$J751)</f>
        <v/>
      </c>
      <c r="M751" s="32">
        <f>IF('RPT3'!$J751="","",'RPT3'!$J751)</f>
        <v/>
      </c>
    </row>
    <row r="752">
      <c r="A752" s="16" t="inlineStr">
        <is>
          <t>Custom B/G - Base AWP / Rx - w/ Exclusions - Mail - Brand - Base - Maintenance</t>
        </is>
      </c>
      <c r="B752" s="2" t="n"/>
      <c r="C752" s="43">
        <f>IF(Combine="Y", $G752, 0)</f>
        <v/>
      </c>
      <c r="D752" s="2" t="n"/>
      <c r="E752" s="4" t="n"/>
      <c r="F752" s="2" t="n"/>
      <c r="G752" s="43">
        <f>IF(G700=0,0,SUMPRODUCT($K700:$M700,$K752:$M752)/G700)</f>
        <v/>
      </c>
      <c r="H752" s="2" t="n"/>
      <c r="I752" s="4" t="n"/>
      <c r="J752" s="2" t="n"/>
      <c r="K752" s="44">
        <f>IF('RPT1'!$J752="","",'RPT1'!$J752)</f>
        <v/>
      </c>
      <c r="L752" s="44">
        <f>IF('RPT2'!$J752="","",'RPT2'!$J752)</f>
        <v/>
      </c>
      <c r="M752" s="44">
        <f>IF('RPT3'!$J752="","",'RPT3'!$J752)</f>
        <v/>
      </c>
    </row>
    <row r="753">
      <c r="A753" s="16" t="inlineStr">
        <is>
          <t>Custom B/G - Base AWP / Rx - w/ Exclusions - Mail - Generic - Base - Maintenance</t>
        </is>
      </c>
      <c r="B753" s="2" t="n"/>
      <c r="C753" s="43">
        <f>IF(Combine="Y", $G753, 0)</f>
        <v/>
      </c>
      <c r="D753" s="2" t="n"/>
      <c r="E753" s="4" t="n"/>
      <c r="F753" s="2" t="n"/>
      <c r="G753" s="43">
        <f>IF(G701=0,0,SUMPRODUCT($K701:$M701,$K753:$M753)/G701)</f>
        <v/>
      </c>
      <c r="H753" s="2" t="n"/>
      <c r="I753" s="4" t="n"/>
      <c r="J753" s="2" t="n"/>
      <c r="K753" s="44">
        <f>IF('RPT1'!$J753="","",'RPT1'!$J753)</f>
        <v/>
      </c>
      <c r="L753" s="44">
        <f>IF('RPT2'!$J753="","",'RPT2'!$J753)</f>
        <v/>
      </c>
      <c r="M753" s="44">
        <f>IF('RPT3'!$J753="","",'RPT3'!$J753)</f>
        <v/>
      </c>
    </row>
    <row r="754">
      <c r="A754" s="16" t="inlineStr">
        <is>
          <t>Custom B/G - Base AWP / Rx - w/ Exclusions - Retail 30 - Brand - Base - Maintenance</t>
        </is>
      </c>
      <c r="B754" s="2" t="n"/>
      <c r="C754" s="43">
        <f>IF(Combine="Y", $G754, 0)</f>
        <v/>
      </c>
      <c r="D754" s="2" t="n"/>
      <c r="E754" s="4" t="n"/>
      <c r="F754" s="2" t="n"/>
      <c r="G754" s="43">
        <f>IF(G702=0,0,SUMPRODUCT($K702:$M702,$K754:$M754)/G702)</f>
        <v/>
      </c>
      <c r="H754" s="2" t="n"/>
      <c r="I754" s="4" t="n"/>
      <c r="J754" s="2" t="n"/>
      <c r="K754" s="44">
        <f>IF('RPT1'!$J754="","",'RPT1'!$J754)</f>
        <v/>
      </c>
      <c r="L754" s="44">
        <f>IF('RPT2'!$J754="","",'RPT2'!$J754)</f>
        <v/>
      </c>
      <c r="M754" s="44">
        <f>IF('RPT3'!$J754="","",'RPT3'!$J754)</f>
        <v/>
      </c>
    </row>
    <row r="755">
      <c r="A755" s="16" t="inlineStr">
        <is>
          <t>Custom B/G - Base AWP / Rx - w/ Exclusions - Retail 30 - Generic - Base - Maintenance</t>
        </is>
      </c>
      <c r="B755" s="2" t="n"/>
      <c r="C755" s="43">
        <f>IF(Combine="Y", $G755, 0)</f>
        <v/>
      </c>
      <c r="D755" s="2" t="n"/>
      <c r="E755" s="4" t="n"/>
      <c r="F755" s="2" t="n"/>
      <c r="G755" s="43">
        <f>IF(G703=0,0,SUMPRODUCT($K703:$M703,$K755:$M755)/G703)</f>
        <v/>
      </c>
      <c r="H755" s="2" t="n"/>
      <c r="I755" s="4" t="n"/>
      <c r="J755" s="2" t="n"/>
      <c r="K755" s="44">
        <f>IF('RPT1'!$J755="","",'RPT1'!$J755)</f>
        <v/>
      </c>
      <c r="L755" s="44">
        <f>IF('RPT2'!$J755="","",'RPT2'!$J755)</f>
        <v/>
      </c>
      <c r="M755" s="44">
        <f>IF('RPT3'!$J755="","",'RPT3'!$J755)</f>
        <v/>
      </c>
    </row>
    <row r="756">
      <c r="A756" s="16" t="inlineStr">
        <is>
          <t>Custom B/G - Base AWP / Rx - w/ Exclusions - Retail 90 - Brand - Base - Maintenance</t>
        </is>
      </c>
      <c r="B756" s="2" t="n"/>
      <c r="C756" s="43">
        <f>IF(Combine="Y", $G756, 0)</f>
        <v/>
      </c>
      <c r="D756" s="2" t="n"/>
      <c r="E756" s="4" t="n"/>
      <c r="F756" s="2" t="n"/>
      <c r="G756" s="43">
        <f>IF(G704=0,0,SUMPRODUCT($K704:$M704,$K756:$M756)/G704)</f>
        <v/>
      </c>
      <c r="H756" s="2" t="n"/>
      <c r="I756" s="4" t="n"/>
      <c r="J756" s="2" t="n"/>
      <c r="K756" s="44">
        <f>IF('RPT1'!$J756="","",'RPT1'!$J756)</f>
        <v/>
      </c>
      <c r="L756" s="44">
        <f>IF('RPT2'!$J756="","",'RPT2'!$J756)</f>
        <v/>
      </c>
      <c r="M756" s="44">
        <f>IF('RPT3'!$J756="","",'RPT3'!$J756)</f>
        <v/>
      </c>
    </row>
    <row r="757">
      <c r="A757" s="16" t="inlineStr">
        <is>
          <t>Custom B/G - Base AWP / Rx - w/ Exclusions - Retail 90 - Generic - Base - Maintenance</t>
        </is>
      </c>
      <c r="B757" s="2" t="n"/>
      <c r="C757" s="43">
        <f>IF(Combine="Y", $G757, 0)</f>
        <v/>
      </c>
      <c r="D757" s="2" t="n"/>
      <c r="E757" s="4" t="n"/>
      <c r="F757" s="2" t="n"/>
      <c r="G757" s="43">
        <f>IF(G705=0,0,SUMPRODUCT($K705:$M705,$K757:$M757)/G705)</f>
        <v/>
      </c>
      <c r="H757" s="2" t="n"/>
      <c r="I757" s="4" t="n"/>
      <c r="J757" s="2" t="n"/>
      <c r="K757" s="44">
        <f>IF('RPT1'!$J757="","",'RPT1'!$J757)</f>
        <v/>
      </c>
      <c r="L757" s="44">
        <f>IF('RPT2'!$J757="","",'RPT2'!$J757)</f>
        <v/>
      </c>
      <c r="M757" s="44">
        <f>IF('RPT3'!$J757="","",'RPT3'!$J757)</f>
        <v/>
      </c>
    </row>
    <row r="758">
      <c r="A758" s="16" t="inlineStr">
        <is>
          <t>Custom B/G - Base AWP / Rx - w/ Exclusions - Specialty - Brand - Base - Maintenance</t>
        </is>
      </c>
      <c r="B758" s="2" t="n"/>
      <c r="C758" s="43">
        <f>IF(Combine="Y", $G758, 0)</f>
        <v/>
      </c>
      <c r="D758" s="2" t="n"/>
      <c r="E758" s="4" t="n"/>
      <c r="F758" s="2" t="n"/>
      <c r="G758" s="43">
        <f>IF(G706=0,0,SUMPRODUCT($K706:$M706,$K758:$M758)/G706)</f>
        <v/>
      </c>
      <c r="H758" s="2" t="n"/>
      <c r="I758" s="4" t="n"/>
      <c r="J758" s="2" t="n"/>
      <c r="K758" s="44">
        <f>IF('RPT1'!$J758="","",'RPT1'!$J758)</f>
        <v/>
      </c>
      <c r="L758" s="44">
        <f>IF('RPT2'!$J758="","",'RPT2'!$J758)</f>
        <v/>
      </c>
      <c r="M758" s="44">
        <f>IF('RPT3'!$J758="","",'RPT3'!$J758)</f>
        <v/>
      </c>
    </row>
    <row r="759">
      <c r="A759" s="16" t="inlineStr">
        <is>
          <t>Custom B/G - Base AWP / Rx - w/ Exclusions - Specialty - Generic - Base - Maintenance</t>
        </is>
      </c>
      <c r="B759" s="2" t="n"/>
      <c r="C759" s="43">
        <f>IF(Combine="Y", $G759, 0)</f>
        <v/>
      </c>
      <c r="D759" s="2" t="n"/>
      <c r="E759" s="4" t="n"/>
      <c r="F759" s="2" t="n"/>
      <c r="G759" s="43">
        <f>IF(G707=0,0,SUMPRODUCT($K707:$M707,$K759:$M759)/G707)</f>
        <v/>
      </c>
      <c r="H759" s="2" t="n"/>
      <c r="I759" s="4" t="n"/>
      <c r="J759" s="2" t="n"/>
      <c r="K759" s="44">
        <f>IF('RPT1'!$J759="","",'RPT1'!$J759)</f>
        <v/>
      </c>
      <c r="L759" s="44">
        <f>IF('RPT2'!$J759="","",'RPT2'!$J759)</f>
        <v/>
      </c>
      <c r="M759" s="44">
        <f>IF('RPT3'!$J759="","",'RPT3'!$J759)</f>
        <v/>
      </c>
    </row>
    <row r="760">
      <c r="A760" s="16" t="inlineStr">
        <is>
          <t>Custom B/G - Base AWP / Rx - w/ Exclusions - Mail - Brand - Base - Non-Maintenance</t>
        </is>
      </c>
      <c r="B760" s="2" t="n"/>
      <c r="C760" s="43">
        <f>IF(Combine="Y", $G760, 0)</f>
        <v/>
      </c>
      <c r="D760" s="2" t="n"/>
      <c r="E760" s="4" t="n"/>
      <c r="F760" s="2" t="n"/>
      <c r="G760" s="43">
        <f>IF(G708=0,0,SUMPRODUCT($K708:$M708,$K760:$M760)/G708)</f>
        <v/>
      </c>
      <c r="H760" s="2" t="n"/>
      <c r="I760" s="4" t="n"/>
      <c r="J760" s="2" t="n"/>
      <c r="K760" s="44">
        <f>IF('RPT1'!$J760="","",'RPT1'!$J760)</f>
        <v/>
      </c>
      <c r="L760" s="44">
        <f>IF('RPT2'!$J760="","",'RPT2'!$J760)</f>
        <v/>
      </c>
      <c r="M760" s="44">
        <f>IF('RPT3'!$J760="","",'RPT3'!$J760)</f>
        <v/>
      </c>
    </row>
    <row r="761">
      <c r="A761" s="16" t="inlineStr">
        <is>
          <t>Custom B/G - Base AWP / Rx - w/ Exclusions - Mail - Generic - Base - Non-Maintenance</t>
        </is>
      </c>
      <c r="B761" s="2" t="n"/>
      <c r="C761" s="43">
        <f>IF(Combine="Y", $G761, 0)</f>
        <v/>
      </c>
      <c r="D761" s="2" t="n"/>
      <c r="E761" s="4" t="n"/>
      <c r="F761" s="2" t="n"/>
      <c r="G761" s="43">
        <f>IF(G709=0,0,SUMPRODUCT($K709:$M709,$K761:$M761)/G709)</f>
        <v/>
      </c>
      <c r="H761" s="2" t="n"/>
      <c r="I761" s="4" t="n"/>
      <c r="J761" s="2" t="n"/>
      <c r="K761" s="44">
        <f>IF('RPT1'!$J761="","",'RPT1'!$J761)</f>
        <v/>
      </c>
      <c r="L761" s="44">
        <f>IF('RPT2'!$J761="","",'RPT2'!$J761)</f>
        <v/>
      </c>
      <c r="M761" s="44">
        <f>IF('RPT3'!$J761="","",'RPT3'!$J761)</f>
        <v/>
      </c>
    </row>
    <row r="762">
      <c r="A762" s="16" t="inlineStr">
        <is>
          <t>Custom B/G - Base AWP / Rx - w/ Exclusions - Retail 30 - Brand - Base - Non-Maintenance</t>
        </is>
      </c>
      <c r="B762" s="2" t="n"/>
      <c r="C762" s="43">
        <f>IF(Combine="Y", $G762, 0)</f>
        <v/>
      </c>
      <c r="D762" s="2" t="n"/>
      <c r="E762" s="4" t="n"/>
      <c r="F762" s="2" t="n"/>
      <c r="G762" s="43">
        <f>IF(G710=0,0,SUMPRODUCT($K710:$M710,$K762:$M762)/G710)</f>
        <v/>
      </c>
      <c r="H762" s="2" t="n"/>
      <c r="I762" s="4" t="n"/>
      <c r="J762" s="2" t="n"/>
      <c r="K762" s="44">
        <f>IF('RPT1'!$J762="","",'RPT1'!$J762)</f>
        <v/>
      </c>
      <c r="L762" s="44">
        <f>IF('RPT2'!$J762="","",'RPT2'!$J762)</f>
        <v/>
      </c>
      <c r="M762" s="44">
        <f>IF('RPT3'!$J762="","",'RPT3'!$J762)</f>
        <v/>
      </c>
    </row>
    <row r="763">
      <c r="A763" s="16" t="inlineStr">
        <is>
          <t>Custom B/G - Base AWP / Rx - w/ Exclusions - Retail 30 - Generic - Base - Non-Maintenance</t>
        </is>
      </c>
      <c r="B763" s="2" t="n"/>
      <c r="C763" s="43">
        <f>IF(Combine="Y", $G763, 0)</f>
        <v/>
      </c>
      <c r="D763" s="2" t="n"/>
      <c r="E763" s="4" t="n"/>
      <c r="F763" s="2" t="n"/>
      <c r="G763" s="43">
        <f>IF(G711=0,0,SUMPRODUCT($K711:$M711,$K763:$M763)/G711)</f>
        <v/>
      </c>
      <c r="H763" s="2" t="n"/>
      <c r="I763" s="4" t="n"/>
      <c r="J763" s="2" t="n"/>
      <c r="K763" s="44">
        <f>IF('RPT1'!$J763="","",'RPT1'!$J763)</f>
        <v/>
      </c>
      <c r="L763" s="44">
        <f>IF('RPT2'!$J763="","",'RPT2'!$J763)</f>
        <v/>
      </c>
      <c r="M763" s="44">
        <f>IF('RPT3'!$J763="","",'RPT3'!$J763)</f>
        <v/>
      </c>
    </row>
    <row r="764">
      <c r="A764" s="16" t="inlineStr">
        <is>
          <t>Custom B/G - Base AWP / Rx - w/ Exclusions - Retail 90 - Brand - Base - Non-Maintenance</t>
        </is>
      </c>
      <c r="B764" s="2" t="n"/>
      <c r="C764" s="43">
        <f>IF(Combine="Y", $G764, 0)</f>
        <v/>
      </c>
      <c r="D764" s="2" t="n"/>
      <c r="E764" s="4" t="n"/>
      <c r="F764" s="2" t="n"/>
      <c r="G764" s="43">
        <f>IF(G712=0,0,SUMPRODUCT($K712:$M712,$K764:$M764)/G712)</f>
        <v/>
      </c>
      <c r="H764" s="2" t="n"/>
      <c r="I764" s="4" t="n"/>
      <c r="J764" s="2" t="n"/>
      <c r="K764" s="44">
        <f>IF('RPT1'!$J764="","",'RPT1'!$J764)</f>
        <v/>
      </c>
      <c r="L764" s="44">
        <f>IF('RPT2'!$J764="","",'RPT2'!$J764)</f>
        <v/>
      </c>
      <c r="M764" s="44">
        <f>IF('RPT3'!$J764="","",'RPT3'!$J764)</f>
        <v/>
      </c>
    </row>
    <row r="765">
      <c r="A765" s="16" t="inlineStr">
        <is>
          <t>Custom B/G - Base AWP / Rx - w/ Exclusions - Retail 90 - Generic - Base - Non-Maintenance</t>
        </is>
      </c>
      <c r="B765" s="2" t="n"/>
      <c r="C765" s="43">
        <f>IF(Combine="Y", $G765, 0)</f>
        <v/>
      </c>
      <c r="D765" s="2" t="n"/>
      <c r="E765" s="4" t="n"/>
      <c r="F765" s="2" t="n"/>
      <c r="G765" s="43">
        <f>IF(G713=0,0,SUMPRODUCT($K713:$M713,$K765:$M765)/G713)</f>
        <v/>
      </c>
      <c r="H765" s="2" t="n"/>
      <c r="I765" s="4" t="n"/>
      <c r="J765" s="2" t="n"/>
      <c r="K765" s="44">
        <f>IF('RPT1'!$J765="","",'RPT1'!$J765)</f>
        <v/>
      </c>
      <c r="L765" s="44">
        <f>IF('RPT2'!$J765="","",'RPT2'!$J765)</f>
        <v/>
      </c>
      <c r="M765" s="44">
        <f>IF('RPT3'!$J765="","",'RPT3'!$J765)</f>
        <v/>
      </c>
    </row>
    <row r="766">
      <c r="A766" s="16" t="inlineStr">
        <is>
          <t>Custom B/G - Base AWP / Rx - w/ Exclusions - Specialty - Brand - Base - Non-Maintenance</t>
        </is>
      </c>
      <c r="B766" s="2" t="n"/>
      <c r="C766" s="43">
        <f>IF(Combine="Y", $G766, 0)</f>
        <v/>
      </c>
      <c r="D766" s="2" t="n"/>
      <c r="E766" s="4" t="n"/>
      <c r="F766" s="2" t="n"/>
      <c r="G766" s="43">
        <f>IF(G714=0,0,SUMPRODUCT($K714:$M714,$K766:$M766)/G714)</f>
        <v/>
      </c>
      <c r="H766" s="2" t="n"/>
      <c r="I766" s="4" t="n"/>
      <c r="J766" s="2" t="n"/>
      <c r="K766" s="44">
        <f>IF('RPT1'!$J766="","",'RPT1'!$J766)</f>
        <v/>
      </c>
      <c r="L766" s="44">
        <f>IF('RPT2'!$J766="","",'RPT2'!$J766)</f>
        <v/>
      </c>
      <c r="M766" s="44">
        <f>IF('RPT3'!$J766="","",'RPT3'!$J766)</f>
        <v/>
      </c>
    </row>
    <row r="767">
      <c r="A767" s="16" t="inlineStr">
        <is>
          <t>Custom B/G - Base AWP / Rx - w/ Exclusions - Specialty - Generic - Base - Non-Maintenance</t>
        </is>
      </c>
      <c r="B767" s="2" t="n"/>
      <c r="C767" s="43">
        <f>IF(Combine="Y", $G767, 0)</f>
        <v/>
      </c>
      <c r="D767" s="2" t="n"/>
      <c r="E767" s="4" t="n"/>
      <c r="F767" s="2" t="n"/>
      <c r="G767" s="43">
        <f>IF(G715=0,0,SUMPRODUCT($K715:$M715,$K767:$M767)/G715)</f>
        <v/>
      </c>
      <c r="H767" s="2" t="n"/>
      <c r="I767" s="4" t="n"/>
      <c r="J767" s="2" t="n"/>
      <c r="K767" s="44">
        <f>IF('RPT1'!$J767="","",'RPT1'!$J767)</f>
        <v/>
      </c>
      <c r="L767" s="44">
        <f>IF('RPT2'!$J767="","",'RPT2'!$J767)</f>
        <v/>
      </c>
      <c r="M767" s="44">
        <f>IF('RPT3'!$J767="","",'RPT3'!$J767)</f>
        <v/>
      </c>
    </row>
    <row r="768">
      <c r="A768" s="16" t="inlineStr">
        <is>
          <t>Custom B/G - Base AWP / Rx - w/ Exclusions - Mail - Brand - Base - Total</t>
        </is>
      </c>
      <c r="B768" s="2" t="n"/>
      <c r="C768" s="43">
        <f>IF(Combine="Y", $G768, 0)</f>
        <v/>
      </c>
      <c r="D768" s="2" t="n"/>
      <c r="E768" s="4" t="n"/>
      <c r="F768" s="2" t="n"/>
      <c r="G768" s="43">
        <f>IF(G716=0,0,SUMPRODUCT($K716:$M716,$K768:$M768)/G716)</f>
        <v/>
      </c>
      <c r="H768" s="2" t="n"/>
      <c r="I768" s="4" t="n"/>
      <c r="J768" s="2" t="n"/>
      <c r="K768" s="44">
        <f>IF('RPT1'!$J768="","",'RPT1'!$J768)</f>
        <v/>
      </c>
      <c r="L768" s="44">
        <f>IF('RPT2'!$J768="","",'RPT2'!$J768)</f>
        <v/>
      </c>
      <c r="M768" s="44">
        <f>IF('RPT3'!$J768="","",'RPT3'!$J768)</f>
        <v/>
      </c>
    </row>
    <row r="769">
      <c r="A769" s="16" t="inlineStr">
        <is>
          <t>Custom B/G - Base AWP / Rx - w/ Exclusions - Mail - Generic - Base - Total</t>
        </is>
      </c>
      <c r="B769" s="2" t="n"/>
      <c r="C769" s="43">
        <f>IF(Combine="Y", $G769, 0)</f>
        <v/>
      </c>
      <c r="D769" s="2" t="n"/>
      <c r="E769" s="4" t="n"/>
      <c r="F769" s="2" t="n"/>
      <c r="G769" s="43">
        <f>IF(G717=0,0,SUMPRODUCT($K717:$M717,$K769:$M769)/G717)</f>
        <v/>
      </c>
      <c r="H769" s="2" t="n"/>
      <c r="I769" s="4" t="n"/>
      <c r="J769" s="2" t="n"/>
      <c r="K769" s="44">
        <f>IF('RPT1'!$J769="","",'RPT1'!$J769)</f>
        <v/>
      </c>
      <c r="L769" s="44">
        <f>IF('RPT2'!$J769="","",'RPT2'!$J769)</f>
        <v/>
      </c>
      <c r="M769" s="44">
        <f>IF('RPT3'!$J769="","",'RPT3'!$J769)</f>
        <v/>
      </c>
    </row>
    <row r="770">
      <c r="A770" s="16" t="inlineStr">
        <is>
          <t>Custom B/G - Base AWP / Rx - w/ Exclusions - Retail 30 - Brand - Base - Total</t>
        </is>
      </c>
      <c r="B770" s="2" t="n"/>
      <c r="C770" s="43">
        <f>IF(Combine="Y", $G770, 0)</f>
        <v/>
      </c>
      <c r="D770" s="2" t="n"/>
      <c r="E770" s="4" t="n"/>
      <c r="F770" s="2" t="n"/>
      <c r="G770" s="43">
        <f>IF(G718=0,0,SUMPRODUCT($K718:$M718,$K770:$M770)/G718)</f>
        <v/>
      </c>
      <c r="H770" s="2" t="n"/>
      <c r="I770" s="4" t="n"/>
      <c r="J770" s="2" t="n"/>
      <c r="K770" s="44">
        <f>IF('RPT1'!$J770="","",'RPT1'!$J770)</f>
        <v/>
      </c>
      <c r="L770" s="44">
        <f>IF('RPT2'!$J770="","",'RPT2'!$J770)</f>
        <v/>
      </c>
      <c r="M770" s="44">
        <f>IF('RPT3'!$J770="","",'RPT3'!$J770)</f>
        <v/>
      </c>
    </row>
    <row r="771">
      <c r="A771" s="16" t="inlineStr">
        <is>
          <t>Custom B/G - Base AWP / Rx - w/ Exclusions - Retail 30 - Generic - Base - Total</t>
        </is>
      </c>
      <c r="B771" s="2" t="n"/>
      <c r="C771" s="43">
        <f>IF(Combine="Y", $G771, 0)</f>
        <v/>
      </c>
      <c r="D771" s="2" t="n"/>
      <c r="E771" s="4" t="n"/>
      <c r="F771" s="2" t="n"/>
      <c r="G771" s="43">
        <f>IF(G719=0,0,SUMPRODUCT($K719:$M719,$K771:$M771)/G719)</f>
        <v/>
      </c>
      <c r="H771" s="2" t="n"/>
      <c r="I771" s="4" t="n"/>
      <c r="J771" s="2" t="n"/>
      <c r="K771" s="44">
        <f>IF('RPT1'!$J771="","",'RPT1'!$J771)</f>
        <v/>
      </c>
      <c r="L771" s="44">
        <f>IF('RPT2'!$J771="","",'RPT2'!$J771)</f>
        <v/>
      </c>
      <c r="M771" s="44">
        <f>IF('RPT3'!$J771="","",'RPT3'!$J771)</f>
        <v/>
      </c>
    </row>
    <row r="772">
      <c r="A772" s="16" t="inlineStr">
        <is>
          <t>Custom B/G - Base AWP / Rx - w/ Exclusions - Retail 90 - Brand - Base - Total</t>
        </is>
      </c>
      <c r="B772" s="2" t="n"/>
      <c r="C772" s="43">
        <f>IF(Combine="Y", $G772, 0)</f>
        <v/>
      </c>
      <c r="D772" s="2" t="n"/>
      <c r="E772" s="4" t="n"/>
      <c r="F772" s="2" t="n"/>
      <c r="G772" s="43">
        <f>IF(G720=0,0,SUMPRODUCT($K720:$M720,$K772:$M772)/G720)</f>
        <v/>
      </c>
      <c r="H772" s="2" t="n"/>
      <c r="I772" s="4" t="n"/>
      <c r="J772" s="2" t="n"/>
      <c r="K772" s="44">
        <f>IF('RPT1'!$J772="","",'RPT1'!$J772)</f>
        <v/>
      </c>
      <c r="L772" s="44">
        <f>IF('RPT2'!$J772="","",'RPT2'!$J772)</f>
        <v/>
      </c>
      <c r="M772" s="44">
        <f>IF('RPT3'!$J772="","",'RPT3'!$J772)</f>
        <v/>
      </c>
    </row>
    <row r="773">
      <c r="A773" s="16" t="inlineStr">
        <is>
          <t>Custom B/G - Base AWP / Rx - w/ Exclusions - Retail 90 - Generic - Base - Total</t>
        </is>
      </c>
      <c r="B773" s="2" t="n"/>
      <c r="C773" s="43">
        <f>IF(Combine="Y", $G773, 0)</f>
        <v/>
      </c>
      <c r="D773" s="2" t="n"/>
      <c r="E773" s="4" t="n"/>
      <c r="F773" s="2" t="n"/>
      <c r="G773" s="43">
        <f>IF(G721=0,0,SUMPRODUCT($K721:$M721,$K773:$M773)/G721)</f>
        <v/>
      </c>
      <c r="H773" s="2" t="n"/>
      <c r="I773" s="4" t="n"/>
      <c r="J773" s="2" t="n"/>
      <c r="K773" s="44">
        <f>IF('RPT1'!$J773="","",'RPT1'!$J773)</f>
        <v/>
      </c>
      <c r="L773" s="44">
        <f>IF('RPT2'!$J773="","",'RPT2'!$J773)</f>
        <v/>
      </c>
      <c r="M773" s="44">
        <f>IF('RPT3'!$J773="","",'RPT3'!$J773)</f>
        <v/>
      </c>
    </row>
    <row r="774">
      <c r="A774" s="16" t="inlineStr">
        <is>
          <t>Custom B/G - Base AWP / Rx - w/ Exclusions - Specialty - Brand - Base - Total</t>
        </is>
      </c>
      <c r="B774" s="2" t="n"/>
      <c r="C774" s="43">
        <f>IF(Combine="Y", $G774, 0)</f>
        <v/>
      </c>
      <c r="D774" s="2" t="n"/>
      <c r="E774" s="4" t="n"/>
      <c r="F774" s="2" t="n"/>
      <c r="G774" s="43">
        <f>IF(G722=0,0,SUMPRODUCT($K722:$M722,$K774:$M774)/G722)</f>
        <v/>
      </c>
      <c r="H774" s="2" t="n"/>
      <c r="I774" s="4" t="n"/>
      <c r="J774" s="2" t="n"/>
      <c r="K774" s="44">
        <f>IF('RPT1'!$J774="","",'RPT1'!$J774)</f>
        <v/>
      </c>
      <c r="L774" s="44">
        <f>IF('RPT2'!$J774="","",'RPT2'!$J774)</f>
        <v/>
      </c>
      <c r="M774" s="44">
        <f>IF('RPT3'!$J774="","",'RPT3'!$J774)</f>
        <v/>
      </c>
    </row>
    <row r="775">
      <c r="A775" s="16" t="inlineStr">
        <is>
          <t>Custom B/G - Base AWP / Rx - w/ Exclusions - Specialty - Generic - Base - Total</t>
        </is>
      </c>
      <c r="B775" s="2" t="n"/>
      <c r="C775" s="43">
        <f>IF(Combine="Y", $G775, 0)</f>
        <v/>
      </c>
      <c r="D775" s="2" t="n"/>
      <c r="E775" s="4" t="n"/>
      <c r="F775" s="2" t="n"/>
      <c r="G775" s="43">
        <f>IF(G723=0,0,SUMPRODUCT($K723:$M723,$K775:$M775)/G723)</f>
        <v/>
      </c>
      <c r="H775" s="2" t="n"/>
      <c r="I775" s="4" t="n"/>
      <c r="J775" s="2" t="n"/>
      <c r="K775" s="44">
        <f>IF('RPT1'!$J775="","",'RPT1'!$J775)</f>
        <v/>
      </c>
      <c r="L775" s="44">
        <f>IF('RPT2'!$J775="","",'RPT2'!$J775)</f>
        <v/>
      </c>
      <c r="M775" s="44">
        <f>IF('RPT3'!$J775="","",'RPT3'!$J775)</f>
        <v/>
      </c>
    </row>
    <row r="776">
      <c r="A776" s="16" t="n"/>
      <c r="B776" s="2" t="n"/>
      <c r="C776" s="43" t="n"/>
      <c r="D776" s="2" t="n"/>
      <c r="E776" s="4" t="n"/>
      <c r="F776" s="2" t="n"/>
      <c r="G776" s="43" t="n"/>
      <c r="H776" s="2" t="n"/>
      <c r="I776" s="4" t="n"/>
      <c r="J776" s="2" t="n"/>
      <c r="K776" s="44" t="n"/>
      <c r="L776" s="44" t="n"/>
      <c r="M776" s="44" t="n"/>
    </row>
    <row r="777">
      <c r="A777" s="37" t="inlineStr">
        <is>
          <t>MFP Scripts</t>
        </is>
      </c>
      <c r="B777" s="2" t="n"/>
      <c r="C777" s="43" t="n"/>
      <c r="D777" s="2" t="n"/>
      <c r="E777" s="4" t="n"/>
      <c r="F777" s="2" t="n"/>
      <c r="G777" s="43" t="n"/>
      <c r="H777" s="2" t="n"/>
      <c r="I777" s="4" t="n"/>
      <c r="J777" s="2" t="n"/>
      <c r="K777" s="44">
        <f>IF('RPT1'!$J777="","",'RPT1'!$J777)</f>
        <v/>
      </c>
      <c r="L777" s="44">
        <f>IF('RPT2'!$J777="","",'RPT2'!$J777)</f>
        <v/>
      </c>
      <c r="M777" s="44">
        <f>IF('RPT3'!$J777="","",'RPT3'!$J777)</f>
        <v/>
      </c>
    </row>
    <row r="778">
      <c r="A778" s="16" t="inlineStr">
        <is>
          <t>MFP Scripts - Mail - Brand - Year 1</t>
        </is>
      </c>
      <c r="B778" s="2" t="n"/>
      <c r="C778" s="33">
        <f>IF(Combine="Y", $G778, 0)</f>
        <v/>
      </c>
      <c r="D778" s="2" t="n"/>
      <c r="E778" s="4" t="n"/>
      <c r="F778" s="2" t="n"/>
      <c r="G778" s="33">
        <f>SUM($K778:$M778)</f>
        <v/>
      </c>
      <c r="H778" s="2" t="n"/>
      <c r="I778" s="4" t="n"/>
      <c r="J778" s="2" t="n"/>
      <c r="K778" s="32">
        <f>IF('RPT1'!$J778="","",'RPT1'!$J778)</f>
        <v/>
      </c>
      <c r="L778" s="32">
        <f>IF('RPT2'!$J778="","",'RPT2'!$J778)</f>
        <v/>
      </c>
      <c r="M778" s="32">
        <f>IF('RPT3'!$J778="","",'RPT3'!$J778)</f>
        <v/>
      </c>
    </row>
    <row r="779">
      <c r="A779" s="16" t="inlineStr">
        <is>
          <t>MFP Scripts - Mail - Brand - Year 2</t>
        </is>
      </c>
      <c r="B779" s="2" t="n"/>
      <c r="C779" s="33">
        <f>IF(Combine="Y", $G779, 0)</f>
        <v/>
      </c>
      <c r="D779" s="2" t="n"/>
      <c r="E779" s="4" t="n"/>
      <c r="F779" s="2" t="n"/>
      <c r="G779" s="33">
        <f>SUM($K779:$M779)</f>
        <v/>
      </c>
      <c r="H779" s="2" t="n"/>
      <c r="I779" s="4" t="n"/>
      <c r="J779" s="2" t="n"/>
      <c r="K779" s="32">
        <f>IF('RPT1'!$J779="","",'RPT1'!$J779)</f>
        <v/>
      </c>
      <c r="L779" s="32">
        <f>IF('RPT2'!$J779="","",'RPT2'!$J779)</f>
        <v/>
      </c>
      <c r="M779" s="32">
        <f>IF('RPT3'!$J779="","",'RPT3'!$J779)</f>
        <v/>
      </c>
    </row>
    <row r="780">
      <c r="A780" s="16" t="inlineStr">
        <is>
          <t>MFP Scripts - Mail - Brand - Year 3</t>
        </is>
      </c>
      <c r="B780" s="2" t="n"/>
      <c r="C780" s="33">
        <f>IF(Combine="Y", $G780, 0)</f>
        <v/>
      </c>
      <c r="D780" s="2" t="n"/>
      <c r="E780" s="4" t="n"/>
      <c r="F780" s="2" t="n"/>
      <c r="G780" s="33">
        <f>SUM($K780:$M780)</f>
        <v/>
      </c>
      <c r="H780" s="2" t="n"/>
      <c r="I780" s="4" t="n"/>
      <c r="J780" s="2" t="n"/>
      <c r="K780" s="32">
        <f>IF('RPT1'!$J780="","",'RPT1'!$J780)</f>
        <v/>
      </c>
      <c r="L780" s="32">
        <f>IF('RPT2'!$J780="","",'RPT2'!$J780)</f>
        <v/>
      </c>
      <c r="M780" s="32">
        <f>IF('RPT3'!$J780="","",'RPT3'!$J780)</f>
        <v/>
      </c>
    </row>
    <row r="781">
      <c r="A781" s="16" t="inlineStr">
        <is>
          <t>MFP Scripts - Mail - Brand - Year 4</t>
        </is>
      </c>
      <c r="B781" s="2" t="n"/>
      <c r="C781" s="33">
        <f>IF(Combine="Y", $G781, 0)</f>
        <v/>
      </c>
      <c r="D781" s="2" t="n"/>
      <c r="E781" s="4" t="n"/>
      <c r="F781" s="2" t="n"/>
      <c r="G781" s="33">
        <f>SUM($K781:$M781)</f>
        <v/>
      </c>
      <c r="H781" s="2" t="n"/>
      <c r="I781" s="4" t="n"/>
      <c r="J781" s="2" t="n"/>
      <c r="K781" s="32">
        <f>IF('RPT1'!$J781="","",'RPT1'!$J781)</f>
        <v/>
      </c>
      <c r="L781" s="32">
        <f>IF('RPT2'!$J781="","",'RPT2'!$J781)</f>
        <v/>
      </c>
      <c r="M781" s="32">
        <f>IF('RPT3'!$J781="","",'RPT3'!$J781)</f>
        <v/>
      </c>
    </row>
    <row r="782">
      <c r="A782" s="16" t="inlineStr">
        <is>
          <t>MFP Scripts - Mail - Brand - Year 5</t>
        </is>
      </c>
      <c r="B782" s="2" t="n"/>
      <c r="C782" s="33">
        <f>IF(Combine="Y", $G782, 0)</f>
        <v/>
      </c>
      <c r="D782" s="2" t="n"/>
      <c r="E782" s="4" t="n"/>
      <c r="F782" s="2" t="n"/>
      <c r="G782" s="33">
        <f>SUM($K782:$M782)</f>
        <v/>
      </c>
      <c r="H782" s="2" t="n"/>
      <c r="I782" s="4" t="n"/>
      <c r="J782" s="2" t="n"/>
      <c r="K782" s="32">
        <f>IF('RPT1'!$J782="","",'RPT1'!$J782)</f>
        <v/>
      </c>
      <c r="L782" s="32">
        <f>IF('RPT2'!$J782="","",'RPT2'!$J782)</f>
        <v/>
      </c>
      <c r="M782" s="32">
        <f>IF('RPT3'!$J782="","",'RPT3'!$J782)</f>
        <v/>
      </c>
    </row>
    <row r="783">
      <c r="A783" s="16" t="inlineStr">
        <is>
          <t>MFP Scripts - Mail - Generic - Year 1</t>
        </is>
      </c>
      <c r="B783" s="2" t="n"/>
      <c r="C783" s="33">
        <f>IF(Combine="Y", $G783, 0)</f>
        <v/>
      </c>
      <c r="D783" s="2" t="n"/>
      <c r="E783" s="4" t="n"/>
      <c r="F783" s="2" t="n"/>
      <c r="G783" s="33">
        <f>SUM($K783:$M783)</f>
        <v/>
      </c>
      <c r="H783" s="2" t="n"/>
      <c r="I783" s="4" t="n"/>
      <c r="J783" s="2" t="n"/>
      <c r="K783" s="32">
        <f>IF('RPT1'!$J783="","",'RPT1'!$J783)</f>
        <v/>
      </c>
      <c r="L783" s="32">
        <f>IF('RPT2'!$J783="","",'RPT2'!$J783)</f>
        <v/>
      </c>
      <c r="M783" s="32">
        <f>IF('RPT3'!$J783="","",'RPT3'!$J783)</f>
        <v/>
      </c>
    </row>
    <row r="784">
      <c r="A784" s="16" t="inlineStr">
        <is>
          <t>MFP Scripts - Mail - Generic - Year 2</t>
        </is>
      </c>
      <c r="B784" s="2" t="n"/>
      <c r="C784" s="33">
        <f>IF(Combine="Y", $G784, 0)</f>
        <v/>
      </c>
      <c r="D784" s="2" t="n"/>
      <c r="E784" s="4" t="n"/>
      <c r="F784" s="2" t="n"/>
      <c r="G784" s="33">
        <f>SUM($K784:$M784)</f>
        <v/>
      </c>
      <c r="H784" s="2" t="n"/>
      <c r="I784" s="4" t="n"/>
      <c r="J784" s="2" t="n"/>
      <c r="K784" s="32">
        <f>IF('RPT1'!$J784="","",'RPT1'!$J784)</f>
        <v/>
      </c>
      <c r="L784" s="32">
        <f>IF('RPT2'!$J784="","",'RPT2'!$J784)</f>
        <v/>
      </c>
      <c r="M784" s="32">
        <f>IF('RPT3'!$J784="","",'RPT3'!$J784)</f>
        <v/>
      </c>
    </row>
    <row r="785">
      <c r="A785" s="16" t="inlineStr">
        <is>
          <t>MFP Scripts - Mail - Generic - Year 3</t>
        </is>
      </c>
      <c r="B785" s="2" t="n"/>
      <c r="C785" s="33">
        <f>IF(Combine="Y", $G785, 0)</f>
        <v/>
      </c>
      <c r="D785" s="2" t="n"/>
      <c r="E785" s="4" t="n"/>
      <c r="F785" s="2" t="n"/>
      <c r="G785" s="33">
        <f>SUM($K785:$M785)</f>
        <v/>
      </c>
      <c r="H785" s="2" t="n"/>
      <c r="I785" s="4" t="n"/>
      <c r="J785" s="2" t="n"/>
      <c r="K785" s="32">
        <f>IF('RPT1'!$J785="","",'RPT1'!$J785)</f>
        <v/>
      </c>
      <c r="L785" s="32">
        <f>IF('RPT2'!$J785="","",'RPT2'!$J785)</f>
        <v/>
      </c>
      <c r="M785" s="32">
        <f>IF('RPT3'!$J785="","",'RPT3'!$J785)</f>
        <v/>
      </c>
    </row>
    <row r="786">
      <c r="A786" s="16" t="inlineStr">
        <is>
          <t>MFP Scripts - Mail - Generic - Year 4</t>
        </is>
      </c>
      <c r="B786" s="2" t="n"/>
      <c r="C786" s="33">
        <f>IF(Combine="Y", $G786, 0)</f>
        <v/>
      </c>
      <c r="D786" s="2" t="n"/>
      <c r="E786" s="4" t="n"/>
      <c r="F786" s="2" t="n"/>
      <c r="G786" s="33">
        <f>SUM($K786:$M786)</f>
        <v/>
      </c>
      <c r="H786" s="2" t="n"/>
      <c r="I786" s="4" t="n"/>
      <c r="J786" s="2" t="n"/>
      <c r="K786" s="32">
        <f>IF('RPT1'!$J786="","",'RPT1'!$J786)</f>
        <v/>
      </c>
      <c r="L786" s="32">
        <f>IF('RPT2'!$J786="","",'RPT2'!$J786)</f>
        <v/>
      </c>
      <c r="M786" s="32">
        <f>IF('RPT3'!$J786="","",'RPT3'!$J786)</f>
        <v/>
      </c>
    </row>
    <row r="787">
      <c r="A787" s="16" t="inlineStr">
        <is>
          <t>MFP Scripts - Mail - Generic - Year 5</t>
        </is>
      </c>
      <c r="B787" s="2" t="n"/>
      <c r="C787" s="33">
        <f>IF(Combine="Y", $G787, 0)</f>
        <v/>
      </c>
      <c r="D787" s="2" t="n"/>
      <c r="E787" s="4" t="n"/>
      <c r="F787" s="2" t="n"/>
      <c r="G787" s="33">
        <f>SUM($K787:$M787)</f>
        <v/>
      </c>
      <c r="H787" s="2" t="n"/>
      <c r="I787" s="4" t="n"/>
      <c r="J787" s="2" t="n"/>
      <c r="K787" s="32">
        <f>IF('RPT1'!$J787="","",'RPT1'!$J787)</f>
        <v/>
      </c>
      <c r="L787" s="32">
        <f>IF('RPT2'!$J787="","",'RPT2'!$J787)</f>
        <v/>
      </c>
      <c r="M787" s="32">
        <f>IF('RPT3'!$J787="","",'RPT3'!$J787)</f>
        <v/>
      </c>
    </row>
    <row r="788">
      <c r="A788" s="16" t="inlineStr">
        <is>
          <t>MFP Scripts - Retail 30 - Brand - Year 1</t>
        </is>
      </c>
      <c r="B788" s="2" t="n"/>
      <c r="C788" s="33">
        <f>IF(Combine="Y", $G788, 0)</f>
        <v/>
      </c>
      <c r="D788" s="2" t="n"/>
      <c r="E788" s="4" t="n"/>
      <c r="F788" s="2" t="n"/>
      <c r="G788" s="33">
        <f>SUM($K788:$M788)</f>
        <v/>
      </c>
      <c r="H788" s="2" t="n"/>
      <c r="I788" s="4" t="n"/>
      <c r="J788" s="2" t="n"/>
      <c r="K788" s="32">
        <f>IF('RPT1'!$J788="","",'RPT1'!$J788)</f>
        <v/>
      </c>
      <c r="L788" s="32">
        <f>IF('RPT2'!$J788="","",'RPT2'!$J788)</f>
        <v/>
      </c>
      <c r="M788" s="32">
        <f>IF('RPT3'!$J788="","",'RPT3'!$J788)</f>
        <v/>
      </c>
    </row>
    <row r="789">
      <c r="A789" s="16" t="inlineStr">
        <is>
          <t>MFP Scripts - Retail 30 - Brand - Year 2</t>
        </is>
      </c>
      <c r="B789" s="2" t="n"/>
      <c r="C789" s="33">
        <f>IF(Combine="Y", $G789, 0)</f>
        <v/>
      </c>
      <c r="D789" s="2" t="n"/>
      <c r="E789" s="4" t="n"/>
      <c r="F789" s="2" t="n"/>
      <c r="G789" s="33">
        <f>SUM($K789:$M789)</f>
        <v/>
      </c>
      <c r="H789" s="2" t="n"/>
      <c r="I789" s="4" t="n"/>
      <c r="J789" s="2" t="n"/>
      <c r="K789" s="32">
        <f>IF('RPT1'!$J789="","",'RPT1'!$J789)</f>
        <v/>
      </c>
      <c r="L789" s="32">
        <f>IF('RPT2'!$J789="","",'RPT2'!$J789)</f>
        <v/>
      </c>
      <c r="M789" s="32">
        <f>IF('RPT3'!$J789="","",'RPT3'!$J789)</f>
        <v/>
      </c>
    </row>
    <row r="790">
      <c r="A790" s="16" t="inlineStr">
        <is>
          <t>MFP Scripts - Retail 30 - Brand - Year 3</t>
        </is>
      </c>
      <c r="B790" s="2" t="n"/>
      <c r="C790" s="33">
        <f>IF(Combine="Y", $G790, 0)</f>
        <v/>
      </c>
      <c r="D790" s="2" t="n"/>
      <c r="E790" s="4" t="n"/>
      <c r="F790" s="2" t="n"/>
      <c r="G790" s="33">
        <f>SUM($K790:$M790)</f>
        <v/>
      </c>
      <c r="H790" s="2" t="n"/>
      <c r="I790" s="4" t="n"/>
      <c r="J790" s="2" t="n"/>
      <c r="K790" s="32">
        <f>IF('RPT1'!$J790="","",'RPT1'!$J790)</f>
        <v/>
      </c>
      <c r="L790" s="32">
        <f>IF('RPT2'!$J790="","",'RPT2'!$J790)</f>
        <v/>
      </c>
      <c r="M790" s="32">
        <f>IF('RPT3'!$J790="","",'RPT3'!$J790)</f>
        <v/>
      </c>
    </row>
    <row r="791">
      <c r="A791" s="16" t="inlineStr">
        <is>
          <t>MFP Scripts - Retail 30 - Brand - Year 4</t>
        </is>
      </c>
      <c r="B791" s="2" t="n"/>
      <c r="C791" s="33">
        <f>IF(Combine="Y", $G791, 0)</f>
        <v/>
      </c>
      <c r="D791" s="2" t="n"/>
      <c r="E791" s="4" t="n"/>
      <c r="F791" s="2" t="n"/>
      <c r="G791" s="33">
        <f>SUM($K791:$M791)</f>
        <v/>
      </c>
      <c r="H791" s="2" t="n"/>
      <c r="I791" s="4" t="n"/>
      <c r="J791" s="2" t="n"/>
      <c r="K791" s="32">
        <f>IF('RPT1'!$J791="","",'RPT1'!$J791)</f>
        <v/>
      </c>
      <c r="L791" s="32">
        <f>IF('RPT2'!$J791="","",'RPT2'!$J791)</f>
        <v/>
      </c>
      <c r="M791" s="32">
        <f>IF('RPT3'!$J791="","",'RPT3'!$J791)</f>
        <v/>
      </c>
    </row>
    <row r="792">
      <c r="A792" s="16" t="inlineStr">
        <is>
          <t>MFP Scripts - Retail 30 - Brand - Year 5</t>
        </is>
      </c>
      <c r="B792" s="2" t="n"/>
      <c r="C792" s="33">
        <f>IF(Combine="Y", $G792, 0)</f>
        <v/>
      </c>
      <c r="D792" s="2" t="n"/>
      <c r="E792" s="4" t="n"/>
      <c r="F792" s="2" t="n"/>
      <c r="G792" s="33">
        <f>SUM($K792:$M792)</f>
        <v/>
      </c>
      <c r="H792" s="2" t="n"/>
      <c r="I792" s="4" t="n"/>
      <c r="J792" s="2" t="n"/>
      <c r="K792" s="32">
        <f>IF('RPT1'!$J792="","",'RPT1'!$J792)</f>
        <v/>
      </c>
      <c r="L792" s="32">
        <f>IF('RPT2'!$J792="","",'RPT2'!$J792)</f>
        <v/>
      </c>
      <c r="M792" s="32">
        <f>IF('RPT3'!$J792="","",'RPT3'!$J792)</f>
        <v/>
      </c>
    </row>
    <row r="793">
      <c r="A793" s="16" t="inlineStr">
        <is>
          <t>MFP Scripts - Retail 30 - Generic - Year 1</t>
        </is>
      </c>
      <c r="B793" s="2" t="n"/>
      <c r="C793" s="33">
        <f>IF(Combine="Y", $G793, 0)</f>
        <v/>
      </c>
      <c r="D793" s="2" t="n"/>
      <c r="E793" s="4" t="n"/>
      <c r="F793" s="2" t="n"/>
      <c r="G793" s="33">
        <f>SUM($K793:$M793)</f>
        <v/>
      </c>
      <c r="H793" s="2" t="n"/>
      <c r="I793" s="4" t="n"/>
      <c r="J793" s="2" t="n"/>
      <c r="K793" s="32">
        <f>IF('RPT1'!$J793="","",'RPT1'!$J793)</f>
        <v/>
      </c>
      <c r="L793" s="32">
        <f>IF('RPT2'!$J793="","",'RPT2'!$J793)</f>
        <v/>
      </c>
      <c r="M793" s="32">
        <f>IF('RPT3'!$J793="","",'RPT3'!$J793)</f>
        <v/>
      </c>
    </row>
    <row r="794">
      <c r="A794" s="16" t="inlineStr">
        <is>
          <t>MFP Scripts - Retail 30 - Generic - Year 2</t>
        </is>
      </c>
      <c r="B794" s="2" t="n"/>
      <c r="C794" s="33">
        <f>IF(Combine="Y", $G794, 0)</f>
        <v/>
      </c>
      <c r="D794" s="2" t="n"/>
      <c r="E794" s="4" t="n"/>
      <c r="F794" s="2" t="n"/>
      <c r="G794" s="33">
        <f>SUM($K794:$M794)</f>
        <v/>
      </c>
      <c r="H794" s="2" t="n"/>
      <c r="I794" s="4" t="n"/>
      <c r="J794" s="2" t="n"/>
      <c r="K794" s="32">
        <f>IF('RPT1'!$J794="","",'RPT1'!$J794)</f>
        <v/>
      </c>
      <c r="L794" s="32">
        <f>IF('RPT2'!$J794="","",'RPT2'!$J794)</f>
        <v/>
      </c>
      <c r="M794" s="32">
        <f>IF('RPT3'!$J794="","",'RPT3'!$J794)</f>
        <v/>
      </c>
    </row>
    <row r="795">
      <c r="A795" s="16" t="inlineStr">
        <is>
          <t>MFP Scripts - Retail 30 - Generic - Year 3</t>
        </is>
      </c>
      <c r="B795" s="2" t="n"/>
      <c r="C795" s="33">
        <f>IF(Combine="Y", $G795, 0)</f>
        <v/>
      </c>
      <c r="D795" s="2" t="n"/>
      <c r="E795" s="4" t="n"/>
      <c r="F795" s="2" t="n"/>
      <c r="G795" s="33">
        <f>SUM($K795:$M795)</f>
        <v/>
      </c>
      <c r="H795" s="2" t="n"/>
      <c r="I795" s="4" t="n"/>
      <c r="J795" s="2" t="n"/>
      <c r="K795" s="32">
        <f>IF('RPT1'!$J795="","",'RPT1'!$J795)</f>
        <v/>
      </c>
      <c r="L795" s="32">
        <f>IF('RPT2'!$J795="","",'RPT2'!$J795)</f>
        <v/>
      </c>
      <c r="M795" s="32">
        <f>IF('RPT3'!$J795="","",'RPT3'!$J795)</f>
        <v/>
      </c>
    </row>
    <row r="796">
      <c r="A796" s="16" t="inlineStr">
        <is>
          <t>MFP Scripts - Retail 30 - Generic - Year 4</t>
        </is>
      </c>
      <c r="B796" s="2" t="n"/>
      <c r="C796" s="33">
        <f>IF(Combine="Y", $G796, 0)</f>
        <v/>
      </c>
      <c r="D796" s="2" t="n"/>
      <c r="E796" s="4" t="n"/>
      <c r="F796" s="2" t="n"/>
      <c r="G796" s="33">
        <f>SUM($K796:$M796)</f>
        <v/>
      </c>
      <c r="H796" s="2" t="n"/>
      <c r="I796" s="4" t="n"/>
      <c r="J796" s="2" t="n"/>
      <c r="K796" s="32">
        <f>IF('RPT1'!$J796="","",'RPT1'!$J796)</f>
        <v/>
      </c>
      <c r="L796" s="32">
        <f>IF('RPT2'!$J796="","",'RPT2'!$J796)</f>
        <v/>
      </c>
      <c r="M796" s="32">
        <f>IF('RPT3'!$J796="","",'RPT3'!$J796)</f>
        <v/>
      </c>
    </row>
    <row r="797">
      <c r="A797" s="16" t="inlineStr">
        <is>
          <t>MFP Scripts - Retail 30 - Generic - Year 5</t>
        </is>
      </c>
      <c r="B797" s="2" t="n"/>
      <c r="C797" s="33">
        <f>IF(Combine="Y", $G797, 0)</f>
        <v/>
      </c>
      <c r="D797" s="2" t="n"/>
      <c r="E797" s="4" t="n"/>
      <c r="F797" s="2" t="n"/>
      <c r="G797" s="33">
        <f>SUM($K797:$M797)</f>
        <v/>
      </c>
      <c r="H797" s="2" t="n"/>
      <c r="I797" s="4" t="n"/>
      <c r="J797" s="2" t="n"/>
      <c r="K797" s="32">
        <f>IF('RPT1'!$J797="","",'RPT1'!$J797)</f>
        <v/>
      </c>
      <c r="L797" s="32">
        <f>IF('RPT2'!$J797="","",'RPT2'!$J797)</f>
        <v/>
      </c>
      <c r="M797" s="32">
        <f>IF('RPT3'!$J797="","",'RPT3'!$J797)</f>
        <v/>
      </c>
    </row>
    <row r="798">
      <c r="A798" s="16" t="inlineStr">
        <is>
          <t>MFP Scripts - Retail 90 - Brand - Year 1</t>
        </is>
      </c>
      <c r="B798" s="2" t="n"/>
      <c r="C798" s="33">
        <f>IF(Combine="Y", $G798, 0)</f>
        <v/>
      </c>
      <c r="D798" s="2" t="n"/>
      <c r="E798" s="4" t="n"/>
      <c r="F798" s="2" t="n"/>
      <c r="G798" s="33">
        <f>SUM($K798:$M798)</f>
        <v/>
      </c>
      <c r="H798" s="2" t="n"/>
      <c r="I798" s="4" t="n"/>
      <c r="J798" s="2" t="n"/>
      <c r="K798" s="32">
        <f>IF('RPT1'!$J798="","",'RPT1'!$J798)</f>
        <v/>
      </c>
      <c r="L798" s="32">
        <f>IF('RPT2'!$J798="","",'RPT2'!$J798)</f>
        <v/>
      </c>
      <c r="M798" s="32">
        <f>IF('RPT3'!$J798="","",'RPT3'!$J798)</f>
        <v/>
      </c>
    </row>
    <row r="799">
      <c r="A799" s="16" t="inlineStr">
        <is>
          <t>MFP Scripts - Retail 90 - Brand - Year 2</t>
        </is>
      </c>
      <c r="B799" s="2" t="n"/>
      <c r="C799" s="33">
        <f>IF(Combine="Y", $G799, 0)</f>
        <v/>
      </c>
      <c r="D799" s="2" t="n"/>
      <c r="E799" s="4" t="n"/>
      <c r="F799" s="2" t="n"/>
      <c r="G799" s="33">
        <f>SUM($K799:$M799)</f>
        <v/>
      </c>
      <c r="H799" s="2" t="n"/>
      <c r="I799" s="4" t="n"/>
      <c r="J799" s="2" t="n"/>
      <c r="K799" s="32">
        <f>IF('RPT1'!$J799="","",'RPT1'!$J799)</f>
        <v/>
      </c>
      <c r="L799" s="32">
        <f>IF('RPT2'!$J799="","",'RPT2'!$J799)</f>
        <v/>
      </c>
      <c r="M799" s="32">
        <f>IF('RPT3'!$J799="","",'RPT3'!$J799)</f>
        <v/>
      </c>
    </row>
    <row r="800">
      <c r="A800" s="16" t="inlineStr">
        <is>
          <t>MFP Scripts - Retail 90 - Brand - Year 3</t>
        </is>
      </c>
      <c r="B800" s="2" t="n"/>
      <c r="C800" s="33">
        <f>IF(Combine="Y", $G800, 0)</f>
        <v/>
      </c>
      <c r="D800" s="2" t="n"/>
      <c r="E800" s="4" t="n"/>
      <c r="F800" s="2" t="n"/>
      <c r="G800" s="33">
        <f>SUM($K800:$M800)</f>
        <v/>
      </c>
      <c r="H800" s="2" t="n"/>
      <c r="I800" s="4" t="n"/>
      <c r="J800" s="2" t="n"/>
      <c r="K800" s="32">
        <f>IF('RPT1'!$J800="","",'RPT1'!$J800)</f>
        <v/>
      </c>
      <c r="L800" s="32">
        <f>IF('RPT2'!$J800="","",'RPT2'!$J800)</f>
        <v/>
      </c>
      <c r="M800" s="32">
        <f>IF('RPT3'!$J800="","",'RPT3'!$J800)</f>
        <v/>
      </c>
    </row>
    <row r="801">
      <c r="A801" s="16" t="inlineStr">
        <is>
          <t>MFP Scripts - Retail 90 - Brand - Year 4</t>
        </is>
      </c>
      <c r="B801" s="2" t="n"/>
      <c r="C801" s="33">
        <f>IF(Combine="Y", $G801, 0)</f>
        <v/>
      </c>
      <c r="D801" s="2" t="n"/>
      <c r="E801" s="4" t="n"/>
      <c r="F801" s="2" t="n"/>
      <c r="G801" s="33">
        <f>SUM($K801:$M801)</f>
        <v/>
      </c>
      <c r="H801" s="2" t="n"/>
      <c r="I801" s="4" t="n"/>
      <c r="J801" s="2" t="n"/>
      <c r="K801" s="32">
        <f>IF('RPT1'!$J801="","",'RPT1'!$J801)</f>
        <v/>
      </c>
      <c r="L801" s="32">
        <f>IF('RPT2'!$J801="","",'RPT2'!$J801)</f>
        <v/>
      </c>
      <c r="M801" s="32">
        <f>IF('RPT3'!$J801="","",'RPT3'!$J801)</f>
        <v/>
      </c>
    </row>
    <row r="802">
      <c r="A802" s="16" t="inlineStr">
        <is>
          <t>MFP Scripts - Retail 90 - Brand - Year 5</t>
        </is>
      </c>
      <c r="B802" s="2" t="n"/>
      <c r="C802" s="33">
        <f>IF(Combine="Y", $G802, 0)</f>
        <v/>
      </c>
      <c r="D802" s="2" t="n"/>
      <c r="E802" s="4" t="n"/>
      <c r="F802" s="2" t="n"/>
      <c r="G802" s="33">
        <f>SUM($K802:$M802)</f>
        <v/>
      </c>
      <c r="H802" s="2" t="n"/>
      <c r="I802" s="4" t="n"/>
      <c r="J802" s="2" t="n"/>
      <c r="K802" s="32">
        <f>IF('RPT1'!$J802="","",'RPT1'!$J802)</f>
        <v/>
      </c>
      <c r="L802" s="32">
        <f>IF('RPT2'!$J802="","",'RPT2'!$J802)</f>
        <v/>
      </c>
      <c r="M802" s="32">
        <f>IF('RPT3'!$J802="","",'RPT3'!$J802)</f>
        <v/>
      </c>
    </row>
    <row r="803">
      <c r="A803" s="16" t="inlineStr">
        <is>
          <t>MFP Scripts - Retail 90 - Generic - Year 1</t>
        </is>
      </c>
      <c r="B803" s="2" t="n"/>
      <c r="C803" s="33">
        <f>IF(Combine="Y", $G803, 0)</f>
        <v/>
      </c>
      <c r="D803" s="2" t="n"/>
      <c r="E803" s="4" t="n"/>
      <c r="F803" s="2" t="n"/>
      <c r="G803" s="33">
        <f>SUM($K803:$M803)</f>
        <v/>
      </c>
      <c r="H803" s="2" t="n"/>
      <c r="I803" s="4" t="n"/>
      <c r="J803" s="2" t="n"/>
      <c r="K803" s="32">
        <f>IF('RPT1'!$J803="","",'RPT1'!$J803)</f>
        <v/>
      </c>
      <c r="L803" s="32">
        <f>IF('RPT2'!$J803="","",'RPT2'!$J803)</f>
        <v/>
      </c>
      <c r="M803" s="32">
        <f>IF('RPT3'!$J803="","",'RPT3'!$J803)</f>
        <v/>
      </c>
    </row>
    <row r="804">
      <c r="A804" s="16" t="inlineStr">
        <is>
          <t>MFP Scripts - Retail 90 - Generic - Year 2</t>
        </is>
      </c>
      <c r="B804" s="2" t="n"/>
      <c r="C804" s="33">
        <f>IF(Combine="Y", $G804, 0)</f>
        <v/>
      </c>
      <c r="D804" s="2" t="n"/>
      <c r="E804" s="4" t="n"/>
      <c r="F804" s="2" t="n"/>
      <c r="G804" s="33">
        <f>SUM($K804:$M804)</f>
        <v/>
      </c>
      <c r="H804" s="2" t="n"/>
      <c r="I804" s="4" t="n"/>
      <c r="J804" s="2" t="n"/>
      <c r="K804" s="32">
        <f>IF('RPT1'!$J804="","",'RPT1'!$J804)</f>
        <v/>
      </c>
      <c r="L804" s="32">
        <f>IF('RPT2'!$J804="","",'RPT2'!$J804)</f>
        <v/>
      </c>
      <c r="M804" s="32">
        <f>IF('RPT3'!$J804="","",'RPT3'!$J804)</f>
        <v/>
      </c>
    </row>
    <row r="805">
      <c r="A805" s="16" t="inlineStr">
        <is>
          <t>MFP Scripts - Retail 90 - Generic - Year 3</t>
        </is>
      </c>
      <c r="B805" s="2" t="n"/>
      <c r="C805" s="33">
        <f>IF(Combine="Y", $G805, 0)</f>
        <v/>
      </c>
      <c r="D805" s="2" t="n"/>
      <c r="E805" s="4" t="n"/>
      <c r="F805" s="2" t="n"/>
      <c r="G805" s="33">
        <f>SUM($K805:$M805)</f>
        <v/>
      </c>
      <c r="H805" s="2" t="n"/>
      <c r="I805" s="4" t="n"/>
      <c r="J805" s="2" t="n"/>
      <c r="K805" s="32">
        <f>IF('RPT1'!$J805="","",'RPT1'!$J805)</f>
        <v/>
      </c>
      <c r="L805" s="32">
        <f>IF('RPT2'!$J805="","",'RPT2'!$J805)</f>
        <v/>
      </c>
      <c r="M805" s="32">
        <f>IF('RPT3'!$J805="","",'RPT3'!$J805)</f>
        <v/>
      </c>
    </row>
    <row r="806">
      <c r="A806" s="16" t="inlineStr">
        <is>
          <t>MFP Scripts - Retail 90 - Generic - Year 4</t>
        </is>
      </c>
      <c r="B806" s="2" t="n"/>
      <c r="C806" s="33">
        <f>IF(Combine="Y", $G806, 0)</f>
        <v/>
      </c>
      <c r="D806" s="2" t="n"/>
      <c r="E806" s="4" t="n"/>
      <c r="F806" s="2" t="n"/>
      <c r="G806" s="33">
        <f>SUM($K806:$M806)</f>
        <v/>
      </c>
      <c r="H806" s="2" t="n"/>
      <c r="I806" s="4" t="n"/>
      <c r="J806" s="2" t="n"/>
      <c r="K806" s="32">
        <f>IF('RPT1'!$J806="","",'RPT1'!$J806)</f>
        <v/>
      </c>
      <c r="L806" s="32">
        <f>IF('RPT2'!$J806="","",'RPT2'!$J806)</f>
        <v/>
      </c>
      <c r="M806" s="32">
        <f>IF('RPT3'!$J806="","",'RPT3'!$J806)</f>
        <v/>
      </c>
    </row>
    <row r="807">
      <c r="A807" s="16" t="inlineStr">
        <is>
          <t>MFP Scripts - Retail 90 - Generic - Year 5</t>
        </is>
      </c>
      <c r="B807" s="2" t="n"/>
      <c r="C807" s="33">
        <f>IF(Combine="Y", $G807, 0)</f>
        <v/>
      </c>
      <c r="D807" s="2" t="n"/>
      <c r="E807" s="4" t="n"/>
      <c r="F807" s="2" t="n"/>
      <c r="G807" s="33">
        <f>SUM($K807:$M807)</f>
        <v/>
      </c>
      <c r="H807" s="2" t="n"/>
      <c r="I807" s="4" t="n"/>
      <c r="J807" s="2" t="n"/>
      <c r="K807" s="32">
        <f>IF('RPT1'!$J807="","",'RPT1'!$J807)</f>
        <v/>
      </c>
      <c r="L807" s="32">
        <f>IF('RPT2'!$J807="","",'RPT2'!$J807)</f>
        <v/>
      </c>
      <c r="M807" s="32">
        <f>IF('RPT3'!$J807="","",'RPT3'!$J807)</f>
        <v/>
      </c>
    </row>
    <row r="808">
      <c r="A808" s="16" t="inlineStr">
        <is>
          <t>MFP Scripts - Specialty - Brand - Year 1</t>
        </is>
      </c>
      <c r="B808" s="2" t="n"/>
      <c r="C808" s="33">
        <f>IF(Combine="Y", $G808, 0)</f>
        <v/>
      </c>
      <c r="D808" s="2" t="n"/>
      <c r="E808" s="4" t="n"/>
      <c r="F808" s="2" t="n"/>
      <c r="G808" s="33">
        <f>SUM($K808:$M808)</f>
        <v/>
      </c>
      <c r="H808" s="2" t="n"/>
      <c r="I808" s="4" t="n"/>
      <c r="J808" s="2" t="n"/>
      <c r="K808" s="32">
        <f>IF('RPT1'!$J808="","",'RPT1'!$J808)</f>
        <v/>
      </c>
      <c r="L808" s="32">
        <f>IF('RPT2'!$J808="","",'RPT2'!$J808)</f>
        <v/>
      </c>
      <c r="M808" s="32">
        <f>IF('RPT3'!$J808="","",'RPT3'!$J808)</f>
        <v/>
      </c>
    </row>
    <row r="809">
      <c r="A809" s="16" t="inlineStr">
        <is>
          <t>MFP Scripts - Specialty - Brand - Year 2</t>
        </is>
      </c>
      <c r="B809" s="2" t="n"/>
      <c r="C809" s="33">
        <f>IF(Combine="Y", $G809, 0)</f>
        <v/>
      </c>
      <c r="D809" s="2" t="n"/>
      <c r="E809" s="4" t="n"/>
      <c r="F809" s="2" t="n"/>
      <c r="G809" s="33">
        <f>SUM($K809:$M809)</f>
        <v/>
      </c>
      <c r="H809" s="2" t="n"/>
      <c r="I809" s="4" t="n"/>
      <c r="J809" s="2" t="n"/>
      <c r="K809" s="32">
        <f>IF('RPT1'!$J809="","",'RPT1'!$J809)</f>
        <v/>
      </c>
      <c r="L809" s="32">
        <f>IF('RPT2'!$J809="","",'RPT2'!$J809)</f>
        <v/>
      </c>
      <c r="M809" s="32">
        <f>IF('RPT3'!$J809="","",'RPT3'!$J809)</f>
        <v/>
      </c>
    </row>
    <row r="810">
      <c r="A810" s="16" t="inlineStr">
        <is>
          <t>MFP Scripts - Specialty - Brand - Year 3</t>
        </is>
      </c>
      <c r="B810" s="2" t="n"/>
      <c r="C810" s="33">
        <f>IF(Combine="Y", $G810, 0)</f>
        <v/>
      </c>
      <c r="D810" s="2" t="n"/>
      <c r="E810" s="4" t="n"/>
      <c r="F810" s="2" t="n"/>
      <c r="G810" s="33">
        <f>SUM($K810:$M810)</f>
        <v/>
      </c>
      <c r="H810" s="2" t="n"/>
      <c r="I810" s="4" t="n"/>
      <c r="J810" s="2" t="n"/>
      <c r="K810" s="32">
        <f>IF('RPT1'!$J810="","",'RPT1'!$J810)</f>
        <v/>
      </c>
      <c r="L810" s="32">
        <f>IF('RPT2'!$J810="","",'RPT2'!$J810)</f>
        <v/>
      </c>
      <c r="M810" s="32">
        <f>IF('RPT3'!$J810="","",'RPT3'!$J810)</f>
        <v/>
      </c>
    </row>
    <row r="811">
      <c r="A811" s="16" t="inlineStr">
        <is>
          <t>MFP Scripts - Specialty - Brand - Year 4</t>
        </is>
      </c>
      <c r="B811" s="2" t="n"/>
      <c r="C811" s="33">
        <f>IF(Combine="Y", $G811, 0)</f>
        <v/>
      </c>
      <c r="D811" s="2" t="n"/>
      <c r="E811" s="4" t="n"/>
      <c r="F811" s="2" t="n"/>
      <c r="G811" s="33">
        <f>SUM($K811:$M811)</f>
        <v/>
      </c>
      <c r="H811" s="2" t="n"/>
      <c r="I811" s="4" t="n"/>
      <c r="J811" s="2" t="n"/>
      <c r="K811" s="32">
        <f>IF('RPT1'!$J811="","",'RPT1'!$J811)</f>
        <v/>
      </c>
      <c r="L811" s="32">
        <f>IF('RPT2'!$J811="","",'RPT2'!$J811)</f>
        <v/>
      </c>
      <c r="M811" s="32">
        <f>IF('RPT3'!$J811="","",'RPT3'!$J811)</f>
        <v/>
      </c>
    </row>
    <row r="812">
      <c r="A812" s="16" t="inlineStr">
        <is>
          <t>MFP Scripts - Specialty - Brand - Year 5</t>
        </is>
      </c>
      <c r="B812" s="2" t="n"/>
      <c r="C812" s="33">
        <f>IF(Combine="Y", $G812, 0)</f>
        <v/>
      </c>
      <c r="D812" s="2" t="n"/>
      <c r="E812" s="4" t="n"/>
      <c r="F812" s="2" t="n"/>
      <c r="G812" s="33">
        <f>SUM($K812:$M812)</f>
        <v/>
      </c>
      <c r="H812" s="2" t="n"/>
      <c r="I812" s="4" t="n"/>
      <c r="J812" s="2" t="n"/>
      <c r="K812" s="32">
        <f>IF('RPT1'!$J812="","",'RPT1'!$J812)</f>
        <v/>
      </c>
      <c r="L812" s="32">
        <f>IF('RPT2'!$J812="","",'RPT2'!$J812)</f>
        <v/>
      </c>
      <c r="M812" s="32">
        <f>IF('RPT3'!$J812="","",'RPT3'!$J812)</f>
        <v/>
      </c>
    </row>
    <row r="813">
      <c r="A813" s="16" t="inlineStr">
        <is>
          <t>MFP Scripts - Specialty - Generic - Year 1</t>
        </is>
      </c>
      <c r="B813" s="2" t="n"/>
      <c r="C813" s="33">
        <f>IF(Combine="Y", $G813, 0)</f>
        <v/>
      </c>
      <c r="D813" s="2" t="n"/>
      <c r="E813" s="4" t="n"/>
      <c r="F813" s="2" t="n"/>
      <c r="G813" s="33">
        <f>SUM($K813:$M813)</f>
        <v/>
      </c>
      <c r="H813" s="2" t="n"/>
      <c r="I813" s="4" t="n"/>
      <c r="J813" s="2" t="n"/>
      <c r="K813" s="32">
        <f>IF('RPT1'!$J813="","",'RPT1'!$J813)</f>
        <v/>
      </c>
      <c r="L813" s="32">
        <f>IF('RPT2'!$J813="","",'RPT2'!$J813)</f>
        <v/>
      </c>
      <c r="M813" s="32">
        <f>IF('RPT3'!$J813="","",'RPT3'!$J813)</f>
        <v/>
      </c>
    </row>
    <row r="814">
      <c r="A814" s="16" t="inlineStr">
        <is>
          <t>MFP Scripts - Specialty - Generic - Year 2</t>
        </is>
      </c>
      <c r="B814" s="2" t="n"/>
      <c r="C814" s="33">
        <f>IF(Combine="Y", $G814, 0)</f>
        <v/>
      </c>
      <c r="D814" s="2" t="n"/>
      <c r="E814" s="4" t="n"/>
      <c r="F814" s="2" t="n"/>
      <c r="G814" s="33">
        <f>SUM($K814:$M814)</f>
        <v/>
      </c>
      <c r="H814" s="2" t="n"/>
      <c r="I814" s="4" t="n"/>
      <c r="J814" s="2" t="n"/>
      <c r="K814" s="32">
        <f>IF('RPT1'!$J814="","",'RPT1'!$J814)</f>
        <v/>
      </c>
      <c r="L814" s="32">
        <f>IF('RPT2'!$J814="","",'RPT2'!$J814)</f>
        <v/>
      </c>
      <c r="M814" s="32">
        <f>IF('RPT3'!$J814="","",'RPT3'!$J814)</f>
        <v/>
      </c>
    </row>
    <row r="815">
      <c r="A815" s="16" t="inlineStr">
        <is>
          <t>MFP Scripts - Specialty - Generic - Year 3</t>
        </is>
      </c>
      <c r="B815" s="2" t="n"/>
      <c r="C815" s="33">
        <f>IF(Combine="Y", $G815, 0)</f>
        <v/>
      </c>
      <c r="D815" s="2" t="n"/>
      <c r="E815" s="4" t="n"/>
      <c r="F815" s="2" t="n"/>
      <c r="G815" s="33">
        <f>SUM($K815:$M815)</f>
        <v/>
      </c>
      <c r="H815" s="2" t="n"/>
      <c r="I815" s="4" t="n"/>
      <c r="J815" s="2" t="n"/>
      <c r="K815" s="32">
        <f>IF('RPT1'!$J815="","",'RPT1'!$J815)</f>
        <v/>
      </c>
      <c r="L815" s="32">
        <f>IF('RPT2'!$J815="","",'RPT2'!$J815)</f>
        <v/>
      </c>
      <c r="M815" s="32">
        <f>IF('RPT3'!$J815="","",'RPT3'!$J815)</f>
        <v/>
      </c>
    </row>
    <row r="816">
      <c r="A816" s="16" t="inlineStr">
        <is>
          <t>MFP Scripts - Specialty - Generic - Year 4</t>
        </is>
      </c>
      <c r="B816" s="2" t="n"/>
      <c r="C816" s="33">
        <f>IF(Combine="Y", $G816, 0)</f>
        <v/>
      </c>
      <c r="D816" s="2" t="n"/>
      <c r="E816" s="4" t="n"/>
      <c r="F816" s="2" t="n"/>
      <c r="G816" s="33">
        <f>SUM($K816:$M816)</f>
        <v/>
      </c>
      <c r="H816" s="2" t="n"/>
      <c r="I816" s="4" t="n"/>
      <c r="J816" s="2" t="n"/>
      <c r="K816" s="32">
        <f>IF('RPT1'!$J816="","",'RPT1'!$J816)</f>
        <v/>
      </c>
      <c r="L816" s="32">
        <f>IF('RPT2'!$J816="","",'RPT2'!$J816)</f>
        <v/>
      </c>
      <c r="M816" s="32">
        <f>IF('RPT3'!$J816="","",'RPT3'!$J816)</f>
        <v/>
      </c>
    </row>
    <row r="817">
      <c r="A817" s="16" t="inlineStr">
        <is>
          <t>MFP Scripts - Specialty - Generic - Year 5</t>
        </is>
      </c>
      <c r="B817" s="2" t="n"/>
      <c r="C817" s="33">
        <f>IF(Combine="Y", $G817, 0)</f>
        <v/>
      </c>
      <c r="D817" s="2" t="n"/>
      <c r="E817" s="4" t="n"/>
      <c r="F817" s="2" t="n"/>
      <c r="G817" s="33">
        <f>SUM($K817:$M817)</f>
        <v/>
      </c>
      <c r="H817" s="2" t="n"/>
      <c r="I817" s="4" t="n"/>
      <c r="J817" s="2" t="n"/>
      <c r="K817" s="32">
        <f>IF('RPT1'!$J817="","",'RPT1'!$J817)</f>
        <v/>
      </c>
      <c r="L817" s="32">
        <f>IF('RPT2'!$J817="","",'RPT2'!$J817)</f>
        <v/>
      </c>
      <c r="M817" s="32">
        <f>IF('RPT3'!$J817="","",'RPT3'!$J817)</f>
        <v/>
      </c>
    </row>
    <row r="818">
      <c r="A818" s="16" t="n"/>
      <c r="B818" s="2" t="n"/>
      <c r="C818" s="43" t="n"/>
      <c r="D818" s="2" t="n"/>
      <c r="E818" s="4" t="n"/>
      <c r="F818" s="2" t="n"/>
      <c r="G818" s="43" t="n"/>
      <c r="H818" s="2" t="n"/>
      <c r="I818" s="4" t="n"/>
      <c r="J818" s="2" t="n"/>
      <c r="K818" s="44" t="n"/>
      <c r="L818" s="44" t="n"/>
      <c r="M818" s="44" t="n"/>
    </row>
    <row r="819">
      <c r="A819" s="37" t="inlineStr">
        <is>
          <t>MFP Negotiated Total Cost</t>
        </is>
      </c>
      <c r="B819" s="2" t="n"/>
      <c r="C819" s="43" t="n"/>
      <c r="D819" s="2" t="n"/>
      <c r="E819" s="4" t="n"/>
      <c r="F819" s="2" t="n"/>
      <c r="G819" s="43" t="n"/>
      <c r="H819" s="2" t="n"/>
      <c r="I819" s="4" t="n"/>
      <c r="J819" s="2" t="n"/>
      <c r="K819" s="44">
        <f>IF('RPT1'!$J819="","",'RPT1'!$J819)</f>
        <v/>
      </c>
      <c r="L819" s="44">
        <f>IF('RPT2'!$J819="","",'RPT2'!$J819)</f>
        <v/>
      </c>
      <c r="M819" s="44">
        <f>IF('RPT3'!$J819="","",'RPT3'!$J819)</f>
        <v/>
      </c>
    </row>
    <row r="820">
      <c r="A820" s="16" t="inlineStr">
        <is>
          <t>MFP Negotiated Total Cost - Mail - Brand - Year 1</t>
        </is>
      </c>
      <c r="B820" s="2" t="n"/>
      <c r="C820" s="43">
        <f>IF(Combine="Y", $G820, 0)</f>
        <v/>
      </c>
      <c r="D820" s="2" t="n"/>
      <c r="E820" s="4" t="n"/>
      <c r="F820" s="2" t="n"/>
      <c r="G820" s="43">
        <f>SUM($K820:$M820)</f>
        <v/>
      </c>
      <c r="H820" s="2" t="n"/>
      <c r="I820" s="4" t="n"/>
      <c r="J820" s="2" t="n"/>
      <c r="K820" s="44">
        <f>IF('RPT1'!$J820="","",'RPT1'!$J820)</f>
        <v/>
      </c>
      <c r="L820" s="44">
        <f>IF('RPT2'!$J820="","",'RPT2'!$J820)</f>
        <v/>
      </c>
      <c r="M820" s="44">
        <f>IF('RPT3'!$J820="","",'RPT3'!$J820)</f>
        <v/>
      </c>
    </row>
    <row r="821">
      <c r="A821" s="16" t="inlineStr">
        <is>
          <t>MFP Negotiated Total Cost - Mail - Brand - Year 2</t>
        </is>
      </c>
      <c r="B821" s="2" t="n"/>
      <c r="C821" s="43">
        <f>IF(Combine="Y", $G821, 0)</f>
        <v/>
      </c>
      <c r="D821" s="2" t="n"/>
      <c r="E821" s="4" t="n"/>
      <c r="F821" s="2" t="n"/>
      <c r="G821" s="43">
        <f>SUM($K821:$M821)</f>
        <v/>
      </c>
      <c r="H821" s="2" t="n"/>
      <c r="I821" s="4" t="n"/>
      <c r="J821" s="2" t="n"/>
      <c r="K821" s="44">
        <f>IF('RPT1'!$J821="","",'RPT1'!$J821)</f>
        <v/>
      </c>
      <c r="L821" s="44">
        <f>IF('RPT2'!$J821="","",'RPT2'!$J821)</f>
        <v/>
      </c>
      <c r="M821" s="44">
        <f>IF('RPT3'!$J821="","",'RPT3'!$J821)</f>
        <v/>
      </c>
    </row>
    <row r="822">
      <c r="A822" s="16" t="inlineStr">
        <is>
          <t>MFP Negotiated Total Cost - Mail - Brand - Year 3</t>
        </is>
      </c>
      <c r="B822" s="2" t="n"/>
      <c r="C822" s="43">
        <f>IF(Combine="Y", $G822, 0)</f>
        <v/>
      </c>
      <c r="D822" s="2" t="n"/>
      <c r="E822" s="4" t="n"/>
      <c r="F822" s="2" t="n"/>
      <c r="G822" s="43">
        <f>SUM($K822:$M822)</f>
        <v/>
      </c>
      <c r="H822" s="2" t="n"/>
      <c r="I822" s="4" t="n"/>
      <c r="J822" s="2" t="n"/>
      <c r="K822" s="44">
        <f>IF('RPT1'!$J822="","",'RPT1'!$J822)</f>
        <v/>
      </c>
      <c r="L822" s="44">
        <f>IF('RPT2'!$J822="","",'RPT2'!$J822)</f>
        <v/>
      </c>
      <c r="M822" s="44">
        <f>IF('RPT3'!$J822="","",'RPT3'!$J822)</f>
        <v/>
      </c>
    </row>
    <row r="823">
      <c r="A823" s="16" t="inlineStr">
        <is>
          <t>MFP Negotiated Total Cost - Mail - Brand - Year 4</t>
        </is>
      </c>
      <c r="B823" s="2" t="n"/>
      <c r="C823" s="43">
        <f>IF(Combine="Y", $G823, 0)</f>
        <v/>
      </c>
      <c r="D823" s="2" t="n"/>
      <c r="E823" s="4" t="n"/>
      <c r="F823" s="2" t="n"/>
      <c r="G823" s="43">
        <f>SUM($K823:$M823)</f>
        <v/>
      </c>
      <c r="H823" s="2" t="n"/>
      <c r="I823" s="4" t="n"/>
      <c r="J823" s="2" t="n"/>
      <c r="K823" s="44">
        <f>IF('RPT1'!$J823="","",'RPT1'!$J823)</f>
        <v/>
      </c>
      <c r="L823" s="44">
        <f>IF('RPT2'!$J823="","",'RPT2'!$J823)</f>
        <v/>
      </c>
      <c r="M823" s="44">
        <f>IF('RPT3'!$J823="","",'RPT3'!$J823)</f>
        <v/>
      </c>
    </row>
    <row r="824">
      <c r="A824" s="16" t="inlineStr">
        <is>
          <t>MFP Negotiated Total Cost - Mail - Brand - Year 5</t>
        </is>
      </c>
      <c r="B824" s="2" t="n"/>
      <c r="C824" s="43">
        <f>IF(Combine="Y", $G824, 0)</f>
        <v/>
      </c>
      <c r="D824" s="2" t="n"/>
      <c r="E824" s="4" t="n"/>
      <c r="F824" s="2" t="n"/>
      <c r="G824" s="43">
        <f>SUM($K824:$M824)</f>
        <v/>
      </c>
      <c r="H824" s="2" t="n"/>
      <c r="I824" s="4" t="n"/>
      <c r="J824" s="2" t="n"/>
      <c r="K824" s="44">
        <f>IF('RPT1'!$J824="","",'RPT1'!$J824)</f>
        <v/>
      </c>
      <c r="L824" s="44">
        <f>IF('RPT2'!$J824="","",'RPT2'!$J824)</f>
        <v/>
      </c>
      <c r="M824" s="44">
        <f>IF('RPT3'!$J824="","",'RPT3'!$J824)</f>
        <v/>
      </c>
    </row>
    <row r="825">
      <c r="A825" s="16" t="inlineStr">
        <is>
          <t>MFP Negotiated Total Cost - Mail - Generic - Year 1</t>
        </is>
      </c>
      <c r="B825" s="2" t="n"/>
      <c r="C825" s="43">
        <f>IF(Combine="Y", $G825, 0)</f>
        <v/>
      </c>
      <c r="D825" s="2" t="n"/>
      <c r="E825" s="4" t="n"/>
      <c r="F825" s="2" t="n"/>
      <c r="G825" s="43">
        <f>SUM($K825:$M825)</f>
        <v/>
      </c>
      <c r="H825" s="2" t="n"/>
      <c r="I825" s="4" t="n"/>
      <c r="J825" s="2" t="n"/>
      <c r="K825" s="44">
        <f>IF('RPT1'!$J825="","",'RPT1'!$J825)</f>
        <v/>
      </c>
      <c r="L825" s="44">
        <f>IF('RPT2'!$J825="","",'RPT2'!$J825)</f>
        <v/>
      </c>
      <c r="M825" s="44">
        <f>IF('RPT3'!$J825="","",'RPT3'!$J825)</f>
        <v/>
      </c>
    </row>
    <row r="826">
      <c r="A826" s="16" t="inlineStr">
        <is>
          <t>MFP Negotiated Total Cost - Mail - Generic - Year 2</t>
        </is>
      </c>
      <c r="B826" s="2" t="n"/>
      <c r="C826" s="43">
        <f>IF(Combine="Y", $G826, 0)</f>
        <v/>
      </c>
      <c r="D826" s="2" t="n"/>
      <c r="E826" s="4" t="n"/>
      <c r="F826" s="2" t="n"/>
      <c r="G826" s="43">
        <f>SUM($K826:$M826)</f>
        <v/>
      </c>
      <c r="H826" s="2" t="n"/>
      <c r="I826" s="4" t="n"/>
      <c r="J826" s="2" t="n"/>
      <c r="K826" s="44">
        <f>IF('RPT1'!$J826="","",'RPT1'!$J826)</f>
        <v/>
      </c>
      <c r="L826" s="44">
        <f>IF('RPT2'!$J826="","",'RPT2'!$J826)</f>
        <v/>
      </c>
      <c r="M826" s="44">
        <f>IF('RPT3'!$J826="","",'RPT3'!$J826)</f>
        <v/>
      </c>
    </row>
    <row r="827">
      <c r="A827" s="16" t="inlineStr">
        <is>
          <t>MFP Negotiated Total Cost - Mail - Generic - Year 3</t>
        </is>
      </c>
      <c r="B827" s="2" t="n"/>
      <c r="C827" s="43">
        <f>IF(Combine="Y", $G827, 0)</f>
        <v/>
      </c>
      <c r="D827" s="2" t="n"/>
      <c r="E827" s="4" t="n"/>
      <c r="F827" s="2" t="n"/>
      <c r="G827" s="43">
        <f>SUM($K827:$M827)</f>
        <v/>
      </c>
      <c r="H827" s="2" t="n"/>
      <c r="I827" s="4" t="n"/>
      <c r="J827" s="2" t="n"/>
      <c r="K827" s="44">
        <f>IF('RPT1'!$J827="","",'RPT1'!$J827)</f>
        <v/>
      </c>
      <c r="L827" s="44">
        <f>IF('RPT2'!$J827="","",'RPT2'!$J827)</f>
        <v/>
      </c>
      <c r="M827" s="44">
        <f>IF('RPT3'!$J827="","",'RPT3'!$J827)</f>
        <v/>
      </c>
    </row>
    <row r="828">
      <c r="A828" s="16" t="inlineStr">
        <is>
          <t>MFP Negotiated Total Cost - Mail - Generic - Year 4</t>
        </is>
      </c>
      <c r="B828" s="2" t="n"/>
      <c r="C828" s="43">
        <f>IF(Combine="Y", $G828, 0)</f>
        <v/>
      </c>
      <c r="D828" s="2" t="n"/>
      <c r="E828" s="4" t="n"/>
      <c r="F828" s="2" t="n"/>
      <c r="G828" s="43">
        <f>SUM($K828:$M828)</f>
        <v/>
      </c>
      <c r="H828" s="2" t="n"/>
      <c r="I828" s="4" t="n"/>
      <c r="J828" s="2" t="n"/>
      <c r="K828" s="44">
        <f>IF('RPT1'!$J828="","",'RPT1'!$J828)</f>
        <v/>
      </c>
      <c r="L828" s="44">
        <f>IF('RPT2'!$J828="","",'RPT2'!$J828)</f>
        <v/>
      </c>
      <c r="M828" s="44">
        <f>IF('RPT3'!$J828="","",'RPT3'!$J828)</f>
        <v/>
      </c>
    </row>
    <row r="829">
      <c r="A829" s="16" t="inlineStr">
        <is>
          <t>MFP Negotiated Total Cost - Mail - Generic - Year 5</t>
        </is>
      </c>
      <c r="B829" s="2" t="n"/>
      <c r="C829" s="43">
        <f>IF(Combine="Y", $G829, 0)</f>
        <v/>
      </c>
      <c r="D829" s="2" t="n"/>
      <c r="E829" s="4" t="n"/>
      <c r="F829" s="2" t="n"/>
      <c r="G829" s="43">
        <f>SUM($K829:$M829)</f>
        <v/>
      </c>
      <c r="H829" s="2" t="n"/>
      <c r="I829" s="4" t="n"/>
      <c r="J829" s="2" t="n"/>
      <c r="K829" s="44">
        <f>IF('RPT1'!$J829="","",'RPT1'!$J829)</f>
        <v/>
      </c>
      <c r="L829" s="44">
        <f>IF('RPT2'!$J829="","",'RPT2'!$J829)</f>
        <v/>
      </c>
      <c r="M829" s="44">
        <f>IF('RPT3'!$J829="","",'RPT3'!$J829)</f>
        <v/>
      </c>
    </row>
    <row r="830">
      <c r="A830" s="16" t="inlineStr">
        <is>
          <t>MFP Negotiated Total Cost - Retail 30 - Brand - Year 1</t>
        </is>
      </c>
      <c r="B830" s="2" t="n"/>
      <c r="C830" s="43">
        <f>IF(Combine="Y", $G830, 0)</f>
        <v/>
      </c>
      <c r="D830" s="2" t="n"/>
      <c r="E830" s="4" t="n"/>
      <c r="F830" s="2" t="n"/>
      <c r="G830" s="43">
        <f>SUM($K830:$M830)</f>
        <v/>
      </c>
      <c r="H830" s="2" t="n"/>
      <c r="I830" s="4" t="n"/>
      <c r="J830" s="2" t="n"/>
      <c r="K830" s="44">
        <f>IF('RPT1'!$J830="","",'RPT1'!$J830)</f>
        <v/>
      </c>
      <c r="L830" s="44">
        <f>IF('RPT2'!$J830="","",'RPT2'!$J830)</f>
        <v/>
      </c>
      <c r="M830" s="44">
        <f>IF('RPT3'!$J830="","",'RPT3'!$J830)</f>
        <v/>
      </c>
    </row>
    <row r="831">
      <c r="A831" s="16" t="inlineStr">
        <is>
          <t>MFP Negotiated Total Cost - Retail 30 - Brand - Year 2</t>
        </is>
      </c>
      <c r="B831" s="2" t="n"/>
      <c r="C831" s="43">
        <f>IF(Combine="Y", $G831, 0)</f>
        <v/>
      </c>
      <c r="D831" s="2" t="n"/>
      <c r="E831" s="4" t="n"/>
      <c r="F831" s="2" t="n"/>
      <c r="G831" s="43">
        <f>SUM($K831:$M831)</f>
        <v/>
      </c>
      <c r="H831" s="2" t="n"/>
      <c r="I831" s="4" t="n"/>
      <c r="J831" s="2" t="n"/>
      <c r="K831" s="44">
        <f>IF('RPT1'!$J831="","",'RPT1'!$J831)</f>
        <v/>
      </c>
      <c r="L831" s="44">
        <f>IF('RPT2'!$J831="","",'RPT2'!$J831)</f>
        <v/>
      </c>
      <c r="M831" s="44">
        <f>IF('RPT3'!$J831="","",'RPT3'!$J831)</f>
        <v/>
      </c>
    </row>
    <row r="832">
      <c r="A832" s="16" t="inlineStr">
        <is>
          <t>MFP Negotiated Total Cost - Retail 30 - Brand - Year 3</t>
        </is>
      </c>
      <c r="B832" s="2" t="n"/>
      <c r="C832" s="43">
        <f>IF(Combine="Y", $G832, 0)</f>
        <v/>
      </c>
      <c r="D832" s="2" t="n"/>
      <c r="E832" s="4" t="n"/>
      <c r="F832" s="2" t="n"/>
      <c r="G832" s="43">
        <f>SUM($K832:$M832)</f>
        <v/>
      </c>
      <c r="H832" s="2" t="n"/>
      <c r="I832" s="4" t="n"/>
      <c r="J832" s="2" t="n"/>
      <c r="K832" s="44">
        <f>IF('RPT1'!$J832="","",'RPT1'!$J832)</f>
        <v/>
      </c>
      <c r="L832" s="44">
        <f>IF('RPT2'!$J832="","",'RPT2'!$J832)</f>
        <v/>
      </c>
      <c r="M832" s="44">
        <f>IF('RPT3'!$J832="","",'RPT3'!$J832)</f>
        <v/>
      </c>
    </row>
    <row r="833">
      <c r="A833" s="16" t="inlineStr">
        <is>
          <t>MFP Negotiated Total Cost - Retail 30 - Brand - Year 4</t>
        </is>
      </c>
      <c r="B833" s="2" t="n"/>
      <c r="C833" s="43">
        <f>IF(Combine="Y", $G833, 0)</f>
        <v/>
      </c>
      <c r="D833" s="2" t="n"/>
      <c r="E833" s="4" t="n"/>
      <c r="F833" s="2" t="n"/>
      <c r="G833" s="43">
        <f>SUM($K833:$M833)</f>
        <v/>
      </c>
      <c r="H833" s="2" t="n"/>
      <c r="I833" s="4" t="n"/>
      <c r="J833" s="2" t="n"/>
      <c r="K833" s="44">
        <f>IF('RPT1'!$J833="","",'RPT1'!$J833)</f>
        <v/>
      </c>
      <c r="L833" s="44">
        <f>IF('RPT2'!$J833="","",'RPT2'!$J833)</f>
        <v/>
      </c>
      <c r="M833" s="44">
        <f>IF('RPT3'!$J833="","",'RPT3'!$J833)</f>
        <v/>
      </c>
    </row>
    <row r="834">
      <c r="A834" s="16" t="inlineStr">
        <is>
          <t>MFP Negotiated Total Cost - Retail 30 - Brand - Year 5</t>
        </is>
      </c>
      <c r="B834" s="2" t="n"/>
      <c r="C834" s="43">
        <f>IF(Combine="Y", $G834, 0)</f>
        <v/>
      </c>
      <c r="D834" s="2" t="n"/>
      <c r="E834" s="4" t="n"/>
      <c r="F834" s="2" t="n"/>
      <c r="G834" s="43">
        <f>SUM($K834:$M834)</f>
        <v/>
      </c>
      <c r="H834" s="2" t="n"/>
      <c r="I834" s="4" t="n"/>
      <c r="J834" s="2" t="n"/>
      <c r="K834" s="44">
        <f>IF('RPT1'!$J834="","",'RPT1'!$J834)</f>
        <v/>
      </c>
      <c r="L834" s="44">
        <f>IF('RPT2'!$J834="","",'RPT2'!$J834)</f>
        <v/>
      </c>
      <c r="M834" s="44">
        <f>IF('RPT3'!$J834="","",'RPT3'!$J834)</f>
        <v/>
      </c>
    </row>
    <row r="835">
      <c r="A835" s="16" t="inlineStr">
        <is>
          <t>MFP Negotiated Total Cost - Retail 30 - Generic - Year 1</t>
        </is>
      </c>
      <c r="B835" s="2" t="n"/>
      <c r="C835" s="43">
        <f>IF(Combine="Y", $G835, 0)</f>
        <v/>
      </c>
      <c r="D835" s="2" t="n"/>
      <c r="E835" s="4" t="n"/>
      <c r="F835" s="2" t="n"/>
      <c r="G835" s="43">
        <f>SUM($K835:$M835)</f>
        <v/>
      </c>
      <c r="H835" s="2" t="n"/>
      <c r="I835" s="4" t="n"/>
      <c r="J835" s="2" t="n"/>
      <c r="K835" s="44">
        <f>IF('RPT1'!$J835="","",'RPT1'!$J835)</f>
        <v/>
      </c>
      <c r="L835" s="44">
        <f>IF('RPT2'!$J835="","",'RPT2'!$J835)</f>
        <v/>
      </c>
      <c r="M835" s="44">
        <f>IF('RPT3'!$J835="","",'RPT3'!$J835)</f>
        <v/>
      </c>
    </row>
    <row r="836">
      <c r="A836" s="16" t="inlineStr">
        <is>
          <t>MFP Negotiated Total Cost - Retail 30 - Generic - Year 2</t>
        </is>
      </c>
      <c r="B836" s="2" t="n"/>
      <c r="C836" s="43">
        <f>IF(Combine="Y", $G836, 0)</f>
        <v/>
      </c>
      <c r="D836" s="2" t="n"/>
      <c r="E836" s="4" t="n"/>
      <c r="F836" s="2" t="n"/>
      <c r="G836" s="43">
        <f>SUM($K836:$M836)</f>
        <v/>
      </c>
      <c r="H836" s="2" t="n"/>
      <c r="I836" s="4" t="n"/>
      <c r="J836" s="2" t="n"/>
      <c r="K836" s="44">
        <f>IF('RPT1'!$J836="","",'RPT1'!$J836)</f>
        <v/>
      </c>
      <c r="L836" s="44">
        <f>IF('RPT2'!$J836="","",'RPT2'!$J836)</f>
        <v/>
      </c>
      <c r="M836" s="44">
        <f>IF('RPT3'!$J836="","",'RPT3'!$J836)</f>
        <v/>
      </c>
    </row>
    <row r="837">
      <c r="A837" s="16" t="inlineStr">
        <is>
          <t>MFP Negotiated Total Cost - Retail 30 - Generic - Year 3</t>
        </is>
      </c>
      <c r="B837" s="2" t="n"/>
      <c r="C837" s="43">
        <f>IF(Combine="Y", $G837, 0)</f>
        <v/>
      </c>
      <c r="D837" s="2" t="n"/>
      <c r="E837" s="4" t="n"/>
      <c r="F837" s="2" t="n"/>
      <c r="G837" s="43">
        <f>SUM($K837:$M837)</f>
        <v/>
      </c>
      <c r="H837" s="2" t="n"/>
      <c r="I837" s="4" t="n"/>
      <c r="J837" s="2" t="n"/>
      <c r="K837" s="44">
        <f>IF('RPT1'!$J837="","",'RPT1'!$J837)</f>
        <v/>
      </c>
      <c r="L837" s="44">
        <f>IF('RPT2'!$J837="","",'RPT2'!$J837)</f>
        <v/>
      </c>
      <c r="M837" s="44">
        <f>IF('RPT3'!$J837="","",'RPT3'!$J837)</f>
        <v/>
      </c>
    </row>
    <row r="838">
      <c r="A838" s="16" t="inlineStr">
        <is>
          <t>MFP Negotiated Total Cost - Retail 30 - Generic - Year 4</t>
        </is>
      </c>
      <c r="B838" s="2" t="n"/>
      <c r="C838" s="43">
        <f>IF(Combine="Y", $G838, 0)</f>
        <v/>
      </c>
      <c r="D838" s="2" t="n"/>
      <c r="E838" s="4" t="n"/>
      <c r="F838" s="2" t="n"/>
      <c r="G838" s="43">
        <f>SUM($K838:$M838)</f>
        <v/>
      </c>
      <c r="H838" s="2" t="n"/>
      <c r="I838" s="4" t="n"/>
      <c r="J838" s="2" t="n"/>
      <c r="K838" s="44">
        <f>IF('RPT1'!$J838="","",'RPT1'!$J838)</f>
        <v/>
      </c>
      <c r="L838" s="44">
        <f>IF('RPT2'!$J838="","",'RPT2'!$J838)</f>
        <v/>
      </c>
      <c r="M838" s="44">
        <f>IF('RPT3'!$J838="","",'RPT3'!$J838)</f>
        <v/>
      </c>
    </row>
    <row r="839">
      <c r="A839" s="16" t="inlineStr">
        <is>
          <t>MFP Negotiated Total Cost - Retail 30 - Generic - Year 5</t>
        </is>
      </c>
      <c r="B839" s="2" t="n"/>
      <c r="C839" s="43">
        <f>IF(Combine="Y", $G839, 0)</f>
        <v/>
      </c>
      <c r="D839" s="2" t="n"/>
      <c r="E839" s="4" t="n"/>
      <c r="F839" s="2" t="n"/>
      <c r="G839" s="43">
        <f>SUM($K839:$M839)</f>
        <v/>
      </c>
      <c r="H839" s="2" t="n"/>
      <c r="I839" s="4" t="n"/>
      <c r="J839" s="2" t="n"/>
      <c r="K839" s="44">
        <f>IF('RPT1'!$J839="","",'RPT1'!$J839)</f>
        <v/>
      </c>
      <c r="L839" s="44">
        <f>IF('RPT2'!$J839="","",'RPT2'!$J839)</f>
        <v/>
      </c>
      <c r="M839" s="44">
        <f>IF('RPT3'!$J839="","",'RPT3'!$J839)</f>
        <v/>
      </c>
    </row>
    <row r="840">
      <c r="A840" s="16" t="inlineStr">
        <is>
          <t>MFP Negotiated Total Cost - Retail 90 - Brand - Year 1</t>
        </is>
      </c>
      <c r="B840" s="2" t="n"/>
      <c r="C840" s="43">
        <f>IF(Combine="Y", $G840, 0)</f>
        <v/>
      </c>
      <c r="D840" s="2" t="n"/>
      <c r="E840" s="4" t="n"/>
      <c r="F840" s="2" t="n"/>
      <c r="G840" s="43">
        <f>SUM($K840:$M840)</f>
        <v/>
      </c>
      <c r="H840" s="2" t="n"/>
      <c r="I840" s="4" t="n"/>
      <c r="J840" s="2" t="n"/>
      <c r="K840" s="44">
        <f>IF('RPT1'!$J840="","",'RPT1'!$J840)</f>
        <v/>
      </c>
      <c r="L840" s="44">
        <f>IF('RPT2'!$J840="","",'RPT2'!$J840)</f>
        <v/>
      </c>
      <c r="M840" s="44">
        <f>IF('RPT3'!$J840="","",'RPT3'!$J840)</f>
        <v/>
      </c>
    </row>
    <row r="841">
      <c r="A841" s="16" t="inlineStr">
        <is>
          <t>MFP Negotiated Total Cost - Retail 90 - Brand - Year 2</t>
        </is>
      </c>
      <c r="B841" s="2" t="n"/>
      <c r="C841" s="43">
        <f>IF(Combine="Y", $G841, 0)</f>
        <v/>
      </c>
      <c r="D841" s="2" t="n"/>
      <c r="E841" s="4" t="n"/>
      <c r="F841" s="2" t="n"/>
      <c r="G841" s="43">
        <f>SUM($K841:$M841)</f>
        <v/>
      </c>
      <c r="H841" s="2" t="n"/>
      <c r="I841" s="4" t="n"/>
      <c r="J841" s="2" t="n"/>
      <c r="K841" s="44">
        <f>IF('RPT1'!$J841="","",'RPT1'!$J841)</f>
        <v/>
      </c>
      <c r="L841" s="44">
        <f>IF('RPT2'!$J841="","",'RPT2'!$J841)</f>
        <v/>
      </c>
      <c r="M841" s="44">
        <f>IF('RPT3'!$J841="","",'RPT3'!$J841)</f>
        <v/>
      </c>
    </row>
    <row r="842">
      <c r="A842" s="16" t="inlineStr">
        <is>
          <t>MFP Negotiated Total Cost - Retail 90 - Brand - Year 3</t>
        </is>
      </c>
      <c r="B842" s="2" t="n"/>
      <c r="C842" s="43">
        <f>IF(Combine="Y", $G842, 0)</f>
        <v/>
      </c>
      <c r="D842" s="2" t="n"/>
      <c r="E842" s="4" t="n"/>
      <c r="F842" s="2" t="n"/>
      <c r="G842" s="43">
        <f>SUM($K842:$M842)</f>
        <v/>
      </c>
      <c r="H842" s="2" t="n"/>
      <c r="I842" s="4" t="n"/>
      <c r="J842" s="2" t="n"/>
      <c r="K842" s="44">
        <f>IF('RPT1'!$J842="","",'RPT1'!$J842)</f>
        <v/>
      </c>
      <c r="L842" s="44">
        <f>IF('RPT2'!$J842="","",'RPT2'!$J842)</f>
        <v/>
      </c>
      <c r="M842" s="44">
        <f>IF('RPT3'!$J842="","",'RPT3'!$J842)</f>
        <v/>
      </c>
    </row>
    <row r="843">
      <c r="A843" s="16" t="inlineStr">
        <is>
          <t>MFP Negotiated Total Cost - Retail 90 - Brand - Year 4</t>
        </is>
      </c>
      <c r="B843" s="2" t="n"/>
      <c r="C843" s="43">
        <f>IF(Combine="Y", $G843, 0)</f>
        <v/>
      </c>
      <c r="D843" s="2" t="n"/>
      <c r="E843" s="4" t="n"/>
      <c r="F843" s="2" t="n"/>
      <c r="G843" s="43">
        <f>SUM($K843:$M843)</f>
        <v/>
      </c>
      <c r="H843" s="2" t="n"/>
      <c r="I843" s="4" t="n"/>
      <c r="J843" s="2" t="n"/>
      <c r="K843" s="44">
        <f>IF('RPT1'!$J843="","",'RPT1'!$J843)</f>
        <v/>
      </c>
      <c r="L843" s="44">
        <f>IF('RPT2'!$J843="","",'RPT2'!$J843)</f>
        <v/>
      </c>
      <c r="M843" s="44">
        <f>IF('RPT3'!$J843="","",'RPT3'!$J843)</f>
        <v/>
      </c>
    </row>
    <row r="844">
      <c r="A844" s="16" t="inlineStr">
        <is>
          <t>MFP Negotiated Total Cost - Retail 90 - Brand - Year 5</t>
        </is>
      </c>
      <c r="B844" s="2" t="n"/>
      <c r="C844" s="43">
        <f>IF(Combine="Y", $G844, 0)</f>
        <v/>
      </c>
      <c r="D844" s="2" t="n"/>
      <c r="E844" s="4" t="n"/>
      <c r="F844" s="2" t="n"/>
      <c r="G844" s="43">
        <f>SUM($K844:$M844)</f>
        <v/>
      </c>
      <c r="H844" s="2" t="n"/>
      <c r="I844" s="4" t="n"/>
      <c r="J844" s="2" t="n"/>
      <c r="K844" s="44">
        <f>IF('RPT1'!$J844="","",'RPT1'!$J844)</f>
        <v/>
      </c>
      <c r="L844" s="44">
        <f>IF('RPT2'!$J844="","",'RPT2'!$J844)</f>
        <v/>
      </c>
      <c r="M844" s="44">
        <f>IF('RPT3'!$J844="","",'RPT3'!$J844)</f>
        <v/>
      </c>
    </row>
    <row r="845">
      <c r="A845" s="16" t="inlineStr">
        <is>
          <t>MFP Negotiated Total Cost - Retail 90 - Generic - Year 1</t>
        </is>
      </c>
      <c r="B845" s="2" t="n"/>
      <c r="C845" s="43">
        <f>IF(Combine="Y", $G845, 0)</f>
        <v/>
      </c>
      <c r="D845" s="2" t="n"/>
      <c r="E845" s="4" t="n"/>
      <c r="F845" s="2" t="n"/>
      <c r="G845" s="43">
        <f>SUM($K845:$M845)</f>
        <v/>
      </c>
      <c r="H845" s="2" t="n"/>
      <c r="I845" s="4" t="n"/>
      <c r="J845" s="2" t="n"/>
      <c r="K845" s="44">
        <f>IF('RPT1'!$J845="","",'RPT1'!$J845)</f>
        <v/>
      </c>
      <c r="L845" s="44">
        <f>IF('RPT2'!$J845="","",'RPT2'!$J845)</f>
        <v/>
      </c>
      <c r="M845" s="44">
        <f>IF('RPT3'!$J845="","",'RPT3'!$J845)</f>
        <v/>
      </c>
    </row>
    <row r="846">
      <c r="A846" s="16" t="inlineStr">
        <is>
          <t>MFP Negotiated Total Cost - Retail 90 - Generic - Year 2</t>
        </is>
      </c>
      <c r="B846" s="2" t="n"/>
      <c r="C846" s="43">
        <f>IF(Combine="Y", $G846, 0)</f>
        <v/>
      </c>
      <c r="D846" s="2" t="n"/>
      <c r="E846" s="4" t="n"/>
      <c r="F846" s="2" t="n"/>
      <c r="G846" s="43">
        <f>SUM($K846:$M846)</f>
        <v/>
      </c>
      <c r="H846" s="2" t="n"/>
      <c r="I846" s="4" t="n"/>
      <c r="J846" s="2" t="n"/>
      <c r="K846" s="44">
        <f>IF('RPT1'!$J846="","",'RPT1'!$J846)</f>
        <v/>
      </c>
      <c r="L846" s="44">
        <f>IF('RPT2'!$J846="","",'RPT2'!$J846)</f>
        <v/>
      </c>
      <c r="M846" s="44">
        <f>IF('RPT3'!$J846="","",'RPT3'!$J846)</f>
        <v/>
      </c>
    </row>
    <row r="847">
      <c r="A847" s="16" t="inlineStr">
        <is>
          <t>MFP Negotiated Total Cost - Retail 90 - Generic - Year 3</t>
        </is>
      </c>
      <c r="B847" s="2" t="n"/>
      <c r="C847" s="43">
        <f>IF(Combine="Y", $G847, 0)</f>
        <v/>
      </c>
      <c r="D847" s="2" t="n"/>
      <c r="E847" s="4" t="n"/>
      <c r="F847" s="2" t="n"/>
      <c r="G847" s="43">
        <f>SUM($K847:$M847)</f>
        <v/>
      </c>
      <c r="H847" s="2" t="n"/>
      <c r="I847" s="4" t="n"/>
      <c r="J847" s="2" t="n"/>
      <c r="K847" s="44">
        <f>IF('RPT1'!$J847="","",'RPT1'!$J847)</f>
        <v/>
      </c>
      <c r="L847" s="44">
        <f>IF('RPT2'!$J847="","",'RPT2'!$J847)</f>
        <v/>
      </c>
      <c r="M847" s="44">
        <f>IF('RPT3'!$J847="","",'RPT3'!$J847)</f>
        <v/>
      </c>
    </row>
    <row r="848">
      <c r="A848" s="16" t="inlineStr">
        <is>
          <t>MFP Negotiated Total Cost - Retail 90 - Generic - Year 4</t>
        </is>
      </c>
      <c r="B848" s="2" t="n"/>
      <c r="C848" s="43">
        <f>IF(Combine="Y", $G848, 0)</f>
        <v/>
      </c>
      <c r="D848" s="2" t="n"/>
      <c r="E848" s="4" t="n"/>
      <c r="F848" s="2" t="n"/>
      <c r="G848" s="43">
        <f>SUM($K848:$M848)</f>
        <v/>
      </c>
      <c r="H848" s="2" t="n"/>
      <c r="I848" s="4" t="n"/>
      <c r="J848" s="2" t="n"/>
      <c r="K848" s="44">
        <f>IF('RPT1'!$J848="","",'RPT1'!$J848)</f>
        <v/>
      </c>
      <c r="L848" s="44">
        <f>IF('RPT2'!$J848="","",'RPT2'!$J848)</f>
        <v/>
      </c>
      <c r="M848" s="44">
        <f>IF('RPT3'!$J848="","",'RPT3'!$J848)</f>
        <v/>
      </c>
    </row>
    <row r="849">
      <c r="A849" s="16" t="inlineStr">
        <is>
          <t>MFP Negotiated Total Cost - Retail 90 - Generic - Year 5</t>
        </is>
      </c>
      <c r="B849" s="2" t="n"/>
      <c r="C849" s="43">
        <f>IF(Combine="Y", $G849, 0)</f>
        <v/>
      </c>
      <c r="D849" s="2" t="n"/>
      <c r="E849" s="4" t="n"/>
      <c r="F849" s="2" t="n"/>
      <c r="G849" s="43">
        <f>SUM($K849:$M849)</f>
        <v/>
      </c>
      <c r="H849" s="2" t="n"/>
      <c r="I849" s="4" t="n"/>
      <c r="J849" s="2" t="n"/>
      <c r="K849" s="44">
        <f>IF('RPT1'!$J849="","",'RPT1'!$J849)</f>
        <v/>
      </c>
      <c r="L849" s="44">
        <f>IF('RPT2'!$J849="","",'RPT2'!$J849)</f>
        <v/>
      </c>
      <c r="M849" s="44">
        <f>IF('RPT3'!$J849="","",'RPT3'!$J849)</f>
        <v/>
      </c>
    </row>
    <row r="850">
      <c r="A850" s="16" t="inlineStr">
        <is>
          <t>MFP Negotiated Total Cost - Specialty - Brand - Year 1</t>
        </is>
      </c>
      <c r="B850" s="2" t="n"/>
      <c r="C850" s="43">
        <f>IF(Combine="Y", $G850, 0)</f>
        <v/>
      </c>
      <c r="D850" s="2" t="n"/>
      <c r="E850" s="4" t="n"/>
      <c r="F850" s="2" t="n"/>
      <c r="G850" s="43">
        <f>SUM($K850:$M850)</f>
        <v/>
      </c>
      <c r="H850" s="2" t="n"/>
      <c r="I850" s="4" t="n"/>
      <c r="J850" s="2" t="n"/>
      <c r="K850" s="44">
        <f>IF('RPT1'!$J850="","",'RPT1'!$J850)</f>
        <v/>
      </c>
      <c r="L850" s="44">
        <f>IF('RPT2'!$J850="","",'RPT2'!$J850)</f>
        <v/>
      </c>
      <c r="M850" s="44">
        <f>IF('RPT3'!$J850="","",'RPT3'!$J850)</f>
        <v/>
      </c>
    </row>
    <row r="851">
      <c r="A851" s="16" t="inlineStr">
        <is>
          <t>MFP Negotiated Total Cost - Specialty - Brand - Year 2</t>
        </is>
      </c>
      <c r="B851" s="2" t="n"/>
      <c r="C851" s="43">
        <f>IF(Combine="Y", $G851, 0)</f>
        <v/>
      </c>
      <c r="D851" s="2" t="n"/>
      <c r="E851" s="4" t="n"/>
      <c r="F851" s="2" t="n"/>
      <c r="G851" s="43">
        <f>SUM($K851:$M851)</f>
        <v/>
      </c>
      <c r="H851" s="2" t="n"/>
      <c r="I851" s="4" t="n"/>
      <c r="J851" s="2" t="n"/>
      <c r="K851" s="44">
        <f>IF('RPT1'!$J851="","",'RPT1'!$J851)</f>
        <v/>
      </c>
      <c r="L851" s="44">
        <f>IF('RPT2'!$J851="","",'RPT2'!$J851)</f>
        <v/>
      </c>
      <c r="M851" s="44">
        <f>IF('RPT3'!$J851="","",'RPT3'!$J851)</f>
        <v/>
      </c>
    </row>
    <row r="852">
      <c r="A852" s="16" t="inlineStr">
        <is>
          <t>MFP Negotiated Total Cost - Specialty - Brand - Year 3</t>
        </is>
      </c>
      <c r="B852" s="2" t="n"/>
      <c r="C852" s="43">
        <f>IF(Combine="Y", $G852, 0)</f>
        <v/>
      </c>
      <c r="D852" s="2" t="n"/>
      <c r="E852" s="4" t="n"/>
      <c r="F852" s="2" t="n"/>
      <c r="G852" s="43">
        <f>SUM($K852:$M852)</f>
        <v/>
      </c>
      <c r="H852" s="2" t="n"/>
      <c r="I852" s="4" t="n"/>
      <c r="J852" s="2" t="n"/>
      <c r="K852" s="44">
        <f>IF('RPT1'!$J852="","",'RPT1'!$J852)</f>
        <v/>
      </c>
      <c r="L852" s="44">
        <f>IF('RPT2'!$J852="","",'RPT2'!$J852)</f>
        <v/>
      </c>
      <c r="M852" s="44">
        <f>IF('RPT3'!$J852="","",'RPT3'!$J852)</f>
        <v/>
      </c>
    </row>
    <row r="853">
      <c r="A853" s="16" t="inlineStr">
        <is>
          <t>MFP Negotiated Total Cost - Specialty - Brand - Year 4</t>
        </is>
      </c>
      <c r="B853" s="2" t="n"/>
      <c r="C853" s="43">
        <f>IF(Combine="Y", $G853, 0)</f>
        <v/>
      </c>
      <c r="D853" s="2" t="n"/>
      <c r="E853" s="4" t="n"/>
      <c r="F853" s="2" t="n"/>
      <c r="G853" s="43">
        <f>SUM($K853:$M853)</f>
        <v/>
      </c>
      <c r="H853" s="2" t="n"/>
      <c r="I853" s="4" t="n"/>
      <c r="J853" s="2" t="n"/>
      <c r="K853" s="44">
        <f>IF('RPT1'!$J853="","",'RPT1'!$J853)</f>
        <v/>
      </c>
      <c r="L853" s="44">
        <f>IF('RPT2'!$J853="","",'RPT2'!$J853)</f>
        <v/>
      </c>
      <c r="M853" s="44">
        <f>IF('RPT3'!$J853="","",'RPT3'!$J853)</f>
        <v/>
      </c>
    </row>
    <row r="854">
      <c r="A854" s="16" t="inlineStr">
        <is>
          <t>MFP Negotiated Total Cost - Specialty - Brand - Year 5</t>
        </is>
      </c>
      <c r="B854" s="2" t="n"/>
      <c r="C854" s="43">
        <f>IF(Combine="Y", $G854, 0)</f>
        <v/>
      </c>
      <c r="D854" s="2" t="n"/>
      <c r="E854" s="4" t="n"/>
      <c r="F854" s="2" t="n"/>
      <c r="G854" s="43">
        <f>SUM($K854:$M854)</f>
        <v/>
      </c>
      <c r="H854" s="2" t="n"/>
      <c r="I854" s="4" t="n"/>
      <c r="J854" s="2" t="n"/>
      <c r="K854" s="44">
        <f>IF('RPT1'!$J854="","",'RPT1'!$J854)</f>
        <v/>
      </c>
      <c r="L854" s="44">
        <f>IF('RPT2'!$J854="","",'RPT2'!$J854)</f>
        <v/>
      </c>
      <c r="M854" s="44">
        <f>IF('RPT3'!$J854="","",'RPT3'!$J854)</f>
        <v/>
      </c>
    </row>
    <row r="855">
      <c r="A855" s="16" t="inlineStr">
        <is>
          <t>MFP Negotiated Total Cost - Specialty - Generic - Year 1</t>
        </is>
      </c>
      <c r="B855" s="2" t="n"/>
      <c r="C855" s="43">
        <f>IF(Combine="Y", $G855, 0)</f>
        <v/>
      </c>
      <c r="D855" s="2" t="n"/>
      <c r="E855" s="4" t="n"/>
      <c r="F855" s="2" t="n"/>
      <c r="G855" s="43">
        <f>SUM($K855:$M855)</f>
        <v/>
      </c>
      <c r="H855" s="2" t="n"/>
      <c r="I855" s="4" t="n"/>
      <c r="J855" s="2" t="n"/>
      <c r="K855" s="44">
        <f>IF('RPT1'!$J855="","",'RPT1'!$J855)</f>
        <v/>
      </c>
      <c r="L855" s="44">
        <f>IF('RPT2'!$J855="","",'RPT2'!$J855)</f>
        <v/>
      </c>
      <c r="M855" s="44">
        <f>IF('RPT3'!$J855="","",'RPT3'!$J855)</f>
        <v/>
      </c>
    </row>
    <row r="856">
      <c r="A856" s="16" t="inlineStr">
        <is>
          <t>MFP Negotiated Total Cost - Specialty - Generic - Year 2</t>
        </is>
      </c>
      <c r="B856" s="2" t="n"/>
      <c r="C856" s="43">
        <f>IF(Combine="Y", $G856, 0)</f>
        <v/>
      </c>
      <c r="D856" s="2" t="n"/>
      <c r="E856" s="4" t="n"/>
      <c r="F856" s="2" t="n"/>
      <c r="G856" s="43">
        <f>SUM($K856:$M856)</f>
        <v/>
      </c>
      <c r="H856" s="2" t="n"/>
      <c r="I856" s="4" t="n"/>
      <c r="J856" s="2" t="n"/>
      <c r="K856" s="44">
        <f>IF('RPT1'!$J856="","",'RPT1'!$J856)</f>
        <v/>
      </c>
      <c r="L856" s="44">
        <f>IF('RPT2'!$J856="","",'RPT2'!$J856)</f>
        <v/>
      </c>
      <c r="M856" s="44">
        <f>IF('RPT3'!$J856="","",'RPT3'!$J856)</f>
        <v/>
      </c>
    </row>
    <row r="857">
      <c r="A857" s="16" t="inlineStr">
        <is>
          <t>MFP Negotiated Total Cost - Specialty - Generic - Year 3</t>
        </is>
      </c>
      <c r="B857" s="2" t="n"/>
      <c r="C857" s="43">
        <f>IF(Combine="Y", $G857, 0)</f>
        <v/>
      </c>
      <c r="D857" s="2" t="n"/>
      <c r="E857" s="4" t="n"/>
      <c r="F857" s="2" t="n"/>
      <c r="G857" s="43">
        <f>SUM($K857:$M857)</f>
        <v/>
      </c>
      <c r="H857" s="2" t="n"/>
      <c r="I857" s="4" t="n"/>
      <c r="J857" s="2" t="n"/>
      <c r="K857" s="44">
        <f>IF('RPT1'!$J857="","",'RPT1'!$J857)</f>
        <v/>
      </c>
      <c r="L857" s="44">
        <f>IF('RPT2'!$J857="","",'RPT2'!$J857)</f>
        <v/>
      </c>
      <c r="M857" s="44">
        <f>IF('RPT3'!$J857="","",'RPT3'!$J857)</f>
        <v/>
      </c>
    </row>
    <row r="858">
      <c r="A858" s="16" t="inlineStr">
        <is>
          <t>MFP Negotiated Total Cost - Specialty - Generic - Year 4</t>
        </is>
      </c>
      <c r="B858" s="2" t="n"/>
      <c r="C858" s="43">
        <f>IF(Combine="Y", $G858, 0)</f>
        <v/>
      </c>
      <c r="D858" s="2" t="n"/>
      <c r="E858" s="4" t="n"/>
      <c r="F858" s="2" t="n"/>
      <c r="G858" s="43">
        <f>SUM($K858:$M858)</f>
        <v/>
      </c>
      <c r="H858" s="2" t="n"/>
      <c r="I858" s="4" t="n"/>
      <c r="J858" s="2" t="n"/>
      <c r="K858" s="44">
        <f>IF('RPT1'!$J858="","",'RPT1'!$J858)</f>
        <v/>
      </c>
      <c r="L858" s="44">
        <f>IF('RPT2'!$J858="","",'RPT2'!$J858)</f>
        <v/>
      </c>
      <c r="M858" s="44">
        <f>IF('RPT3'!$J858="","",'RPT3'!$J858)</f>
        <v/>
      </c>
    </row>
    <row r="859">
      <c r="A859" s="16" t="inlineStr">
        <is>
          <t>MFP Negotiated Total Cost - Specialty - Generic - Year 5</t>
        </is>
      </c>
      <c r="B859" s="2" t="n"/>
      <c r="C859" s="43">
        <f>IF(Combine="Y", $G859, 0)</f>
        <v/>
      </c>
      <c r="D859" s="2" t="n"/>
      <c r="E859" s="4" t="n"/>
      <c r="F859" s="2" t="n"/>
      <c r="G859" s="43">
        <f>SUM($K859:$M859)</f>
        <v/>
      </c>
      <c r="H859" s="2" t="n"/>
      <c r="I859" s="4" t="n"/>
      <c r="J859" s="2" t="n"/>
      <c r="K859" s="44">
        <f>IF('RPT1'!$J859="","",'RPT1'!$J859)</f>
        <v/>
      </c>
      <c r="L859" s="44">
        <f>IF('RPT2'!$J859="","",'RPT2'!$J859)</f>
        <v/>
      </c>
      <c r="M859" s="44">
        <f>IF('RPT3'!$J859="","",'RPT3'!$J859)</f>
        <v/>
      </c>
    </row>
    <row r="860">
      <c r="A860" s="16" t="n"/>
      <c r="B860" s="2" t="n"/>
      <c r="C860" s="43" t="n"/>
      <c r="D860" s="2" t="n"/>
      <c r="E860" s="4" t="n"/>
      <c r="F860" s="2" t="n"/>
      <c r="G860" s="43" t="n"/>
      <c r="H860" s="2" t="n"/>
      <c r="I860" s="4" t="n"/>
      <c r="J860" s="2" t="n"/>
      <c r="K860" s="44" t="n"/>
      <c r="L860" s="44" t="n"/>
      <c r="M860" s="44" t="n"/>
    </row>
    <row r="861">
      <c r="A861" s="37" t="inlineStr">
        <is>
          <t>MFP AWP</t>
        </is>
      </c>
      <c r="B861" s="2" t="n"/>
      <c r="C861" s="43" t="n"/>
      <c r="D861" s="2" t="n"/>
      <c r="E861" s="4" t="n"/>
      <c r="F861" s="2" t="n"/>
      <c r="G861" s="43" t="n"/>
      <c r="H861" s="2" t="n"/>
      <c r="I861" s="4" t="n"/>
      <c r="J861" s="2" t="n"/>
      <c r="K861" s="44">
        <f>IF('RPT1'!$J861="","",'RPT1'!$J861)</f>
        <v/>
      </c>
      <c r="L861" s="44">
        <f>IF('RPT2'!$J861="","",'RPT2'!$J861)</f>
        <v/>
      </c>
      <c r="M861" s="44">
        <f>IF('RPT3'!$J861="","",'RPT3'!$J861)</f>
        <v/>
      </c>
    </row>
    <row r="862">
      <c r="A862" s="16" t="inlineStr">
        <is>
          <t>MFP AWP - Mail - Brand - Year 1</t>
        </is>
      </c>
      <c r="B862" s="2" t="n"/>
      <c r="C862" s="43">
        <f>IF(Combine="Y", $G862, 0)</f>
        <v/>
      </c>
      <c r="D862" s="2" t="n"/>
      <c r="E862" s="4" t="n"/>
      <c r="F862" s="2" t="n"/>
      <c r="G862" s="43">
        <f>SUM($K862:$M862)</f>
        <v/>
      </c>
      <c r="H862" s="2" t="n"/>
      <c r="I862" s="4" t="n"/>
      <c r="J862" s="2" t="n"/>
      <c r="K862" s="44">
        <f>IF('RPT1'!$J862="","",'RPT1'!$J862)</f>
        <v/>
      </c>
      <c r="L862" s="44">
        <f>IF('RPT2'!$J862="","",'RPT2'!$J862)</f>
        <v/>
      </c>
      <c r="M862" s="44">
        <f>IF('RPT3'!$J862="","",'RPT3'!$J862)</f>
        <v/>
      </c>
    </row>
    <row r="863">
      <c r="A863" s="16" t="inlineStr">
        <is>
          <t>MFP AWP - Mail - Brand - Year 2</t>
        </is>
      </c>
      <c r="B863" s="2" t="n"/>
      <c r="C863" s="43">
        <f>IF(Combine="Y", $G863, 0)</f>
        <v/>
      </c>
      <c r="D863" s="2" t="n"/>
      <c r="E863" s="4" t="n"/>
      <c r="F863" s="2" t="n"/>
      <c r="G863" s="43">
        <f>SUM($K863:$M863)</f>
        <v/>
      </c>
      <c r="H863" s="2" t="n"/>
      <c r="I863" s="4" t="n"/>
      <c r="J863" s="2" t="n"/>
      <c r="K863" s="44">
        <f>IF('RPT1'!$J863="","",'RPT1'!$J863)</f>
        <v/>
      </c>
      <c r="L863" s="44">
        <f>IF('RPT2'!$J863="","",'RPT2'!$J863)</f>
        <v/>
      </c>
      <c r="M863" s="44">
        <f>IF('RPT3'!$J863="","",'RPT3'!$J863)</f>
        <v/>
      </c>
    </row>
    <row r="864">
      <c r="A864" s="16" t="inlineStr">
        <is>
          <t>MFP AWP - Mail - Brand - Year 3</t>
        </is>
      </c>
      <c r="B864" s="2" t="n"/>
      <c r="C864" s="43">
        <f>IF(Combine="Y", $G864, 0)</f>
        <v/>
      </c>
      <c r="D864" s="2" t="n"/>
      <c r="E864" s="4" t="n"/>
      <c r="F864" s="2" t="n"/>
      <c r="G864" s="43">
        <f>SUM($K864:$M864)</f>
        <v/>
      </c>
      <c r="H864" s="2" t="n"/>
      <c r="I864" s="4" t="n"/>
      <c r="J864" s="2" t="n"/>
      <c r="K864" s="44">
        <f>IF('RPT1'!$J864="","",'RPT1'!$J864)</f>
        <v/>
      </c>
      <c r="L864" s="44">
        <f>IF('RPT2'!$J864="","",'RPT2'!$J864)</f>
        <v/>
      </c>
      <c r="M864" s="44">
        <f>IF('RPT3'!$J864="","",'RPT3'!$J864)</f>
        <v/>
      </c>
    </row>
    <row r="865">
      <c r="A865" s="16" t="inlineStr">
        <is>
          <t>MFP AWP - Mail - Brand - Year 4</t>
        </is>
      </c>
      <c r="B865" s="2" t="n"/>
      <c r="C865" s="43">
        <f>IF(Combine="Y", $G865, 0)</f>
        <v/>
      </c>
      <c r="D865" s="2" t="n"/>
      <c r="E865" s="4" t="n"/>
      <c r="F865" s="2" t="n"/>
      <c r="G865" s="43">
        <f>SUM($K865:$M865)</f>
        <v/>
      </c>
      <c r="H865" s="2" t="n"/>
      <c r="I865" s="4" t="n"/>
      <c r="J865" s="2" t="n"/>
      <c r="K865" s="44">
        <f>IF('RPT1'!$J865="","",'RPT1'!$J865)</f>
        <v/>
      </c>
      <c r="L865" s="44">
        <f>IF('RPT2'!$J865="","",'RPT2'!$J865)</f>
        <v/>
      </c>
      <c r="M865" s="44">
        <f>IF('RPT3'!$J865="","",'RPT3'!$J865)</f>
        <v/>
      </c>
    </row>
    <row r="866">
      <c r="A866" s="16" t="inlineStr">
        <is>
          <t>MFP AWP - Mail - Brand - Year 5</t>
        </is>
      </c>
      <c r="B866" s="2" t="n"/>
      <c r="C866" s="43">
        <f>IF(Combine="Y", $G866, 0)</f>
        <v/>
      </c>
      <c r="D866" s="2" t="n"/>
      <c r="E866" s="4" t="n"/>
      <c r="F866" s="2" t="n"/>
      <c r="G866" s="43">
        <f>SUM($K866:$M866)</f>
        <v/>
      </c>
      <c r="H866" s="2" t="n"/>
      <c r="I866" s="4" t="n"/>
      <c r="J866" s="2" t="n"/>
      <c r="K866" s="44">
        <f>IF('RPT1'!$J866="","",'RPT1'!$J866)</f>
        <v/>
      </c>
      <c r="L866" s="44">
        <f>IF('RPT2'!$J866="","",'RPT2'!$J866)</f>
        <v/>
      </c>
      <c r="M866" s="44">
        <f>IF('RPT3'!$J866="","",'RPT3'!$J866)</f>
        <v/>
      </c>
    </row>
    <row r="867">
      <c r="A867" s="16" t="inlineStr">
        <is>
          <t>MFP AWP - Mail - Generic - Year 1</t>
        </is>
      </c>
      <c r="B867" s="2" t="n"/>
      <c r="C867" s="43">
        <f>IF(Combine="Y", $G867, 0)</f>
        <v/>
      </c>
      <c r="D867" s="2" t="n"/>
      <c r="E867" s="4" t="n"/>
      <c r="F867" s="2" t="n"/>
      <c r="G867" s="43">
        <f>SUM($K867:$M867)</f>
        <v/>
      </c>
      <c r="H867" s="2" t="n"/>
      <c r="I867" s="4" t="n"/>
      <c r="J867" s="2" t="n"/>
      <c r="K867" s="44">
        <f>IF('RPT1'!$J867="","",'RPT1'!$J867)</f>
        <v/>
      </c>
      <c r="L867" s="44">
        <f>IF('RPT2'!$J867="","",'RPT2'!$J867)</f>
        <v/>
      </c>
      <c r="M867" s="44">
        <f>IF('RPT3'!$J867="","",'RPT3'!$J867)</f>
        <v/>
      </c>
    </row>
    <row r="868">
      <c r="A868" s="16" t="inlineStr">
        <is>
          <t>MFP AWP - Mail - Generic - Year 2</t>
        </is>
      </c>
      <c r="B868" s="2" t="n"/>
      <c r="C868" s="43">
        <f>IF(Combine="Y", $G868, 0)</f>
        <v/>
      </c>
      <c r="D868" s="2" t="n"/>
      <c r="E868" s="4" t="n"/>
      <c r="F868" s="2" t="n"/>
      <c r="G868" s="43">
        <f>SUM($K868:$M868)</f>
        <v/>
      </c>
      <c r="H868" s="2" t="n"/>
      <c r="I868" s="4" t="n"/>
      <c r="J868" s="2" t="n"/>
      <c r="K868" s="44">
        <f>IF('RPT1'!$J868="","",'RPT1'!$J868)</f>
        <v/>
      </c>
      <c r="L868" s="44">
        <f>IF('RPT2'!$J868="","",'RPT2'!$J868)</f>
        <v/>
      </c>
      <c r="M868" s="44">
        <f>IF('RPT3'!$J868="","",'RPT3'!$J868)</f>
        <v/>
      </c>
    </row>
    <row r="869">
      <c r="A869" s="16" t="inlineStr">
        <is>
          <t>MFP AWP - Mail - Generic - Year 3</t>
        </is>
      </c>
      <c r="B869" s="2" t="n"/>
      <c r="C869" s="43">
        <f>IF(Combine="Y", $G869, 0)</f>
        <v/>
      </c>
      <c r="D869" s="2" t="n"/>
      <c r="E869" s="4" t="n"/>
      <c r="F869" s="2" t="n"/>
      <c r="G869" s="43">
        <f>SUM($K869:$M869)</f>
        <v/>
      </c>
      <c r="H869" s="2" t="n"/>
      <c r="I869" s="4" t="n"/>
      <c r="J869" s="2" t="n"/>
      <c r="K869" s="44">
        <f>IF('RPT1'!$J869="","",'RPT1'!$J869)</f>
        <v/>
      </c>
      <c r="L869" s="44">
        <f>IF('RPT2'!$J869="","",'RPT2'!$J869)</f>
        <v/>
      </c>
      <c r="M869" s="44">
        <f>IF('RPT3'!$J869="","",'RPT3'!$J869)</f>
        <v/>
      </c>
    </row>
    <row r="870">
      <c r="A870" s="16" t="inlineStr">
        <is>
          <t>MFP AWP - Mail - Generic - Year 4</t>
        </is>
      </c>
      <c r="B870" s="2" t="n"/>
      <c r="C870" s="43">
        <f>IF(Combine="Y", $G870, 0)</f>
        <v/>
      </c>
      <c r="D870" s="2" t="n"/>
      <c r="E870" s="4" t="n"/>
      <c r="F870" s="2" t="n"/>
      <c r="G870" s="43">
        <f>SUM($K870:$M870)</f>
        <v/>
      </c>
      <c r="H870" s="2" t="n"/>
      <c r="I870" s="4" t="n"/>
      <c r="J870" s="2" t="n"/>
      <c r="K870" s="44">
        <f>IF('RPT1'!$J870="","",'RPT1'!$J870)</f>
        <v/>
      </c>
      <c r="L870" s="44">
        <f>IF('RPT2'!$J870="","",'RPT2'!$J870)</f>
        <v/>
      </c>
      <c r="M870" s="44">
        <f>IF('RPT3'!$J870="","",'RPT3'!$J870)</f>
        <v/>
      </c>
    </row>
    <row r="871">
      <c r="A871" s="16" t="inlineStr">
        <is>
          <t>MFP AWP - Mail - Generic - Year 5</t>
        </is>
      </c>
      <c r="B871" s="2" t="n"/>
      <c r="C871" s="43">
        <f>IF(Combine="Y", $G871, 0)</f>
        <v/>
      </c>
      <c r="D871" s="2" t="n"/>
      <c r="E871" s="4" t="n"/>
      <c r="F871" s="2" t="n"/>
      <c r="G871" s="43">
        <f>SUM($K871:$M871)</f>
        <v/>
      </c>
      <c r="H871" s="2" t="n"/>
      <c r="I871" s="4" t="n"/>
      <c r="J871" s="2" t="n"/>
      <c r="K871" s="44">
        <f>IF('RPT1'!$J871="","",'RPT1'!$J871)</f>
        <v/>
      </c>
      <c r="L871" s="44">
        <f>IF('RPT2'!$J871="","",'RPT2'!$J871)</f>
        <v/>
      </c>
      <c r="M871" s="44">
        <f>IF('RPT3'!$J871="","",'RPT3'!$J871)</f>
        <v/>
      </c>
    </row>
    <row r="872">
      <c r="A872" s="16" t="inlineStr">
        <is>
          <t>MFP AWP - Retail 30 - Brand - Year 1</t>
        </is>
      </c>
      <c r="B872" s="2" t="n"/>
      <c r="C872" s="43">
        <f>IF(Combine="Y", $G872, 0)</f>
        <v/>
      </c>
      <c r="D872" s="2" t="n"/>
      <c r="E872" s="4" t="n"/>
      <c r="F872" s="2" t="n"/>
      <c r="G872" s="43">
        <f>SUM($K872:$M872)</f>
        <v/>
      </c>
      <c r="H872" s="2" t="n"/>
      <c r="I872" s="4" t="n"/>
      <c r="J872" s="2" t="n"/>
      <c r="K872" s="44">
        <f>IF('RPT1'!$J872="","",'RPT1'!$J872)</f>
        <v/>
      </c>
      <c r="L872" s="44">
        <f>IF('RPT2'!$J872="","",'RPT2'!$J872)</f>
        <v/>
      </c>
      <c r="M872" s="44">
        <f>IF('RPT3'!$J872="","",'RPT3'!$J872)</f>
        <v/>
      </c>
    </row>
    <row r="873">
      <c r="A873" s="16" t="inlineStr">
        <is>
          <t>MFP AWP - Retail 30 - Brand - Year 2</t>
        </is>
      </c>
      <c r="B873" s="2" t="n"/>
      <c r="C873" s="43">
        <f>IF(Combine="Y", $G873, 0)</f>
        <v/>
      </c>
      <c r="D873" s="2" t="n"/>
      <c r="E873" s="4" t="n"/>
      <c r="F873" s="2" t="n"/>
      <c r="G873" s="43">
        <f>SUM($K873:$M873)</f>
        <v/>
      </c>
      <c r="H873" s="2" t="n"/>
      <c r="I873" s="4" t="n"/>
      <c r="J873" s="2" t="n"/>
      <c r="K873" s="44">
        <f>IF('RPT1'!$J873="","",'RPT1'!$J873)</f>
        <v/>
      </c>
      <c r="L873" s="44">
        <f>IF('RPT2'!$J873="","",'RPT2'!$J873)</f>
        <v/>
      </c>
      <c r="M873" s="44">
        <f>IF('RPT3'!$J873="","",'RPT3'!$J873)</f>
        <v/>
      </c>
    </row>
    <row r="874">
      <c r="A874" s="16" t="inlineStr">
        <is>
          <t>MFP AWP - Retail 30 - Brand - Year 3</t>
        </is>
      </c>
      <c r="B874" s="2" t="n"/>
      <c r="C874" s="43">
        <f>IF(Combine="Y", $G874, 0)</f>
        <v/>
      </c>
      <c r="D874" s="2" t="n"/>
      <c r="E874" s="4" t="n"/>
      <c r="F874" s="2" t="n"/>
      <c r="G874" s="43">
        <f>SUM($K874:$M874)</f>
        <v/>
      </c>
      <c r="H874" s="2" t="n"/>
      <c r="I874" s="4" t="n"/>
      <c r="J874" s="2" t="n"/>
      <c r="K874" s="44">
        <f>IF('RPT1'!$J874="","",'RPT1'!$J874)</f>
        <v/>
      </c>
      <c r="L874" s="44">
        <f>IF('RPT2'!$J874="","",'RPT2'!$J874)</f>
        <v/>
      </c>
      <c r="M874" s="44">
        <f>IF('RPT3'!$J874="","",'RPT3'!$J874)</f>
        <v/>
      </c>
    </row>
    <row r="875">
      <c r="A875" s="16" t="inlineStr">
        <is>
          <t>MFP AWP - Retail 30 - Brand - Year 4</t>
        </is>
      </c>
      <c r="B875" s="2" t="n"/>
      <c r="C875" s="43">
        <f>IF(Combine="Y", $G875, 0)</f>
        <v/>
      </c>
      <c r="D875" s="2" t="n"/>
      <c r="E875" s="4" t="n"/>
      <c r="F875" s="2" t="n"/>
      <c r="G875" s="43">
        <f>SUM($K875:$M875)</f>
        <v/>
      </c>
      <c r="H875" s="2" t="n"/>
      <c r="I875" s="4" t="n"/>
      <c r="J875" s="2" t="n"/>
      <c r="K875" s="44">
        <f>IF('RPT1'!$J875="","",'RPT1'!$J875)</f>
        <v/>
      </c>
      <c r="L875" s="44">
        <f>IF('RPT2'!$J875="","",'RPT2'!$J875)</f>
        <v/>
      </c>
      <c r="M875" s="44">
        <f>IF('RPT3'!$J875="","",'RPT3'!$J875)</f>
        <v/>
      </c>
    </row>
    <row r="876">
      <c r="A876" s="16" t="inlineStr">
        <is>
          <t>MFP AWP - Retail 30 - Brand - Year 5</t>
        </is>
      </c>
      <c r="B876" s="2" t="n"/>
      <c r="C876" s="43">
        <f>IF(Combine="Y", $G876, 0)</f>
        <v/>
      </c>
      <c r="D876" s="2" t="n"/>
      <c r="E876" s="4" t="n"/>
      <c r="F876" s="2" t="n"/>
      <c r="G876" s="43">
        <f>SUM($K876:$M876)</f>
        <v/>
      </c>
      <c r="H876" s="2" t="n"/>
      <c r="I876" s="4" t="n"/>
      <c r="J876" s="2" t="n"/>
      <c r="K876" s="44">
        <f>IF('RPT1'!$J876="","",'RPT1'!$J876)</f>
        <v/>
      </c>
      <c r="L876" s="44">
        <f>IF('RPT2'!$J876="","",'RPT2'!$J876)</f>
        <v/>
      </c>
      <c r="M876" s="44">
        <f>IF('RPT3'!$J876="","",'RPT3'!$J876)</f>
        <v/>
      </c>
    </row>
    <row r="877">
      <c r="A877" s="16" t="inlineStr">
        <is>
          <t>MFP AWP - Retail 30 - Generic - Year 1</t>
        </is>
      </c>
      <c r="B877" s="2" t="n"/>
      <c r="C877" s="43">
        <f>IF(Combine="Y", $G877, 0)</f>
        <v/>
      </c>
      <c r="D877" s="2" t="n"/>
      <c r="E877" s="4" t="n"/>
      <c r="F877" s="2" t="n"/>
      <c r="G877" s="43">
        <f>SUM($K877:$M877)</f>
        <v/>
      </c>
      <c r="H877" s="2" t="n"/>
      <c r="I877" s="4" t="n"/>
      <c r="J877" s="2" t="n"/>
      <c r="K877" s="44">
        <f>IF('RPT1'!$J877="","",'RPT1'!$J877)</f>
        <v/>
      </c>
      <c r="L877" s="44">
        <f>IF('RPT2'!$J877="","",'RPT2'!$J877)</f>
        <v/>
      </c>
      <c r="M877" s="44">
        <f>IF('RPT3'!$J877="","",'RPT3'!$J877)</f>
        <v/>
      </c>
    </row>
    <row r="878">
      <c r="A878" s="16" t="inlineStr">
        <is>
          <t>MFP AWP - Retail 30 - Generic - Year 2</t>
        </is>
      </c>
      <c r="B878" s="2" t="n"/>
      <c r="C878" s="43">
        <f>IF(Combine="Y", $G878, 0)</f>
        <v/>
      </c>
      <c r="D878" s="2" t="n"/>
      <c r="E878" s="4" t="n"/>
      <c r="F878" s="2" t="n"/>
      <c r="G878" s="43">
        <f>SUM($K878:$M878)</f>
        <v/>
      </c>
      <c r="H878" s="2" t="n"/>
      <c r="I878" s="4" t="n"/>
      <c r="J878" s="2" t="n"/>
      <c r="K878" s="44">
        <f>IF('RPT1'!$J878="","",'RPT1'!$J878)</f>
        <v/>
      </c>
      <c r="L878" s="44">
        <f>IF('RPT2'!$J878="","",'RPT2'!$J878)</f>
        <v/>
      </c>
      <c r="M878" s="44">
        <f>IF('RPT3'!$J878="","",'RPT3'!$J878)</f>
        <v/>
      </c>
    </row>
    <row r="879">
      <c r="A879" s="16" t="inlineStr">
        <is>
          <t>MFP AWP - Retail 30 - Generic - Year 3</t>
        </is>
      </c>
      <c r="B879" s="2" t="n"/>
      <c r="C879" s="43">
        <f>IF(Combine="Y", $G879, 0)</f>
        <v/>
      </c>
      <c r="D879" s="2" t="n"/>
      <c r="E879" s="4" t="n"/>
      <c r="F879" s="2" t="n"/>
      <c r="G879" s="43">
        <f>SUM($K879:$M879)</f>
        <v/>
      </c>
      <c r="H879" s="2" t="n"/>
      <c r="I879" s="4" t="n"/>
      <c r="J879" s="2" t="n"/>
      <c r="K879" s="44">
        <f>IF('RPT1'!$J879="","",'RPT1'!$J879)</f>
        <v/>
      </c>
      <c r="L879" s="44">
        <f>IF('RPT2'!$J879="","",'RPT2'!$J879)</f>
        <v/>
      </c>
      <c r="M879" s="44">
        <f>IF('RPT3'!$J879="","",'RPT3'!$J879)</f>
        <v/>
      </c>
    </row>
    <row r="880">
      <c r="A880" s="16" t="inlineStr">
        <is>
          <t>MFP AWP - Retail 30 - Generic - Year 4</t>
        </is>
      </c>
      <c r="B880" s="2" t="n"/>
      <c r="C880" s="43">
        <f>IF(Combine="Y", $G880, 0)</f>
        <v/>
      </c>
      <c r="D880" s="2" t="n"/>
      <c r="E880" s="4" t="n"/>
      <c r="F880" s="2" t="n"/>
      <c r="G880" s="43">
        <f>SUM($K880:$M880)</f>
        <v/>
      </c>
      <c r="H880" s="2" t="n"/>
      <c r="I880" s="4" t="n"/>
      <c r="J880" s="2" t="n"/>
      <c r="K880" s="44">
        <f>IF('RPT1'!$J880="","",'RPT1'!$J880)</f>
        <v/>
      </c>
      <c r="L880" s="44">
        <f>IF('RPT2'!$J880="","",'RPT2'!$J880)</f>
        <v/>
      </c>
      <c r="M880" s="44">
        <f>IF('RPT3'!$J880="","",'RPT3'!$J880)</f>
        <v/>
      </c>
    </row>
    <row r="881">
      <c r="A881" s="16" t="inlineStr">
        <is>
          <t>MFP AWP - Retail 30 - Generic - Year 5</t>
        </is>
      </c>
      <c r="B881" s="2" t="n"/>
      <c r="C881" s="43">
        <f>IF(Combine="Y", $G881, 0)</f>
        <v/>
      </c>
      <c r="D881" s="2" t="n"/>
      <c r="E881" s="4" t="n"/>
      <c r="F881" s="2" t="n"/>
      <c r="G881" s="43">
        <f>SUM($K881:$M881)</f>
        <v/>
      </c>
      <c r="H881" s="2" t="n"/>
      <c r="I881" s="4" t="n"/>
      <c r="J881" s="2" t="n"/>
      <c r="K881" s="44">
        <f>IF('RPT1'!$J881="","",'RPT1'!$J881)</f>
        <v/>
      </c>
      <c r="L881" s="44">
        <f>IF('RPT2'!$J881="","",'RPT2'!$J881)</f>
        <v/>
      </c>
      <c r="M881" s="44">
        <f>IF('RPT3'!$J881="","",'RPT3'!$J881)</f>
        <v/>
      </c>
    </row>
    <row r="882">
      <c r="A882" s="16" t="inlineStr">
        <is>
          <t>MFP AWP - Retail 90 - Brand - Year 1</t>
        </is>
      </c>
      <c r="B882" s="2" t="n"/>
      <c r="C882" s="43">
        <f>IF(Combine="Y", $G882, 0)</f>
        <v/>
      </c>
      <c r="D882" s="2" t="n"/>
      <c r="E882" s="4" t="n"/>
      <c r="F882" s="2" t="n"/>
      <c r="G882" s="43">
        <f>SUM($K882:$M882)</f>
        <v/>
      </c>
      <c r="H882" s="2" t="n"/>
      <c r="I882" s="4" t="n"/>
      <c r="J882" s="2" t="n"/>
      <c r="K882" s="44">
        <f>IF('RPT1'!$J882="","",'RPT1'!$J882)</f>
        <v/>
      </c>
      <c r="L882" s="44">
        <f>IF('RPT2'!$J882="","",'RPT2'!$J882)</f>
        <v/>
      </c>
      <c r="M882" s="44">
        <f>IF('RPT3'!$J882="","",'RPT3'!$J882)</f>
        <v/>
      </c>
    </row>
    <row r="883">
      <c r="A883" s="16" t="inlineStr">
        <is>
          <t>MFP AWP - Retail 90 - Brand - Year 2</t>
        </is>
      </c>
      <c r="B883" s="2" t="n"/>
      <c r="C883" s="43">
        <f>IF(Combine="Y", $G883, 0)</f>
        <v/>
      </c>
      <c r="D883" s="2" t="n"/>
      <c r="E883" s="4" t="n"/>
      <c r="F883" s="2" t="n"/>
      <c r="G883" s="43">
        <f>SUM($K883:$M883)</f>
        <v/>
      </c>
      <c r="H883" s="2" t="n"/>
      <c r="I883" s="4" t="n"/>
      <c r="J883" s="2" t="n"/>
      <c r="K883" s="44">
        <f>IF('RPT1'!$J883="","",'RPT1'!$J883)</f>
        <v/>
      </c>
      <c r="L883" s="44">
        <f>IF('RPT2'!$J883="","",'RPT2'!$J883)</f>
        <v/>
      </c>
      <c r="M883" s="44">
        <f>IF('RPT3'!$J883="","",'RPT3'!$J883)</f>
        <v/>
      </c>
    </row>
    <row r="884">
      <c r="A884" s="16" t="inlineStr">
        <is>
          <t>MFP AWP - Retail 90 - Brand - Year 3</t>
        </is>
      </c>
      <c r="B884" s="2" t="n"/>
      <c r="C884" s="43">
        <f>IF(Combine="Y", $G884, 0)</f>
        <v/>
      </c>
      <c r="D884" s="2" t="n"/>
      <c r="E884" s="4" t="n"/>
      <c r="F884" s="2" t="n"/>
      <c r="G884" s="43">
        <f>SUM($K884:$M884)</f>
        <v/>
      </c>
      <c r="H884" s="2" t="n"/>
      <c r="I884" s="4" t="n"/>
      <c r="J884" s="2" t="n"/>
      <c r="K884" s="44">
        <f>IF('RPT1'!$J884="","",'RPT1'!$J884)</f>
        <v/>
      </c>
      <c r="L884" s="44">
        <f>IF('RPT2'!$J884="","",'RPT2'!$J884)</f>
        <v/>
      </c>
      <c r="M884" s="44">
        <f>IF('RPT3'!$J884="","",'RPT3'!$J884)</f>
        <v/>
      </c>
    </row>
    <row r="885">
      <c r="A885" s="16" t="inlineStr">
        <is>
          <t>MFP AWP - Retail 90 - Brand - Year 4</t>
        </is>
      </c>
      <c r="B885" s="2" t="n"/>
      <c r="C885" s="43">
        <f>IF(Combine="Y", $G885, 0)</f>
        <v/>
      </c>
      <c r="D885" s="2" t="n"/>
      <c r="E885" s="4" t="n"/>
      <c r="F885" s="2" t="n"/>
      <c r="G885" s="43">
        <f>SUM($K885:$M885)</f>
        <v/>
      </c>
      <c r="H885" s="2" t="n"/>
      <c r="I885" s="4" t="n"/>
      <c r="J885" s="2" t="n"/>
      <c r="K885" s="44">
        <f>IF('RPT1'!$J885="","",'RPT1'!$J885)</f>
        <v/>
      </c>
      <c r="L885" s="44">
        <f>IF('RPT2'!$J885="","",'RPT2'!$J885)</f>
        <v/>
      </c>
      <c r="M885" s="44">
        <f>IF('RPT3'!$J885="","",'RPT3'!$J885)</f>
        <v/>
      </c>
    </row>
    <row r="886">
      <c r="A886" s="16" t="inlineStr">
        <is>
          <t>MFP AWP - Retail 90 - Brand - Year 5</t>
        </is>
      </c>
      <c r="B886" s="2" t="n"/>
      <c r="C886" s="43">
        <f>IF(Combine="Y", $G886, 0)</f>
        <v/>
      </c>
      <c r="D886" s="2" t="n"/>
      <c r="E886" s="4" t="n"/>
      <c r="F886" s="2" t="n"/>
      <c r="G886" s="43">
        <f>SUM($K886:$M886)</f>
        <v/>
      </c>
      <c r="H886" s="2" t="n"/>
      <c r="I886" s="4" t="n"/>
      <c r="J886" s="2" t="n"/>
      <c r="K886" s="44">
        <f>IF('RPT1'!$J886="","",'RPT1'!$J886)</f>
        <v/>
      </c>
      <c r="L886" s="44">
        <f>IF('RPT2'!$J886="","",'RPT2'!$J886)</f>
        <v/>
      </c>
      <c r="M886" s="44">
        <f>IF('RPT3'!$J886="","",'RPT3'!$J886)</f>
        <v/>
      </c>
    </row>
    <row r="887">
      <c r="A887" s="16" t="inlineStr">
        <is>
          <t>MFP AWP - Retail 90 - Generic - Year 1</t>
        </is>
      </c>
      <c r="B887" s="2" t="n"/>
      <c r="C887" s="43">
        <f>IF(Combine="Y", $G887, 0)</f>
        <v/>
      </c>
      <c r="D887" s="2" t="n"/>
      <c r="E887" s="4" t="n"/>
      <c r="F887" s="2" t="n"/>
      <c r="G887" s="43">
        <f>SUM($K887:$M887)</f>
        <v/>
      </c>
      <c r="H887" s="2" t="n"/>
      <c r="I887" s="4" t="n"/>
      <c r="J887" s="2" t="n"/>
      <c r="K887" s="44">
        <f>IF('RPT1'!$J887="","",'RPT1'!$J887)</f>
        <v/>
      </c>
      <c r="L887" s="44">
        <f>IF('RPT2'!$J887="","",'RPT2'!$J887)</f>
        <v/>
      </c>
      <c r="M887" s="44">
        <f>IF('RPT3'!$J887="","",'RPT3'!$J887)</f>
        <v/>
      </c>
    </row>
    <row r="888">
      <c r="A888" s="16" t="inlineStr">
        <is>
          <t>MFP AWP - Retail 90 - Generic - Year 2</t>
        </is>
      </c>
      <c r="B888" s="2" t="n"/>
      <c r="C888" s="43">
        <f>IF(Combine="Y", $G888, 0)</f>
        <v/>
      </c>
      <c r="D888" s="2" t="n"/>
      <c r="E888" s="4" t="n"/>
      <c r="F888" s="2" t="n"/>
      <c r="G888" s="43">
        <f>SUM($K888:$M888)</f>
        <v/>
      </c>
      <c r="H888" s="2" t="n"/>
      <c r="I888" s="4" t="n"/>
      <c r="J888" s="2" t="n"/>
      <c r="K888" s="44">
        <f>IF('RPT1'!$J888="","",'RPT1'!$J888)</f>
        <v/>
      </c>
      <c r="L888" s="44">
        <f>IF('RPT2'!$J888="","",'RPT2'!$J888)</f>
        <v/>
      </c>
      <c r="M888" s="44">
        <f>IF('RPT3'!$J888="","",'RPT3'!$J888)</f>
        <v/>
      </c>
    </row>
    <row r="889">
      <c r="A889" s="16" t="inlineStr">
        <is>
          <t>MFP AWP - Retail 90 - Generic - Year 3</t>
        </is>
      </c>
      <c r="B889" s="2" t="n"/>
      <c r="C889" s="43">
        <f>IF(Combine="Y", $G889, 0)</f>
        <v/>
      </c>
      <c r="D889" s="2" t="n"/>
      <c r="E889" s="4" t="n"/>
      <c r="F889" s="2" t="n"/>
      <c r="G889" s="43">
        <f>SUM($K889:$M889)</f>
        <v/>
      </c>
      <c r="H889" s="2" t="n"/>
      <c r="I889" s="4" t="n"/>
      <c r="J889" s="2" t="n"/>
      <c r="K889" s="44">
        <f>IF('RPT1'!$J889="","",'RPT1'!$J889)</f>
        <v/>
      </c>
      <c r="L889" s="44">
        <f>IF('RPT2'!$J889="","",'RPT2'!$J889)</f>
        <v/>
      </c>
      <c r="M889" s="44">
        <f>IF('RPT3'!$J889="","",'RPT3'!$J889)</f>
        <v/>
      </c>
    </row>
    <row r="890">
      <c r="A890" s="16" t="inlineStr">
        <is>
          <t>MFP AWP - Retail 90 - Generic - Year 4</t>
        </is>
      </c>
      <c r="B890" s="2" t="n"/>
      <c r="C890" s="43">
        <f>IF(Combine="Y", $G890, 0)</f>
        <v/>
      </c>
      <c r="D890" s="2" t="n"/>
      <c r="E890" s="4" t="n"/>
      <c r="F890" s="2" t="n"/>
      <c r="G890" s="43">
        <f>SUM($K890:$M890)</f>
        <v/>
      </c>
      <c r="H890" s="2" t="n"/>
      <c r="I890" s="4" t="n"/>
      <c r="J890" s="2" t="n"/>
      <c r="K890" s="44">
        <f>IF('RPT1'!$J890="","",'RPT1'!$J890)</f>
        <v/>
      </c>
      <c r="L890" s="44">
        <f>IF('RPT2'!$J890="","",'RPT2'!$J890)</f>
        <v/>
      </c>
      <c r="M890" s="44">
        <f>IF('RPT3'!$J890="","",'RPT3'!$J890)</f>
        <v/>
      </c>
    </row>
    <row r="891">
      <c r="A891" s="16" t="inlineStr">
        <is>
          <t>MFP AWP - Retail 90 - Generic - Year 5</t>
        </is>
      </c>
      <c r="B891" s="2" t="n"/>
      <c r="C891" s="43">
        <f>IF(Combine="Y", $G891, 0)</f>
        <v/>
      </c>
      <c r="D891" s="2" t="n"/>
      <c r="E891" s="4" t="n"/>
      <c r="F891" s="2" t="n"/>
      <c r="G891" s="43">
        <f>SUM($K891:$M891)</f>
        <v/>
      </c>
      <c r="H891" s="2" t="n"/>
      <c r="I891" s="4" t="n"/>
      <c r="J891" s="2" t="n"/>
      <c r="K891" s="44">
        <f>IF('RPT1'!$J891="","",'RPT1'!$J891)</f>
        <v/>
      </c>
      <c r="L891" s="44">
        <f>IF('RPT2'!$J891="","",'RPT2'!$J891)</f>
        <v/>
      </c>
      <c r="M891" s="44">
        <f>IF('RPT3'!$J891="","",'RPT3'!$J891)</f>
        <v/>
      </c>
    </row>
    <row r="892">
      <c r="A892" s="16" t="inlineStr">
        <is>
          <t>MFP AWP - Specialty - Brand - Year 1</t>
        </is>
      </c>
      <c r="B892" s="2" t="n"/>
      <c r="C892" s="43">
        <f>IF(Combine="Y", $G892, 0)</f>
        <v/>
      </c>
      <c r="D892" s="2" t="n"/>
      <c r="E892" s="4" t="n"/>
      <c r="F892" s="2" t="n"/>
      <c r="G892" s="43">
        <f>SUM($K892:$M892)</f>
        <v/>
      </c>
      <c r="H892" s="2" t="n"/>
      <c r="I892" s="4" t="n"/>
      <c r="J892" s="2" t="n"/>
      <c r="K892" s="44">
        <f>IF('RPT1'!$J892="","",'RPT1'!$J892)</f>
        <v/>
      </c>
      <c r="L892" s="44">
        <f>IF('RPT2'!$J892="","",'RPT2'!$J892)</f>
        <v/>
      </c>
      <c r="M892" s="44">
        <f>IF('RPT3'!$J892="","",'RPT3'!$J892)</f>
        <v/>
      </c>
    </row>
    <row r="893">
      <c r="A893" s="16" t="inlineStr">
        <is>
          <t>MFP AWP - Specialty - Brand - Year 2</t>
        </is>
      </c>
      <c r="B893" s="2" t="n"/>
      <c r="C893" s="43">
        <f>IF(Combine="Y", $G893, 0)</f>
        <v/>
      </c>
      <c r="D893" s="2" t="n"/>
      <c r="E893" s="4" t="n"/>
      <c r="F893" s="2" t="n"/>
      <c r="G893" s="43">
        <f>SUM($K893:$M893)</f>
        <v/>
      </c>
      <c r="H893" s="2" t="n"/>
      <c r="I893" s="4" t="n"/>
      <c r="J893" s="2" t="n"/>
      <c r="K893" s="44">
        <f>IF('RPT1'!$J893="","",'RPT1'!$J893)</f>
        <v/>
      </c>
      <c r="L893" s="44">
        <f>IF('RPT2'!$J893="","",'RPT2'!$J893)</f>
        <v/>
      </c>
      <c r="M893" s="44">
        <f>IF('RPT3'!$J893="","",'RPT3'!$J893)</f>
        <v/>
      </c>
    </row>
    <row r="894">
      <c r="A894" s="16" t="inlineStr">
        <is>
          <t>MFP AWP - Specialty - Brand - Year 3</t>
        </is>
      </c>
      <c r="B894" s="2" t="n"/>
      <c r="C894" s="43">
        <f>IF(Combine="Y", $G894, 0)</f>
        <v/>
      </c>
      <c r="D894" s="2" t="n"/>
      <c r="E894" s="4" t="n"/>
      <c r="F894" s="2" t="n"/>
      <c r="G894" s="43">
        <f>SUM($K894:$M894)</f>
        <v/>
      </c>
      <c r="H894" s="2" t="n"/>
      <c r="I894" s="4" t="n"/>
      <c r="J894" s="2" t="n"/>
      <c r="K894" s="44">
        <f>IF('RPT1'!$J894="","",'RPT1'!$J894)</f>
        <v/>
      </c>
      <c r="L894" s="44">
        <f>IF('RPT2'!$J894="","",'RPT2'!$J894)</f>
        <v/>
      </c>
      <c r="M894" s="44">
        <f>IF('RPT3'!$J894="","",'RPT3'!$J894)</f>
        <v/>
      </c>
    </row>
    <row r="895">
      <c r="A895" s="16" t="inlineStr">
        <is>
          <t>MFP AWP - Specialty - Brand - Year 4</t>
        </is>
      </c>
      <c r="B895" s="2" t="n"/>
      <c r="C895" s="43">
        <f>IF(Combine="Y", $G895, 0)</f>
        <v/>
      </c>
      <c r="D895" s="2" t="n"/>
      <c r="E895" s="4" t="n"/>
      <c r="F895" s="2" t="n"/>
      <c r="G895" s="43">
        <f>SUM($K895:$M895)</f>
        <v/>
      </c>
      <c r="H895" s="2" t="n"/>
      <c r="I895" s="4" t="n"/>
      <c r="J895" s="2" t="n"/>
      <c r="K895" s="44">
        <f>IF('RPT1'!$J895="","",'RPT1'!$J895)</f>
        <v/>
      </c>
      <c r="L895" s="44">
        <f>IF('RPT2'!$J895="","",'RPT2'!$J895)</f>
        <v/>
      </c>
      <c r="M895" s="44">
        <f>IF('RPT3'!$J895="","",'RPT3'!$J895)</f>
        <v/>
      </c>
    </row>
    <row r="896">
      <c r="A896" s="16" t="inlineStr">
        <is>
          <t>MFP AWP - Specialty - Brand - Year 5</t>
        </is>
      </c>
      <c r="B896" s="2" t="n"/>
      <c r="C896" s="43">
        <f>IF(Combine="Y", $G896, 0)</f>
        <v/>
      </c>
      <c r="D896" s="2" t="n"/>
      <c r="E896" s="4" t="n"/>
      <c r="F896" s="2" t="n"/>
      <c r="G896" s="43">
        <f>SUM($K896:$M896)</f>
        <v/>
      </c>
      <c r="H896" s="2" t="n"/>
      <c r="I896" s="4" t="n"/>
      <c r="J896" s="2" t="n"/>
      <c r="K896" s="44">
        <f>IF('RPT1'!$J896="","",'RPT1'!$J896)</f>
        <v/>
      </c>
      <c r="L896" s="44">
        <f>IF('RPT2'!$J896="","",'RPT2'!$J896)</f>
        <v/>
      </c>
      <c r="M896" s="44">
        <f>IF('RPT3'!$J896="","",'RPT3'!$J896)</f>
        <v/>
      </c>
    </row>
    <row r="897">
      <c r="A897" s="16" t="inlineStr">
        <is>
          <t>MFP AWP - Specialty - Generic - Year 1</t>
        </is>
      </c>
      <c r="B897" s="2" t="n"/>
      <c r="C897" s="43">
        <f>IF(Combine="Y", $G897, 0)</f>
        <v/>
      </c>
      <c r="D897" s="2" t="n"/>
      <c r="E897" s="4" t="n"/>
      <c r="F897" s="2" t="n"/>
      <c r="G897" s="43">
        <f>SUM($K897:$M897)</f>
        <v/>
      </c>
      <c r="H897" s="2" t="n"/>
      <c r="I897" s="4" t="n"/>
      <c r="J897" s="2" t="n"/>
      <c r="K897" s="44">
        <f>IF('RPT1'!$J897="","",'RPT1'!$J897)</f>
        <v/>
      </c>
      <c r="L897" s="44">
        <f>IF('RPT2'!$J897="","",'RPT2'!$J897)</f>
        <v/>
      </c>
      <c r="M897" s="44">
        <f>IF('RPT3'!$J897="","",'RPT3'!$J897)</f>
        <v/>
      </c>
    </row>
    <row r="898">
      <c r="A898" s="16" t="inlineStr">
        <is>
          <t>MFP AWP - Specialty - Generic - Year 2</t>
        </is>
      </c>
      <c r="B898" s="2" t="n"/>
      <c r="C898" s="43">
        <f>IF(Combine="Y", $G898, 0)</f>
        <v/>
      </c>
      <c r="D898" s="2" t="n"/>
      <c r="E898" s="4" t="n"/>
      <c r="F898" s="2" t="n"/>
      <c r="G898" s="43">
        <f>SUM($K898:$M898)</f>
        <v/>
      </c>
      <c r="H898" s="2" t="n"/>
      <c r="I898" s="4" t="n"/>
      <c r="J898" s="2" t="n"/>
      <c r="K898" s="44">
        <f>IF('RPT1'!$J898="","",'RPT1'!$J898)</f>
        <v/>
      </c>
      <c r="L898" s="44">
        <f>IF('RPT2'!$J898="","",'RPT2'!$J898)</f>
        <v/>
      </c>
      <c r="M898" s="44">
        <f>IF('RPT3'!$J898="","",'RPT3'!$J898)</f>
        <v/>
      </c>
    </row>
    <row r="899">
      <c r="A899" s="16" t="inlineStr">
        <is>
          <t>MFP AWP - Specialty - Generic - Year 3</t>
        </is>
      </c>
      <c r="B899" s="2" t="n"/>
      <c r="C899" s="43">
        <f>IF(Combine="Y", $G899, 0)</f>
        <v/>
      </c>
      <c r="D899" s="2" t="n"/>
      <c r="E899" s="4" t="n"/>
      <c r="F899" s="2" t="n"/>
      <c r="G899" s="43">
        <f>SUM($K899:$M899)</f>
        <v/>
      </c>
      <c r="H899" s="2" t="n"/>
      <c r="I899" s="4" t="n"/>
      <c r="J899" s="2" t="n"/>
      <c r="K899" s="44">
        <f>IF('RPT1'!$J899="","",'RPT1'!$J899)</f>
        <v/>
      </c>
      <c r="L899" s="44">
        <f>IF('RPT2'!$J899="","",'RPT2'!$J899)</f>
        <v/>
      </c>
      <c r="M899" s="44">
        <f>IF('RPT3'!$J899="","",'RPT3'!$J899)</f>
        <v/>
      </c>
    </row>
    <row r="900">
      <c r="A900" s="16" t="inlineStr">
        <is>
          <t>MFP AWP - Specialty - Generic - Year 4</t>
        </is>
      </c>
      <c r="B900" s="2" t="n"/>
      <c r="C900" s="43">
        <f>IF(Combine="Y", $G900, 0)</f>
        <v/>
      </c>
      <c r="D900" s="2" t="n"/>
      <c r="E900" s="4" t="n"/>
      <c r="F900" s="2" t="n"/>
      <c r="G900" s="43">
        <f>SUM($K900:$M900)</f>
        <v/>
      </c>
      <c r="H900" s="2" t="n"/>
      <c r="I900" s="4" t="n"/>
      <c r="J900" s="2" t="n"/>
      <c r="K900" s="44">
        <f>IF('RPT1'!$J900="","",'RPT1'!$J900)</f>
        <v/>
      </c>
      <c r="L900" s="44">
        <f>IF('RPT2'!$J900="","",'RPT2'!$J900)</f>
        <v/>
      </c>
      <c r="M900" s="44">
        <f>IF('RPT3'!$J900="","",'RPT3'!$J900)</f>
        <v/>
      </c>
    </row>
    <row r="901">
      <c r="A901" s="16" t="inlineStr">
        <is>
          <t>MFP AWP - Specialty - Generic - Year 5</t>
        </is>
      </c>
      <c r="B901" s="2" t="n"/>
      <c r="C901" s="43">
        <f>IF(Combine="Y", $G901, 0)</f>
        <v/>
      </c>
      <c r="D901" s="2" t="n"/>
      <c r="E901" s="4" t="n"/>
      <c r="F901" s="2" t="n"/>
      <c r="G901" s="43">
        <f>SUM($K901:$M901)</f>
        <v/>
      </c>
      <c r="H901" s="2" t="n"/>
      <c r="I901" s="4" t="n"/>
      <c r="J901" s="2" t="n"/>
      <c r="K901" s="44">
        <f>IF('RPT1'!$J901="","",'RPT1'!$J901)</f>
        <v/>
      </c>
      <c r="L901" s="44">
        <f>IF('RPT2'!$J901="","",'RPT2'!$J901)</f>
        <v/>
      </c>
      <c r="M901" s="44">
        <f>IF('RPT3'!$J901="","",'RPT3'!$J901)</f>
        <v/>
      </c>
    </row>
    <row r="902">
      <c r="A902" s="16" t="n"/>
      <c r="B902" s="2" t="n"/>
      <c r="C902" s="43" t="n"/>
      <c r="D902" s="2" t="n"/>
      <c r="E902" s="4" t="n"/>
      <c r="F902" s="2" t="n"/>
      <c r="G902" s="43" t="n"/>
      <c r="H902" s="2" t="n"/>
      <c r="I902" s="4" t="n"/>
      <c r="J902" s="2" t="n"/>
      <c r="K902" s="44" t="n"/>
      <c r="L902" s="44" t="n"/>
      <c r="M902" s="44" t="n"/>
    </row>
    <row r="903">
      <c r="A903" s="37" t="inlineStr">
        <is>
          <t>MFP Rebates</t>
        </is>
      </c>
      <c r="B903" s="2" t="n"/>
      <c r="C903" s="43" t="n"/>
      <c r="D903" s="2" t="n"/>
      <c r="E903" s="4" t="n"/>
      <c r="F903" s="2" t="n"/>
      <c r="G903" s="43" t="n"/>
      <c r="H903" s="2" t="n"/>
      <c r="I903" s="4" t="n"/>
      <c r="J903" s="2" t="n"/>
      <c r="K903" s="44">
        <f>IF('RPT1'!$J903="","",'RPT1'!$J903)</f>
        <v/>
      </c>
      <c r="L903" s="44">
        <f>IF('RPT2'!$J903="","",'RPT2'!$J903)</f>
        <v/>
      </c>
      <c r="M903" s="44">
        <f>IF('RPT3'!$J903="","",'RPT3'!$J903)</f>
        <v/>
      </c>
    </row>
    <row r="904">
      <c r="A904" s="16" t="inlineStr">
        <is>
          <t>MFP Rebates - Mail - Brand - Year 1</t>
        </is>
      </c>
      <c r="B904" s="2" t="n"/>
      <c r="C904" s="43">
        <f>IF(Combine="Y", $G904, 0)</f>
        <v/>
      </c>
      <c r="D904" s="2" t="n"/>
      <c r="E904" s="4" t="n"/>
      <c r="F904" s="2" t="n"/>
      <c r="G904" s="43">
        <f>SUM($K904:$M904)</f>
        <v/>
      </c>
      <c r="H904" s="2" t="n"/>
      <c r="I904" s="4" t="n"/>
      <c r="J904" s="2" t="n"/>
      <c r="K904" s="44">
        <f>IF('RPT1'!$J904="","",'RPT1'!$J904)</f>
        <v/>
      </c>
      <c r="L904" s="44">
        <f>IF('RPT2'!$J904="","",'RPT2'!$J904)</f>
        <v/>
      </c>
      <c r="M904" s="44">
        <f>IF('RPT3'!$J904="","",'RPT3'!$J904)</f>
        <v/>
      </c>
    </row>
    <row r="905">
      <c r="A905" s="16" t="inlineStr">
        <is>
          <t>MFP Rebates - Mail - Brand - Year 2</t>
        </is>
      </c>
      <c r="B905" s="2" t="n"/>
      <c r="C905" s="43">
        <f>IF(Combine="Y", $G905, 0)</f>
        <v/>
      </c>
      <c r="D905" s="2" t="n"/>
      <c r="E905" s="4" t="n"/>
      <c r="F905" s="2" t="n"/>
      <c r="G905" s="43">
        <f>SUM($K905:$M905)</f>
        <v/>
      </c>
      <c r="H905" s="2" t="n"/>
      <c r="I905" s="4" t="n"/>
      <c r="J905" s="2" t="n"/>
      <c r="K905" s="44">
        <f>IF('RPT1'!$J905="","",'RPT1'!$J905)</f>
        <v/>
      </c>
      <c r="L905" s="44">
        <f>IF('RPT2'!$J905="","",'RPT2'!$J905)</f>
        <v/>
      </c>
      <c r="M905" s="44">
        <f>IF('RPT3'!$J905="","",'RPT3'!$J905)</f>
        <v/>
      </c>
    </row>
    <row r="906">
      <c r="A906" s="16" t="inlineStr">
        <is>
          <t>MFP Rebates - Mail - Brand - Year 3</t>
        </is>
      </c>
      <c r="B906" s="2" t="n"/>
      <c r="C906" s="43">
        <f>IF(Combine="Y", $G906, 0)</f>
        <v/>
      </c>
      <c r="D906" s="2" t="n"/>
      <c r="E906" s="4" t="n"/>
      <c r="F906" s="2" t="n"/>
      <c r="G906" s="43">
        <f>SUM($K906:$M906)</f>
        <v/>
      </c>
      <c r="H906" s="2" t="n"/>
      <c r="I906" s="4" t="n"/>
      <c r="J906" s="2" t="n"/>
      <c r="K906" s="44">
        <f>IF('RPT1'!$J906="","",'RPT1'!$J906)</f>
        <v/>
      </c>
      <c r="L906" s="44">
        <f>IF('RPT2'!$J906="","",'RPT2'!$J906)</f>
        <v/>
      </c>
      <c r="M906" s="44">
        <f>IF('RPT3'!$J906="","",'RPT3'!$J906)</f>
        <v/>
      </c>
    </row>
    <row r="907">
      <c r="A907" s="16" t="inlineStr">
        <is>
          <t>MFP Rebates - Mail - Brand - Year 4</t>
        </is>
      </c>
      <c r="B907" s="2" t="n"/>
      <c r="C907" s="43">
        <f>IF(Combine="Y", $G907, 0)</f>
        <v/>
      </c>
      <c r="D907" s="2" t="n"/>
      <c r="E907" s="4" t="n"/>
      <c r="F907" s="2" t="n"/>
      <c r="G907" s="43">
        <f>SUM($K907:$M907)</f>
        <v/>
      </c>
      <c r="H907" s="2" t="n"/>
      <c r="I907" s="4" t="n"/>
      <c r="J907" s="2" t="n"/>
      <c r="K907" s="44">
        <f>IF('RPT1'!$J907="","",'RPT1'!$J907)</f>
        <v/>
      </c>
      <c r="L907" s="44">
        <f>IF('RPT2'!$J907="","",'RPT2'!$J907)</f>
        <v/>
      </c>
      <c r="M907" s="44">
        <f>IF('RPT3'!$J907="","",'RPT3'!$J907)</f>
        <v/>
      </c>
    </row>
    <row r="908">
      <c r="A908" s="16" t="inlineStr">
        <is>
          <t>MFP Rebates - Mail - Brand - Year 5</t>
        </is>
      </c>
      <c r="B908" s="2" t="n"/>
      <c r="C908" s="43">
        <f>IF(Combine="Y", $G908, 0)</f>
        <v/>
      </c>
      <c r="D908" s="2" t="n"/>
      <c r="E908" s="4" t="n"/>
      <c r="F908" s="2" t="n"/>
      <c r="G908" s="43">
        <f>SUM($K908:$M908)</f>
        <v/>
      </c>
      <c r="H908" s="2" t="n"/>
      <c r="I908" s="4" t="n"/>
      <c r="J908" s="2" t="n"/>
      <c r="K908" s="44">
        <f>IF('RPT1'!$J908="","",'RPT1'!$J908)</f>
        <v/>
      </c>
      <c r="L908" s="44">
        <f>IF('RPT2'!$J908="","",'RPT2'!$J908)</f>
        <v/>
      </c>
      <c r="M908" s="44">
        <f>IF('RPT3'!$J908="","",'RPT3'!$J908)</f>
        <v/>
      </c>
    </row>
    <row r="909">
      <c r="A909" s="16" t="inlineStr">
        <is>
          <t>MFP Rebates - Mail - Generic - Year 1</t>
        </is>
      </c>
      <c r="B909" s="2" t="n"/>
      <c r="C909" s="43">
        <f>IF(Combine="Y", $G909, 0)</f>
        <v/>
      </c>
      <c r="D909" s="2" t="n"/>
      <c r="E909" s="4" t="n"/>
      <c r="F909" s="2" t="n"/>
      <c r="G909" s="43">
        <f>SUM($K909:$M909)</f>
        <v/>
      </c>
      <c r="H909" s="2" t="n"/>
      <c r="I909" s="4" t="n"/>
      <c r="J909" s="2" t="n"/>
      <c r="K909" s="44">
        <f>IF('RPT1'!$J909="","",'RPT1'!$J909)</f>
        <v/>
      </c>
      <c r="L909" s="44">
        <f>IF('RPT2'!$J909="","",'RPT2'!$J909)</f>
        <v/>
      </c>
      <c r="M909" s="44">
        <f>IF('RPT3'!$J909="","",'RPT3'!$J909)</f>
        <v/>
      </c>
    </row>
    <row r="910">
      <c r="A910" s="16" t="inlineStr">
        <is>
          <t>MFP Rebates - Mail - Generic - Year 2</t>
        </is>
      </c>
      <c r="B910" s="2" t="n"/>
      <c r="C910" s="43">
        <f>IF(Combine="Y", $G910, 0)</f>
        <v/>
      </c>
      <c r="D910" s="2" t="n"/>
      <c r="E910" s="4" t="n"/>
      <c r="F910" s="2" t="n"/>
      <c r="G910" s="43">
        <f>SUM($K910:$M910)</f>
        <v/>
      </c>
      <c r="H910" s="2" t="n"/>
      <c r="I910" s="4" t="n"/>
      <c r="J910" s="2" t="n"/>
      <c r="K910" s="44">
        <f>IF('RPT1'!$J910="","",'RPT1'!$J910)</f>
        <v/>
      </c>
      <c r="L910" s="44">
        <f>IF('RPT2'!$J910="","",'RPT2'!$J910)</f>
        <v/>
      </c>
      <c r="M910" s="44">
        <f>IF('RPT3'!$J910="","",'RPT3'!$J910)</f>
        <v/>
      </c>
    </row>
    <row r="911">
      <c r="A911" s="16" t="inlineStr">
        <is>
          <t>MFP Rebates - Mail - Generic - Year 3</t>
        </is>
      </c>
      <c r="B911" s="2" t="n"/>
      <c r="C911" s="43">
        <f>IF(Combine="Y", $G911, 0)</f>
        <v/>
      </c>
      <c r="D911" s="2" t="n"/>
      <c r="E911" s="4" t="n"/>
      <c r="F911" s="2" t="n"/>
      <c r="G911" s="43">
        <f>SUM($K911:$M911)</f>
        <v/>
      </c>
      <c r="H911" s="2" t="n"/>
      <c r="I911" s="4" t="n"/>
      <c r="J911" s="2" t="n"/>
      <c r="K911" s="44">
        <f>IF('RPT1'!$J911="","",'RPT1'!$J911)</f>
        <v/>
      </c>
      <c r="L911" s="44">
        <f>IF('RPT2'!$J911="","",'RPT2'!$J911)</f>
        <v/>
      </c>
      <c r="M911" s="44">
        <f>IF('RPT3'!$J911="","",'RPT3'!$J911)</f>
        <v/>
      </c>
    </row>
    <row r="912">
      <c r="A912" s="16" t="inlineStr">
        <is>
          <t>MFP Rebates - Mail - Generic - Year 4</t>
        </is>
      </c>
      <c r="B912" s="2" t="n"/>
      <c r="C912" s="43">
        <f>IF(Combine="Y", $G912, 0)</f>
        <v/>
      </c>
      <c r="D912" s="2" t="n"/>
      <c r="E912" s="4" t="n"/>
      <c r="F912" s="2" t="n"/>
      <c r="G912" s="43">
        <f>SUM($K912:$M912)</f>
        <v/>
      </c>
      <c r="H912" s="2" t="n"/>
      <c r="I912" s="4" t="n"/>
      <c r="J912" s="2" t="n"/>
      <c r="K912" s="44">
        <f>IF('RPT1'!$J912="","",'RPT1'!$J912)</f>
        <v/>
      </c>
      <c r="L912" s="44">
        <f>IF('RPT2'!$J912="","",'RPT2'!$J912)</f>
        <v/>
      </c>
      <c r="M912" s="44">
        <f>IF('RPT3'!$J912="","",'RPT3'!$J912)</f>
        <v/>
      </c>
    </row>
    <row r="913">
      <c r="A913" s="16" t="inlineStr">
        <is>
          <t>MFP Rebates - Mail - Generic - Year 5</t>
        </is>
      </c>
      <c r="B913" s="2" t="n"/>
      <c r="C913" s="43">
        <f>IF(Combine="Y", $G913, 0)</f>
        <v/>
      </c>
      <c r="D913" s="2" t="n"/>
      <c r="E913" s="4" t="n"/>
      <c r="F913" s="2" t="n"/>
      <c r="G913" s="43">
        <f>SUM($K913:$M913)</f>
        <v/>
      </c>
      <c r="H913" s="2" t="n"/>
      <c r="I913" s="4" t="n"/>
      <c r="J913" s="2" t="n"/>
      <c r="K913" s="44">
        <f>IF('RPT1'!$J913="","",'RPT1'!$J913)</f>
        <v/>
      </c>
      <c r="L913" s="44">
        <f>IF('RPT2'!$J913="","",'RPT2'!$J913)</f>
        <v/>
      </c>
      <c r="M913" s="44">
        <f>IF('RPT3'!$J913="","",'RPT3'!$J913)</f>
        <v/>
      </c>
    </row>
    <row r="914">
      <c r="A914" s="16" t="inlineStr">
        <is>
          <t>MFP Rebates - Retail 30 - Brand - Year 1</t>
        </is>
      </c>
      <c r="B914" s="2" t="n"/>
      <c r="C914" s="43">
        <f>IF(Combine="Y", $G914, 0)</f>
        <v/>
      </c>
      <c r="D914" s="2" t="n"/>
      <c r="E914" s="4" t="n"/>
      <c r="F914" s="2" t="n"/>
      <c r="G914" s="43">
        <f>SUM($K914:$M914)</f>
        <v/>
      </c>
      <c r="H914" s="2" t="n"/>
      <c r="I914" s="4" t="n"/>
      <c r="J914" s="2" t="n"/>
      <c r="K914" s="44">
        <f>IF('RPT1'!$J914="","",'RPT1'!$J914)</f>
        <v/>
      </c>
      <c r="L914" s="44">
        <f>IF('RPT2'!$J914="","",'RPT2'!$J914)</f>
        <v/>
      </c>
      <c r="M914" s="44">
        <f>IF('RPT3'!$J914="","",'RPT3'!$J914)</f>
        <v/>
      </c>
    </row>
    <row r="915">
      <c r="A915" s="16" t="inlineStr">
        <is>
          <t>MFP Rebates - Retail 30 - Brand - Year 2</t>
        </is>
      </c>
      <c r="B915" s="2" t="n"/>
      <c r="C915" s="43">
        <f>IF(Combine="Y", $G915, 0)</f>
        <v/>
      </c>
      <c r="D915" s="2" t="n"/>
      <c r="E915" s="4" t="n"/>
      <c r="F915" s="2" t="n"/>
      <c r="G915" s="43">
        <f>SUM($K915:$M915)</f>
        <v/>
      </c>
      <c r="H915" s="2" t="n"/>
      <c r="I915" s="4" t="n"/>
      <c r="J915" s="2" t="n"/>
      <c r="K915" s="44">
        <f>IF('RPT1'!$J915="","",'RPT1'!$J915)</f>
        <v/>
      </c>
      <c r="L915" s="44">
        <f>IF('RPT2'!$J915="","",'RPT2'!$J915)</f>
        <v/>
      </c>
      <c r="M915" s="44">
        <f>IF('RPT3'!$J915="","",'RPT3'!$J915)</f>
        <v/>
      </c>
    </row>
    <row r="916">
      <c r="A916" s="16" t="inlineStr">
        <is>
          <t>MFP Rebates - Retail 30 - Brand - Year 3</t>
        </is>
      </c>
      <c r="B916" s="2" t="n"/>
      <c r="C916" s="43">
        <f>IF(Combine="Y", $G916, 0)</f>
        <v/>
      </c>
      <c r="D916" s="2" t="n"/>
      <c r="E916" s="4" t="n"/>
      <c r="F916" s="2" t="n"/>
      <c r="G916" s="43">
        <f>SUM($K916:$M916)</f>
        <v/>
      </c>
      <c r="H916" s="2" t="n"/>
      <c r="I916" s="4" t="n"/>
      <c r="J916" s="2" t="n"/>
      <c r="K916" s="44">
        <f>IF('RPT1'!$J916="","",'RPT1'!$J916)</f>
        <v/>
      </c>
      <c r="L916" s="44">
        <f>IF('RPT2'!$J916="","",'RPT2'!$J916)</f>
        <v/>
      </c>
      <c r="M916" s="44">
        <f>IF('RPT3'!$J916="","",'RPT3'!$J916)</f>
        <v/>
      </c>
    </row>
    <row r="917">
      <c r="A917" s="16" t="inlineStr">
        <is>
          <t>MFP Rebates - Retail 30 - Brand - Year 4</t>
        </is>
      </c>
      <c r="B917" s="2" t="n"/>
      <c r="C917" s="43">
        <f>IF(Combine="Y", $G917, 0)</f>
        <v/>
      </c>
      <c r="D917" s="2" t="n"/>
      <c r="E917" s="4" t="n"/>
      <c r="F917" s="2" t="n"/>
      <c r="G917" s="43">
        <f>SUM($K917:$M917)</f>
        <v/>
      </c>
      <c r="H917" s="2" t="n"/>
      <c r="I917" s="4" t="n"/>
      <c r="J917" s="2" t="n"/>
      <c r="K917" s="44">
        <f>IF('RPT1'!$J917="","",'RPT1'!$J917)</f>
        <v/>
      </c>
      <c r="L917" s="44">
        <f>IF('RPT2'!$J917="","",'RPT2'!$J917)</f>
        <v/>
      </c>
      <c r="M917" s="44">
        <f>IF('RPT3'!$J917="","",'RPT3'!$J917)</f>
        <v/>
      </c>
    </row>
    <row r="918">
      <c r="A918" s="16" t="inlineStr">
        <is>
          <t>MFP Rebates - Retail 30 - Brand - Year 5</t>
        </is>
      </c>
      <c r="B918" s="2" t="n"/>
      <c r="C918" s="43">
        <f>IF(Combine="Y", $G918, 0)</f>
        <v/>
      </c>
      <c r="D918" s="2" t="n"/>
      <c r="E918" s="4" t="n"/>
      <c r="F918" s="2" t="n"/>
      <c r="G918" s="43">
        <f>SUM($K918:$M918)</f>
        <v/>
      </c>
      <c r="H918" s="2" t="n"/>
      <c r="I918" s="4" t="n"/>
      <c r="J918" s="2" t="n"/>
      <c r="K918" s="44">
        <f>IF('RPT1'!$J918="","",'RPT1'!$J918)</f>
        <v/>
      </c>
      <c r="L918" s="44">
        <f>IF('RPT2'!$J918="","",'RPT2'!$J918)</f>
        <v/>
      </c>
      <c r="M918" s="44">
        <f>IF('RPT3'!$J918="","",'RPT3'!$J918)</f>
        <v/>
      </c>
    </row>
    <row r="919">
      <c r="A919" s="16" t="inlineStr">
        <is>
          <t>MFP Rebates - Retail 30 - Generic - Year 1</t>
        </is>
      </c>
      <c r="B919" s="2" t="n"/>
      <c r="C919" s="43">
        <f>IF(Combine="Y", $G919, 0)</f>
        <v/>
      </c>
      <c r="D919" s="2" t="n"/>
      <c r="E919" s="4" t="n"/>
      <c r="F919" s="2" t="n"/>
      <c r="G919" s="43">
        <f>SUM($K919:$M919)</f>
        <v/>
      </c>
      <c r="H919" s="2" t="n"/>
      <c r="I919" s="4" t="n"/>
      <c r="J919" s="2" t="n"/>
      <c r="K919" s="44">
        <f>IF('RPT1'!$J919="","",'RPT1'!$J919)</f>
        <v/>
      </c>
      <c r="L919" s="44">
        <f>IF('RPT2'!$J919="","",'RPT2'!$J919)</f>
        <v/>
      </c>
      <c r="M919" s="44">
        <f>IF('RPT3'!$J919="","",'RPT3'!$J919)</f>
        <v/>
      </c>
    </row>
    <row r="920">
      <c r="A920" s="16" t="inlineStr">
        <is>
          <t>MFP Rebates - Retail 30 - Generic - Year 2</t>
        </is>
      </c>
      <c r="B920" s="2" t="n"/>
      <c r="C920" s="43">
        <f>IF(Combine="Y", $G920, 0)</f>
        <v/>
      </c>
      <c r="D920" s="2" t="n"/>
      <c r="E920" s="4" t="n"/>
      <c r="F920" s="2" t="n"/>
      <c r="G920" s="43">
        <f>SUM($K920:$M920)</f>
        <v/>
      </c>
      <c r="H920" s="2" t="n"/>
      <c r="I920" s="4" t="n"/>
      <c r="J920" s="2" t="n"/>
      <c r="K920" s="44">
        <f>IF('RPT1'!$J920="","",'RPT1'!$J920)</f>
        <v/>
      </c>
      <c r="L920" s="44">
        <f>IF('RPT2'!$J920="","",'RPT2'!$J920)</f>
        <v/>
      </c>
      <c r="M920" s="44">
        <f>IF('RPT3'!$J920="","",'RPT3'!$J920)</f>
        <v/>
      </c>
    </row>
    <row r="921">
      <c r="A921" s="16" t="inlineStr">
        <is>
          <t>MFP Rebates - Retail 30 - Generic - Year 3</t>
        </is>
      </c>
      <c r="B921" s="2" t="n"/>
      <c r="C921" s="43">
        <f>IF(Combine="Y", $G921, 0)</f>
        <v/>
      </c>
      <c r="D921" s="2" t="n"/>
      <c r="E921" s="4" t="n"/>
      <c r="F921" s="2" t="n"/>
      <c r="G921" s="43">
        <f>SUM($K921:$M921)</f>
        <v/>
      </c>
      <c r="H921" s="2" t="n"/>
      <c r="I921" s="4" t="n"/>
      <c r="J921" s="2" t="n"/>
      <c r="K921" s="44">
        <f>IF('RPT1'!$J921="","",'RPT1'!$J921)</f>
        <v/>
      </c>
      <c r="L921" s="44">
        <f>IF('RPT2'!$J921="","",'RPT2'!$J921)</f>
        <v/>
      </c>
      <c r="M921" s="44">
        <f>IF('RPT3'!$J921="","",'RPT3'!$J921)</f>
        <v/>
      </c>
    </row>
    <row r="922">
      <c r="A922" s="16" t="inlineStr">
        <is>
          <t>MFP Rebates - Retail 30 - Generic - Year 4</t>
        </is>
      </c>
      <c r="B922" s="2" t="n"/>
      <c r="C922" s="43">
        <f>IF(Combine="Y", $G922, 0)</f>
        <v/>
      </c>
      <c r="D922" s="2" t="n"/>
      <c r="E922" s="4" t="n"/>
      <c r="F922" s="2" t="n"/>
      <c r="G922" s="43">
        <f>SUM($K922:$M922)</f>
        <v/>
      </c>
      <c r="H922" s="2" t="n"/>
      <c r="I922" s="4" t="n"/>
      <c r="J922" s="2" t="n"/>
      <c r="K922" s="44">
        <f>IF('RPT1'!$J922="","",'RPT1'!$J922)</f>
        <v/>
      </c>
      <c r="L922" s="44">
        <f>IF('RPT2'!$J922="","",'RPT2'!$J922)</f>
        <v/>
      </c>
      <c r="M922" s="44">
        <f>IF('RPT3'!$J922="","",'RPT3'!$J922)</f>
        <v/>
      </c>
    </row>
    <row r="923">
      <c r="A923" s="16" t="inlineStr">
        <is>
          <t>MFP Rebates - Retail 30 - Generic - Year 5</t>
        </is>
      </c>
      <c r="B923" s="2" t="n"/>
      <c r="C923" s="43">
        <f>IF(Combine="Y", $G923, 0)</f>
        <v/>
      </c>
      <c r="D923" s="2" t="n"/>
      <c r="E923" s="4" t="n"/>
      <c r="F923" s="2" t="n"/>
      <c r="G923" s="43">
        <f>SUM($K923:$M923)</f>
        <v/>
      </c>
      <c r="H923" s="2" t="n"/>
      <c r="I923" s="4" t="n"/>
      <c r="J923" s="2" t="n"/>
      <c r="K923" s="44">
        <f>IF('RPT1'!$J923="","",'RPT1'!$J923)</f>
        <v/>
      </c>
      <c r="L923" s="44">
        <f>IF('RPT2'!$J923="","",'RPT2'!$J923)</f>
        <v/>
      </c>
      <c r="M923" s="44">
        <f>IF('RPT3'!$J923="","",'RPT3'!$J923)</f>
        <v/>
      </c>
    </row>
    <row r="924">
      <c r="A924" s="16" t="inlineStr">
        <is>
          <t>MFP Rebates - Retail 90 - Brand - Year 1</t>
        </is>
      </c>
      <c r="B924" s="2" t="n"/>
      <c r="C924" s="43">
        <f>IF(Combine="Y", $G924, 0)</f>
        <v/>
      </c>
      <c r="D924" s="2" t="n"/>
      <c r="E924" s="4" t="n"/>
      <c r="F924" s="2" t="n"/>
      <c r="G924" s="43">
        <f>SUM($K924:$M924)</f>
        <v/>
      </c>
      <c r="H924" s="2" t="n"/>
      <c r="I924" s="4" t="n"/>
      <c r="J924" s="2" t="n"/>
      <c r="K924" s="44">
        <f>IF('RPT1'!$J924="","",'RPT1'!$J924)</f>
        <v/>
      </c>
      <c r="L924" s="44">
        <f>IF('RPT2'!$J924="","",'RPT2'!$J924)</f>
        <v/>
      </c>
      <c r="M924" s="44">
        <f>IF('RPT3'!$J924="","",'RPT3'!$J924)</f>
        <v/>
      </c>
    </row>
    <row r="925">
      <c r="A925" s="16" t="inlineStr">
        <is>
          <t>MFP Rebates - Retail 90 - Brand - Year 2</t>
        </is>
      </c>
      <c r="B925" s="2" t="n"/>
      <c r="C925" s="43">
        <f>IF(Combine="Y", $G925, 0)</f>
        <v/>
      </c>
      <c r="D925" s="2" t="n"/>
      <c r="E925" s="4" t="n"/>
      <c r="F925" s="2" t="n"/>
      <c r="G925" s="43">
        <f>SUM($K925:$M925)</f>
        <v/>
      </c>
      <c r="H925" s="2" t="n"/>
      <c r="I925" s="4" t="n"/>
      <c r="J925" s="2" t="n"/>
      <c r="K925" s="44">
        <f>IF('RPT1'!$J925="","",'RPT1'!$J925)</f>
        <v/>
      </c>
      <c r="L925" s="44">
        <f>IF('RPT2'!$J925="","",'RPT2'!$J925)</f>
        <v/>
      </c>
      <c r="M925" s="44">
        <f>IF('RPT3'!$J925="","",'RPT3'!$J925)</f>
        <v/>
      </c>
    </row>
    <row r="926">
      <c r="A926" s="16" t="inlineStr">
        <is>
          <t>MFP Rebates - Retail 90 - Brand - Year 3</t>
        </is>
      </c>
      <c r="B926" s="2" t="n"/>
      <c r="C926" s="43">
        <f>IF(Combine="Y", $G926, 0)</f>
        <v/>
      </c>
      <c r="D926" s="2" t="n"/>
      <c r="E926" s="4" t="n"/>
      <c r="F926" s="2" t="n"/>
      <c r="G926" s="43">
        <f>SUM($K926:$M926)</f>
        <v/>
      </c>
      <c r="H926" s="2" t="n"/>
      <c r="I926" s="4" t="n"/>
      <c r="J926" s="2" t="n"/>
      <c r="K926" s="44">
        <f>IF('RPT1'!$J926="","",'RPT1'!$J926)</f>
        <v/>
      </c>
      <c r="L926" s="44">
        <f>IF('RPT2'!$J926="","",'RPT2'!$J926)</f>
        <v/>
      </c>
      <c r="M926" s="44">
        <f>IF('RPT3'!$J926="","",'RPT3'!$J926)</f>
        <v/>
      </c>
    </row>
    <row r="927">
      <c r="A927" s="16" t="inlineStr">
        <is>
          <t>MFP Rebates - Retail 90 - Brand - Year 4</t>
        </is>
      </c>
      <c r="B927" s="2" t="n"/>
      <c r="C927" s="43">
        <f>IF(Combine="Y", $G927, 0)</f>
        <v/>
      </c>
      <c r="D927" s="2" t="n"/>
      <c r="E927" s="4" t="n"/>
      <c r="F927" s="2" t="n"/>
      <c r="G927" s="43">
        <f>SUM($K927:$M927)</f>
        <v/>
      </c>
      <c r="H927" s="2" t="n"/>
      <c r="I927" s="4" t="n"/>
      <c r="J927" s="2" t="n"/>
      <c r="K927" s="44">
        <f>IF('RPT1'!$J927="","",'RPT1'!$J927)</f>
        <v/>
      </c>
      <c r="L927" s="44">
        <f>IF('RPT2'!$J927="","",'RPT2'!$J927)</f>
        <v/>
      </c>
      <c r="M927" s="44">
        <f>IF('RPT3'!$J927="","",'RPT3'!$J927)</f>
        <v/>
      </c>
    </row>
    <row r="928">
      <c r="A928" s="16" t="inlineStr">
        <is>
          <t>MFP Rebates - Retail 90 - Brand - Year 5</t>
        </is>
      </c>
      <c r="B928" s="2" t="n"/>
      <c r="C928" s="43">
        <f>IF(Combine="Y", $G928, 0)</f>
        <v/>
      </c>
      <c r="D928" s="2" t="n"/>
      <c r="E928" s="4" t="n"/>
      <c r="F928" s="2" t="n"/>
      <c r="G928" s="43">
        <f>SUM($K928:$M928)</f>
        <v/>
      </c>
      <c r="H928" s="2" t="n"/>
      <c r="I928" s="4" t="n"/>
      <c r="J928" s="2" t="n"/>
      <c r="K928" s="44">
        <f>IF('RPT1'!$J928="","",'RPT1'!$J928)</f>
        <v/>
      </c>
      <c r="L928" s="44">
        <f>IF('RPT2'!$J928="","",'RPT2'!$J928)</f>
        <v/>
      </c>
      <c r="M928" s="44">
        <f>IF('RPT3'!$J928="","",'RPT3'!$J928)</f>
        <v/>
      </c>
    </row>
    <row r="929">
      <c r="A929" s="16" t="inlineStr">
        <is>
          <t>MFP Rebates - Retail 90 - Generic - Year 1</t>
        </is>
      </c>
      <c r="B929" s="2" t="n"/>
      <c r="C929" s="43">
        <f>IF(Combine="Y", $G929, 0)</f>
        <v/>
      </c>
      <c r="D929" s="2" t="n"/>
      <c r="E929" s="4" t="n"/>
      <c r="F929" s="2" t="n"/>
      <c r="G929" s="43">
        <f>SUM($K929:$M929)</f>
        <v/>
      </c>
      <c r="H929" s="2" t="n"/>
      <c r="I929" s="4" t="n"/>
      <c r="J929" s="2" t="n"/>
      <c r="K929" s="44">
        <f>IF('RPT1'!$J929="","",'RPT1'!$J929)</f>
        <v/>
      </c>
      <c r="L929" s="44">
        <f>IF('RPT2'!$J929="","",'RPT2'!$J929)</f>
        <v/>
      </c>
      <c r="M929" s="44">
        <f>IF('RPT3'!$J929="","",'RPT3'!$J929)</f>
        <v/>
      </c>
    </row>
    <row r="930">
      <c r="A930" s="16" t="inlineStr">
        <is>
          <t>MFP Rebates - Retail 90 - Generic - Year 2</t>
        </is>
      </c>
      <c r="B930" s="2" t="n"/>
      <c r="C930" s="43">
        <f>IF(Combine="Y", $G930, 0)</f>
        <v/>
      </c>
      <c r="D930" s="2" t="n"/>
      <c r="E930" s="4" t="n"/>
      <c r="F930" s="2" t="n"/>
      <c r="G930" s="43">
        <f>SUM($K930:$M930)</f>
        <v/>
      </c>
      <c r="H930" s="2" t="n"/>
      <c r="I930" s="4" t="n"/>
      <c r="J930" s="2" t="n"/>
      <c r="K930" s="44">
        <f>IF('RPT1'!$J930="","",'RPT1'!$J930)</f>
        <v/>
      </c>
      <c r="L930" s="44">
        <f>IF('RPT2'!$J930="","",'RPT2'!$J930)</f>
        <v/>
      </c>
      <c r="M930" s="44">
        <f>IF('RPT3'!$J930="","",'RPT3'!$J930)</f>
        <v/>
      </c>
    </row>
    <row r="931">
      <c r="A931" s="16" t="inlineStr">
        <is>
          <t>MFP Rebates - Retail 90 - Generic - Year 3</t>
        </is>
      </c>
      <c r="B931" s="2" t="n"/>
      <c r="C931" s="43">
        <f>IF(Combine="Y", $G931, 0)</f>
        <v/>
      </c>
      <c r="D931" s="2" t="n"/>
      <c r="E931" s="4" t="n"/>
      <c r="F931" s="2" t="n"/>
      <c r="G931" s="43">
        <f>SUM($K931:$M931)</f>
        <v/>
      </c>
      <c r="H931" s="2" t="n"/>
      <c r="I931" s="4" t="n"/>
      <c r="J931" s="2" t="n"/>
      <c r="K931" s="44">
        <f>IF('RPT1'!$J931="","",'RPT1'!$J931)</f>
        <v/>
      </c>
      <c r="L931" s="44">
        <f>IF('RPT2'!$J931="","",'RPT2'!$J931)</f>
        <v/>
      </c>
      <c r="M931" s="44">
        <f>IF('RPT3'!$J931="","",'RPT3'!$J931)</f>
        <v/>
      </c>
    </row>
    <row r="932">
      <c r="A932" s="16" t="inlineStr">
        <is>
          <t>MFP Rebates - Retail 90 - Generic - Year 4</t>
        </is>
      </c>
      <c r="B932" s="2" t="n"/>
      <c r="C932" s="43">
        <f>IF(Combine="Y", $G932, 0)</f>
        <v/>
      </c>
      <c r="D932" s="2" t="n"/>
      <c r="E932" s="4" t="n"/>
      <c r="F932" s="2" t="n"/>
      <c r="G932" s="43">
        <f>SUM($K932:$M932)</f>
        <v/>
      </c>
      <c r="H932" s="2" t="n"/>
      <c r="I932" s="4" t="n"/>
      <c r="J932" s="2" t="n"/>
      <c r="K932" s="44">
        <f>IF('RPT1'!$J932="","",'RPT1'!$J932)</f>
        <v/>
      </c>
      <c r="L932" s="44">
        <f>IF('RPT2'!$J932="","",'RPT2'!$J932)</f>
        <v/>
      </c>
      <c r="M932" s="44">
        <f>IF('RPT3'!$J932="","",'RPT3'!$J932)</f>
        <v/>
      </c>
    </row>
    <row r="933">
      <c r="A933" s="16" t="inlineStr">
        <is>
          <t>MFP Rebates - Retail 90 - Generic - Year 5</t>
        </is>
      </c>
      <c r="B933" s="2" t="n"/>
      <c r="C933" s="43">
        <f>IF(Combine="Y", $G933, 0)</f>
        <v/>
      </c>
      <c r="D933" s="2" t="n"/>
      <c r="E933" s="4" t="n"/>
      <c r="F933" s="2" t="n"/>
      <c r="G933" s="43">
        <f>SUM($K933:$M933)</f>
        <v/>
      </c>
      <c r="H933" s="2" t="n"/>
      <c r="I933" s="4" t="n"/>
      <c r="J933" s="2" t="n"/>
      <c r="K933" s="44">
        <f>IF('RPT1'!$J933="","",'RPT1'!$J933)</f>
        <v/>
      </c>
      <c r="L933" s="44">
        <f>IF('RPT2'!$J933="","",'RPT2'!$J933)</f>
        <v/>
      </c>
      <c r="M933" s="44">
        <f>IF('RPT3'!$J933="","",'RPT3'!$J933)</f>
        <v/>
      </c>
    </row>
    <row r="934">
      <c r="A934" s="16" t="inlineStr">
        <is>
          <t>MFP Rebates - Specialty - Brand - Year 1</t>
        </is>
      </c>
      <c r="B934" s="2" t="n"/>
      <c r="C934" s="43">
        <f>IF(Combine="Y", $G934, 0)</f>
        <v/>
      </c>
      <c r="D934" s="2" t="n"/>
      <c r="E934" s="4" t="n"/>
      <c r="F934" s="2" t="n"/>
      <c r="G934" s="43">
        <f>SUM($K934:$M934)</f>
        <v/>
      </c>
      <c r="H934" s="2" t="n"/>
      <c r="I934" s="4" t="n"/>
      <c r="J934" s="2" t="n"/>
      <c r="K934" s="44">
        <f>IF('RPT1'!$J934="","",'RPT1'!$J934)</f>
        <v/>
      </c>
      <c r="L934" s="44">
        <f>IF('RPT2'!$J934="","",'RPT2'!$J934)</f>
        <v/>
      </c>
      <c r="M934" s="44">
        <f>IF('RPT3'!$J934="","",'RPT3'!$J934)</f>
        <v/>
      </c>
    </row>
    <row r="935">
      <c r="A935" s="16" t="inlineStr">
        <is>
          <t>MFP Rebates - Specialty - Brand - Year 2</t>
        </is>
      </c>
      <c r="B935" s="2" t="n"/>
      <c r="C935" s="43">
        <f>IF(Combine="Y", $G935, 0)</f>
        <v/>
      </c>
      <c r="D935" s="2" t="n"/>
      <c r="E935" s="4" t="n"/>
      <c r="F935" s="2" t="n"/>
      <c r="G935" s="43">
        <f>SUM($K935:$M935)</f>
        <v/>
      </c>
      <c r="H935" s="2" t="n"/>
      <c r="I935" s="4" t="n"/>
      <c r="J935" s="2" t="n"/>
      <c r="K935" s="44">
        <f>IF('RPT1'!$J935="","",'RPT1'!$J935)</f>
        <v/>
      </c>
      <c r="L935" s="44">
        <f>IF('RPT2'!$J935="","",'RPT2'!$J935)</f>
        <v/>
      </c>
      <c r="M935" s="44">
        <f>IF('RPT3'!$J935="","",'RPT3'!$J935)</f>
        <v/>
      </c>
    </row>
    <row r="936">
      <c r="A936" s="16" t="inlineStr">
        <is>
          <t>MFP Rebates - Specialty - Brand - Year 3</t>
        </is>
      </c>
      <c r="B936" s="2" t="n"/>
      <c r="C936" s="43">
        <f>IF(Combine="Y", $G936, 0)</f>
        <v/>
      </c>
      <c r="D936" s="2" t="n"/>
      <c r="E936" s="4" t="n"/>
      <c r="F936" s="2" t="n"/>
      <c r="G936" s="43">
        <f>SUM($K936:$M936)</f>
        <v/>
      </c>
      <c r="H936" s="2" t="n"/>
      <c r="I936" s="4" t="n"/>
      <c r="J936" s="2" t="n"/>
      <c r="K936" s="44">
        <f>IF('RPT1'!$J936="","",'RPT1'!$J936)</f>
        <v/>
      </c>
      <c r="L936" s="44">
        <f>IF('RPT2'!$J936="","",'RPT2'!$J936)</f>
        <v/>
      </c>
      <c r="M936" s="44">
        <f>IF('RPT3'!$J936="","",'RPT3'!$J936)</f>
        <v/>
      </c>
    </row>
    <row r="937">
      <c r="A937" s="16" t="inlineStr">
        <is>
          <t>MFP Rebates - Specialty - Brand - Year 4</t>
        </is>
      </c>
      <c r="B937" s="2" t="n"/>
      <c r="C937" s="43">
        <f>IF(Combine="Y", $G937, 0)</f>
        <v/>
      </c>
      <c r="D937" s="2" t="n"/>
      <c r="E937" s="4" t="n"/>
      <c r="F937" s="2" t="n"/>
      <c r="G937" s="43">
        <f>SUM($K937:$M937)</f>
        <v/>
      </c>
      <c r="H937" s="2" t="n"/>
      <c r="I937" s="4" t="n"/>
      <c r="J937" s="2" t="n"/>
      <c r="K937" s="44">
        <f>IF('RPT1'!$J937="","",'RPT1'!$J937)</f>
        <v/>
      </c>
      <c r="L937" s="44">
        <f>IF('RPT2'!$J937="","",'RPT2'!$J937)</f>
        <v/>
      </c>
      <c r="M937" s="44">
        <f>IF('RPT3'!$J937="","",'RPT3'!$J937)</f>
        <v/>
      </c>
    </row>
    <row r="938">
      <c r="A938" s="16" t="inlineStr">
        <is>
          <t>MFP Rebates - Specialty - Brand - Year 5</t>
        </is>
      </c>
      <c r="B938" s="2" t="n"/>
      <c r="C938" s="43">
        <f>IF(Combine="Y", $G938, 0)</f>
        <v/>
      </c>
      <c r="D938" s="2" t="n"/>
      <c r="E938" s="4" t="n"/>
      <c r="F938" s="2" t="n"/>
      <c r="G938" s="43">
        <f>SUM($K938:$M938)</f>
        <v/>
      </c>
      <c r="H938" s="2" t="n"/>
      <c r="I938" s="4" t="n"/>
      <c r="J938" s="2" t="n"/>
      <c r="K938" s="44">
        <f>IF('RPT1'!$J938="","",'RPT1'!$J938)</f>
        <v/>
      </c>
      <c r="L938" s="44">
        <f>IF('RPT2'!$J938="","",'RPT2'!$J938)</f>
        <v/>
      </c>
      <c r="M938" s="44">
        <f>IF('RPT3'!$J938="","",'RPT3'!$J938)</f>
        <v/>
      </c>
    </row>
    <row r="939">
      <c r="A939" s="16" t="inlineStr">
        <is>
          <t>MFP Rebates - Specialty - Generic - Year 1</t>
        </is>
      </c>
      <c r="B939" s="2" t="n"/>
      <c r="C939" s="43">
        <f>IF(Combine="Y", $G939, 0)</f>
        <v/>
      </c>
      <c r="D939" s="2" t="n"/>
      <c r="E939" s="4" t="n"/>
      <c r="F939" s="2" t="n"/>
      <c r="G939" s="43">
        <f>SUM($K939:$M939)</f>
        <v/>
      </c>
      <c r="H939" s="2" t="n"/>
      <c r="I939" s="4" t="n"/>
      <c r="J939" s="2" t="n"/>
      <c r="K939" s="44">
        <f>IF('RPT1'!$J939="","",'RPT1'!$J939)</f>
        <v/>
      </c>
      <c r="L939" s="44">
        <f>IF('RPT2'!$J939="","",'RPT2'!$J939)</f>
        <v/>
      </c>
      <c r="M939" s="44">
        <f>IF('RPT3'!$J939="","",'RPT3'!$J939)</f>
        <v/>
      </c>
    </row>
    <row r="940">
      <c r="A940" s="16" t="inlineStr">
        <is>
          <t>MFP Rebates - Specialty - Generic - Year 2</t>
        </is>
      </c>
      <c r="B940" s="2" t="n"/>
      <c r="C940" s="43">
        <f>IF(Combine="Y", $G940, 0)</f>
        <v/>
      </c>
      <c r="D940" s="2" t="n"/>
      <c r="E940" s="4" t="n"/>
      <c r="F940" s="2" t="n"/>
      <c r="G940" s="43">
        <f>SUM($K940:$M940)</f>
        <v/>
      </c>
      <c r="H940" s="2" t="n"/>
      <c r="I940" s="4" t="n"/>
      <c r="J940" s="2" t="n"/>
      <c r="K940" s="44">
        <f>IF('RPT1'!$J940="","",'RPT1'!$J940)</f>
        <v/>
      </c>
      <c r="L940" s="44">
        <f>IF('RPT2'!$J940="","",'RPT2'!$J940)</f>
        <v/>
      </c>
      <c r="M940" s="44">
        <f>IF('RPT3'!$J940="","",'RPT3'!$J940)</f>
        <v/>
      </c>
    </row>
    <row r="941">
      <c r="A941" s="16" t="inlineStr">
        <is>
          <t>MFP Rebates - Specialty - Generic - Year 3</t>
        </is>
      </c>
      <c r="B941" s="2" t="n"/>
      <c r="C941" s="43">
        <f>IF(Combine="Y", $G941, 0)</f>
        <v/>
      </c>
      <c r="D941" s="2" t="n"/>
      <c r="E941" s="4" t="n"/>
      <c r="F941" s="2" t="n"/>
      <c r="G941" s="43">
        <f>SUM($K941:$M941)</f>
        <v/>
      </c>
      <c r="H941" s="2" t="n"/>
      <c r="I941" s="4" t="n"/>
      <c r="J941" s="2" t="n"/>
      <c r="K941" s="44">
        <f>IF('RPT1'!$J941="","",'RPT1'!$J941)</f>
        <v/>
      </c>
      <c r="L941" s="44">
        <f>IF('RPT2'!$J941="","",'RPT2'!$J941)</f>
        <v/>
      </c>
      <c r="M941" s="44">
        <f>IF('RPT3'!$J941="","",'RPT3'!$J941)</f>
        <v/>
      </c>
    </row>
    <row r="942">
      <c r="A942" s="16" t="inlineStr">
        <is>
          <t>MFP Rebates - Specialty - Generic - Year 4</t>
        </is>
      </c>
      <c r="B942" s="2" t="n"/>
      <c r="C942" s="43">
        <f>IF(Combine="Y", $G942, 0)</f>
        <v/>
      </c>
      <c r="D942" s="2" t="n"/>
      <c r="E942" s="4" t="n"/>
      <c r="F942" s="2" t="n"/>
      <c r="G942" s="43">
        <f>SUM($K942:$M942)</f>
        <v/>
      </c>
      <c r="H942" s="2" t="n"/>
      <c r="I942" s="4" t="n"/>
      <c r="J942" s="2" t="n"/>
      <c r="K942" s="44">
        <f>IF('RPT1'!$J942="","",'RPT1'!$J942)</f>
        <v/>
      </c>
      <c r="L942" s="44">
        <f>IF('RPT2'!$J942="","",'RPT2'!$J942)</f>
        <v/>
      </c>
      <c r="M942" s="44">
        <f>IF('RPT3'!$J942="","",'RPT3'!$J942)</f>
        <v/>
      </c>
    </row>
    <row r="943">
      <c r="A943" s="16" t="inlineStr">
        <is>
          <t>MFP Rebates - Specialty - Generic - Year 5</t>
        </is>
      </c>
      <c r="B943" s="2" t="n"/>
      <c r="C943" s="49">
        <f>IF(Combine="Y", $G943, 0)</f>
        <v/>
      </c>
      <c r="D943" s="2" t="n"/>
      <c r="E943" s="4" t="n"/>
      <c r="F943" s="2" t="n"/>
      <c r="G943" s="43">
        <f>SUM($K943:$M943)</f>
        <v/>
      </c>
      <c r="H943" s="2" t="n"/>
      <c r="I943" s="4" t="n"/>
      <c r="J943" s="2" t="n"/>
      <c r="K943" s="44">
        <f>IF('RPT1'!$J943="","",'RPT1'!$J943)</f>
        <v/>
      </c>
      <c r="L943" s="44">
        <f>IF('RPT2'!$J943="","",'RPT2'!$J943)</f>
        <v/>
      </c>
      <c r="M943" s="44">
        <f>IF('RPT3'!$J943="","",'RPT3'!$J943)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inlineStr">
        <is>
          <t>RPT3504944005661WP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5:B5"/>
  <sheetViews>
    <sheetView workbookViewId="0">
      <selection activeCell="A1" sqref="A1"/>
    </sheetView>
  </sheetViews>
  <sheetFormatPr baseColWidth="8" defaultRowHeight="15"/>
  <sheetData>
    <row r="5">
      <c r="B5" s="50" t="n">
        <v>46276.23339749048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J8:J943"/>
  <sheetViews>
    <sheetView workbookViewId="0">
      <selection activeCell="A1" sqref="A1"/>
    </sheetView>
  </sheetViews>
  <sheetFormatPr baseColWidth="8" defaultRowHeight="15"/>
  <sheetData>
    <row r="8">
      <c r="J8" t="inlineStr">
        <is>
          <t>RPT3504944005661WP</t>
        </is>
      </c>
    </row>
    <row r="9">
      <c r="J9" t="inlineStr">
        <is>
          <t>2026-01-27T08:39:54.000+00:00</t>
        </is>
      </c>
    </row>
    <row r="10">
      <c r="J10" t="inlineStr">
        <is>
          <t>N/A</t>
        </is>
      </c>
    </row>
    <row r="11">
      <c r="J11" t="n">
        <v>2027</v>
      </c>
    </row>
    <row r="12">
      <c r="J12" t="n">
        <v>2028</v>
      </c>
    </row>
    <row r="13">
      <c r="J13" t="n">
        <v>2029</v>
      </c>
    </row>
    <row r="14">
      <c r="J14" t="n">
        <v>2030</v>
      </c>
    </row>
    <row r="15">
      <c r="J15" t="n">
        <v>2031</v>
      </c>
    </row>
    <row r="16">
      <c r="J16" t="inlineStr">
        <is>
          <t>01/01/2025</t>
        </is>
      </c>
    </row>
    <row r="17">
      <c r="J17" t="inlineStr">
        <is>
          <t>11/30/2025</t>
        </is>
      </c>
    </row>
    <row r="18">
      <c r="J18" t="inlineStr">
        <is>
          <t>RxAdvance HTA Groups Rebate1 - M003</t>
        </is>
      </c>
    </row>
    <row r="19">
      <c r="J19" t="inlineStr">
        <is>
          <t>Medicare D</t>
        </is>
      </c>
    </row>
    <row r="20">
      <c r="J20" t="inlineStr">
        <is>
          <t>Gold 5 Tier-GOV</t>
        </is>
      </c>
    </row>
    <row r="21">
      <c r="J21" t="inlineStr"/>
    </row>
    <row r="22">
      <c r="J22" t="inlineStr">
        <is>
          <t>Include</t>
        </is>
      </c>
    </row>
    <row r="23">
      <c r="J23" t="inlineStr">
        <is>
          <t>Include</t>
        </is>
      </c>
    </row>
    <row r="24">
      <c r="J24" t="inlineStr">
        <is>
          <t>Include</t>
        </is>
      </c>
    </row>
    <row r="25">
      <c r="J25" t="inlineStr">
        <is>
          <t>Include</t>
        </is>
      </c>
    </row>
    <row r="26">
      <c r="J26" t="inlineStr">
        <is>
          <t>Include</t>
        </is>
      </c>
    </row>
    <row r="27">
      <c r="J27" t="inlineStr">
        <is>
          <t>Include</t>
        </is>
      </c>
    </row>
    <row r="28">
      <c r="J28" t="inlineStr">
        <is>
          <t>Include</t>
        </is>
      </c>
    </row>
    <row r="29">
      <c r="J29" t="inlineStr">
        <is>
          <t>Include</t>
        </is>
      </c>
    </row>
    <row r="30">
      <c r="J30" t="inlineStr">
        <is>
          <t>Include</t>
        </is>
      </c>
    </row>
    <row r="31">
      <c r="J31" t="inlineStr">
        <is>
          <t>Include</t>
        </is>
      </c>
    </row>
    <row r="32">
      <c r="J32" t="inlineStr">
        <is>
          <t>Include</t>
        </is>
      </c>
    </row>
    <row r="33">
      <c r="J33" t="inlineStr">
        <is>
          <t>Include</t>
        </is>
      </c>
    </row>
    <row r="34">
      <c r="J34" t="inlineStr">
        <is>
          <t>Include</t>
        </is>
      </c>
    </row>
    <row r="35">
      <c r="J35" t="inlineStr">
        <is>
          <t>Include</t>
        </is>
      </c>
    </row>
    <row r="36">
      <c r="J36" t="inlineStr">
        <is>
          <t>Include</t>
        </is>
      </c>
    </row>
    <row r="37">
      <c r="J37" t="inlineStr">
        <is>
          <t>Include</t>
        </is>
      </c>
    </row>
    <row r="38">
      <c r="J38" t="inlineStr">
        <is>
          <t>N/A</t>
        </is>
      </c>
    </row>
    <row r="39">
      <c r="J39" t="inlineStr">
        <is>
          <t>N/A</t>
        </is>
      </c>
    </row>
    <row r="40">
      <c r="J40" t="inlineStr">
        <is>
          <t>Hep B,HIV,IVIG,Narcolepsy,Nausea,Transplant,PCSK9,Dupixent</t>
        </is>
      </c>
    </row>
    <row r="41">
      <c r="J41" t="inlineStr">
        <is>
          <t>Non-Sp</t>
        </is>
      </c>
    </row>
    <row r="42">
      <c r="J42" t="inlineStr">
        <is>
          <t>Non-Sp</t>
        </is>
      </c>
    </row>
    <row r="43">
      <c r="J43" t="inlineStr">
        <is>
          <t>Non-Sp</t>
        </is>
      </c>
    </row>
    <row r="44">
      <c r="J44" t="inlineStr">
        <is>
          <t>Non-Sp</t>
        </is>
      </c>
    </row>
    <row r="45">
      <c r="J45" t="inlineStr">
        <is>
          <t>Non-Sp</t>
        </is>
      </c>
    </row>
    <row r="46">
      <c r="J46" t="inlineStr">
        <is>
          <t>Non-Sp</t>
        </is>
      </c>
    </row>
    <row r="47">
      <c r="J47" t="inlineStr">
        <is>
          <t>Non-Sp</t>
        </is>
      </c>
    </row>
    <row r="50">
      <c r="J50" t="inlineStr">
        <is>
          <t>N/A</t>
        </is>
      </c>
    </row>
    <row r="51">
      <c r="J51" t="inlineStr">
        <is>
          <t>N/A</t>
        </is>
      </c>
    </row>
    <row r="52">
      <c r="J52" t="n">
        <v>0.09927951473762373</v>
      </c>
    </row>
    <row r="53">
      <c r="J53" t="n">
        <v>0.07665483966063638</v>
      </c>
    </row>
    <row r="54">
      <c r="J54" t="inlineStr">
        <is>
          <t>https://repricingrequestform.optum.com/BGDefLookup/Override</t>
        </is>
      </c>
    </row>
    <row r="55">
      <c r="J55" t="inlineStr">
        <is>
          <t>N/A</t>
        </is>
      </c>
    </row>
    <row r="58">
      <c r="J58" t="inlineStr">
        <is>
          <t>Standard</t>
        </is>
      </c>
    </row>
    <row r="59">
      <c r="J59" t="inlineStr">
        <is>
          <t>Standard</t>
        </is>
      </c>
    </row>
    <row r="60">
      <c r="J60" t="inlineStr">
        <is>
          <t>No oGLP-1 Rebate Lift</t>
        </is>
      </c>
    </row>
    <row r="61">
      <c r="J61" t="inlineStr">
        <is>
          <t>No</t>
        </is>
      </c>
    </row>
    <row r="62">
      <c r="J62" t="inlineStr">
        <is>
          <t>Standard</t>
        </is>
      </c>
    </row>
    <row r="63">
      <c r="J63" t="inlineStr">
        <is>
          <t>Yes</t>
        </is>
      </c>
    </row>
    <row r="64">
      <c r="J64" t="inlineStr">
        <is>
          <t>No</t>
        </is>
      </c>
    </row>
    <row r="65">
      <c r="J65" t="n">
        <v>0</v>
      </c>
    </row>
    <row r="66">
      <c r="J66" t="inlineStr">
        <is>
          <t>No</t>
        </is>
      </c>
    </row>
    <row r="67">
      <c r="J67" t="n">
        <v>0</v>
      </c>
    </row>
    <row r="68">
      <c r="J68" t="inlineStr">
        <is>
          <t>Yes</t>
        </is>
      </c>
    </row>
    <row r="69">
      <c r="J69" t="inlineStr">
        <is>
          <t>Yes</t>
        </is>
      </c>
    </row>
    <row r="70">
      <c r="J70" t="inlineStr">
        <is>
          <t>No</t>
        </is>
      </c>
    </row>
    <row r="71">
      <c r="J71" t="inlineStr">
        <is>
          <t>No</t>
        </is>
      </c>
    </row>
    <row r="72">
      <c r="J72" t="inlineStr">
        <is>
          <t>No</t>
        </is>
      </c>
    </row>
    <row r="73">
      <c r="J73" t="inlineStr">
        <is>
          <t>&lt;N/A&gt;</t>
        </is>
      </c>
    </row>
    <row r="74">
      <c r="J74" t="inlineStr">
        <is>
          <t>MFP Included</t>
        </is>
      </c>
    </row>
    <row r="75">
      <c r="J75" t="inlineStr">
        <is>
          <t>&lt;N/A&gt;</t>
        </is>
      </c>
    </row>
    <row r="76">
      <c r="J76" t="inlineStr">
        <is>
          <t>No</t>
        </is>
      </c>
    </row>
    <row r="77">
      <c r="J77" t="inlineStr">
        <is>
          <t>N/A</t>
        </is>
      </c>
    </row>
    <row r="80">
      <c r="J80" t="n">
        <v>395.9586492913897</v>
      </c>
    </row>
    <row r="81">
      <c r="J81" t="n">
        <v>355.0387722323696</v>
      </c>
    </row>
    <row r="82">
      <c r="J82" t="n">
        <v>351.6601436918945</v>
      </c>
    </row>
    <row r="83">
      <c r="J83" t="n">
        <v>386.6926974601076</v>
      </c>
    </row>
    <row r="84">
      <c r="J84" t="n">
        <v>431.7003097249117</v>
      </c>
    </row>
    <row r="85">
      <c r="J85" t="n">
        <v>3894.682375404938</v>
      </c>
    </row>
    <row r="86">
      <c r="J86" t="n">
        <v>3984.15913295455</v>
      </c>
    </row>
    <row r="87">
      <c r="J87" t="n">
        <v>4037.369578720035</v>
      </c>
    </row>
    <row r="88">
      <c r="J88" t="n">
        <v>4052.573834649655</v>
      </c>
    </row>
    <row r="89">
      <c r="J89" t="n">
        <v>4072.015121121104</v>
      </c>
    </row>
    <row r="90">
      <c r="J90" t="n">
        <v>57215.01691334719</v>
      </c>
    </row>
    <row r="91">
      <c r="J91" t="n">
        <v>56176.39728253944</v>
      </c>
    </row>
    <row r="92">
      <c r="J92" t="n">
        <v>56332.6615636712</v>
      </c>
    </row>
    <row r="93">
      <c r="J93" t="n">
        <v>59803.01225780102</v>
      </c>
    </row>
    <row r="94">
      <c r="J94" t="n">
        <v>62732.7220898322</v>
      </c>
    </row>
    <row r="95">
      <c r="J95" t="n">
        <v>241637.2232219356</v>
      </c>
    </row>
    <row r="96">
      <c r="J96" t="n">
        <v>246863.6448602303</v>
      </c>
    </row>
    <row r="97">
      <c r="J97" t="n">
        <v>250992.2567030512</v>
      </c>
    </row>
    <row r="98">
      <c r="J98" t="n">
        <v>252074.1599850001</v>
      </c>
    </row>
    <row r="99">
      <c r="J99" t="n">
        <v>255192.211912494</v>
      </c>
    </row>
    <row r="100">
      <c r="J100" t="n">
        <v>24397.7455776737</v>
      </c>
    </row>
    <row r="101">
      <c r="J101" t="n">
        <v>20605.07594419366</v>
      </c>
    </row>
    <row r="102">
      <c r="J102" t="n">
        <v>19232.79557465255</v>
      </c>
    </row>
    <row r="103">
      <c r="J103" t="n">
        <v>20647.75128479263</v>
      </c>
    </row>
    <row r="104">
      <c r="J104" t="n">
        <v>22438.38097729691</v>
      </c>
    </row>
    <row r="105">
      <c r="J105" t="n">
        <v>249245.0126717385</v>
      </c>
    </row>
    <row r="106">
      <c r="J106" t="n">
        <v>255537.3535595638</v>
      </c>
    </row>
    <row r="107">
      <c r="J107" t="n">
        <v>259449.4439321168</v>
      </c>
    </row>
    <row r="108">
      <c r="J108" t="n">
        <v>260448.7941418636</v>
      </c>
    </row>
    <row r="109">
      <c r="J109" t="n">
        <v>261821.5845376559</v>
      </c>
    </row>
    <row r="110">
      <c r="J110" t="n">
        <v>3793.113363504423</v>
      </c>
    </row>
    <row r="111">
      <c r="J111" t="n">
        <v>4085.800595221059</v>
      </c>
    </row>
    <row r="112">
      <c r="J112" t="n">
        <v>4355.523832296085</v>
      </c>
    </row>
    <row r="113">
      <c r="J113" t="n">
        <v>4716.618782779988</v>
      </c>
    </row>
    <row r="114">
      <c r="J114" t="n">
        <v>5130.590938449406</v>
      </c>
    </row>
    <row r="115">
      <c r="J115" t="n">
        <v>565.4434892995162</v>
      </c>
    </row>
    <row r="116">
      <c r="J116" t="n">
        <v>635.6116676832323</v>
      </c>
    </row>
    <row r="117">
      <c r="J117" t="n">
        <v>769.0770662148155</v>
      </c>
    </row>
    <row r="118">
      <c r="J118" t="n">
        <v>832.283775922441</v>
      </c>
    </row>
    <row r="119">
      <c r="J119" t="n">
        <v>904.9991441772318</v>
      </c>
    </row>
    <row r="122">
      <c r="J122" t="n">
        <v>393.970412176071</v>
      </c>
    </row>
    <row r="123">
      <c r="J123" t="n">
        <v>353.788652058761</v>
      </c>
    </row>
    <row r="124">
      <c r="J124" t="n">
        <v>350.2165577531545</v>
      </c>
    </row>
    <row r="125">
      <c r="J125" t="n">
        <v>385.0225482699792</v>
      </c>
    </row>
    <row r="126">
      <c r="J126" t="n">
        <v>429.7685898526324</v>
      </c>
    </row>
    <row r="127">
      <c r="J127" t="n">
        <v>3894.682375404938</v>
      </c>
    </row>
    <row r="128">
      <c r="J128" t="n">
        <v>3984.15913295455</v>
      </c>
    </row>
    <row r="129">
      <c r="J129" t="n">
        <v>4037.369578720035</v>
      </c>
    </row>
    <row r="130">
      <c r="J130" t="n">
        <v>4052.573834649655</v>
      </c>
    </row>
    <row r="131">
      <c r="J131" t="n">
        <v>4072.015121121104</v>
      </c>
    </row>
    <row r="132">
      <c r="J132" t="n">
        <v>56999.29075276441</v>
      </c>
    </row>
    <row r="133">
      <c r="J133" t="n">
        <v>56008.21034019249</v>
      </c>
    </row>
    <row r="134">
      <c r="J134" t="n">
        <v>56149.47398295286</v>
      </c>
    </row>
    <row r="135">
      <c r="J135" t="n">
        <v>59594.48006723955</v>
      </c>
    </row>
    <row r="136">
      <c r="J136" t="n">
        <v>62495.34979343221</v>
      </c>
    </row>
    <row r="137">
      <c r="J137" t="n">
        <v>241637.2232219356</v>
      </c>
    </row>
    <row r="138">
      <c r="J138" t="n">
        <v>246863.6448602303</v>
      </c>
    </row>
    <row r="139">
      <c r="J139" t="n">
        <v>250992.2567030512</v>
      </c>
    </row>
    <row r="140">
      <c r="J140" t="n">
        <v>252074.1599850001</v>
      </c>
    </row>
    <row r="141">
      <c r="J141" t="n">
        <v>255192.211912494</v>
      </c>
    </row>
    <row r="142">
      <c r="J142" t="n">
        <v>24270.40834486041</v>
      </c>
    </row>
    <row r="143">
      <c r="J143" t="n">
        <v>20512.64206045536</v>
      </c>
    </row>
    <row r="144">
      <c r="J144" t="n">
        <v>19132.15678426872</v>
      </c>
    </row>
    <row r="145">
      <c r="J145" t="n">
        <v>20530.39305587586</v>
      </c>
    </row>
    <row r="146">
      <c r="J146" t="n">
        <v>22300.76368264049</v>
      </c>
    </row>
    <row r="147">
      <c r="J147" t="n">
        <v>249245.0126717385</v>
      </c>
    </row>
    <row r="148">
      <c r="J148" t="n">
        <v>255537.3535595638</v>
      </c>
    </row>
    <row r="149">
      <c r="J149" t="n">
        <v>259449.4439321168</v>
      </c>
    </row>
    <row r="150">
      <c r="J150" t="n">
        <v>260448.7941418636</v>
      </c>
    </row>
    <row r="151">
      <c r="J151" t="n">
        <v>261821.5845376559</v>
      </c>
    </row>
    <row r="152">
      <c r="J152" t="n">
        <v>3549.312966775955</v>
      </c>
    </row>
    <row r="153">
      <c r="J153" t="n">
        <v>3815.551503823833</v>
      </c>
    </row>
    <row r="154">
      <c r="J154" t="n">
        <v>4081.458266142513</v>
      </c>
    </row>
    <row r="155">
      <c r="J155" t="n">
        <v>4411.488834575534</v>
      </c>
    </row>
    <row r="156">
      <c r="J156" t="n">
        <v>4789.009740620507</v>
      </c>
    </row>
    <row r="157">
      <c r="J157" t="n">
        <v>565.4434892995162</v>
      </c>
    </row>
    <row r="158">
      <c r="J158" t="n">
        <v>635.6116676832323</v>
      </c>
    </row>
    <row r="159">
      <c r="J159" t="n">
        <v>769.0770662148155</v>
      </c>
    </row>
    <row r="160">
      <c r="J160" t="n">
        <v>832.283775922441</v>
      </c>
    </row>
    <row r="161">
      <c r="J161" t="n">
        <v>904.9991441772318</v>
      </c>
    </row>
    <row r="164">
      <c r="J164" t="n">
        <v>1541.862026371398</v>
      </c>
    </row>
    <row r="165">
      <c r="J165" t="n">
        <v>1679.362968172708</v>
      </c>
    </row>
    <row r="166">
      <c r="J166" t="n">
        <v>1835.429974533046</v>
      </c>
    </row>
    <row r="167">
      <c r="J167" t="n">
        <v>1937.549674497814</v>
      </c>
    </row>
    <row r="168">
      <c r="J168" t="n">
        <v>2022.833735807147</v>
      </c>
    </row>
    <row r="169">
      <c r="J169" t="n">
        <v>390.0285030453805</v>
      </c>
    </row>
    <row r="170">
      <c r="J170" t="n">
        <v>414.1131366513352</v>
      </c>
    </row>
    <row r="171">
      <c r="J171" t="n">
        <v>429.4038024381354</v>
      </c>
    </row>
    <row r="172">
      <c r="J172" t="n">
        <v>440.4373424099214</v>
      </c>
    </row>
    <row r="173">
      <c r="J173" t="n">
        <v>452.7928210828045</v>
      </c>
    </row>
    <row r="174">
      <c r="J174" t="n">
        <v>672.3386898379199</v>
      </c>
    </row>
    <row r="175">
      <c r="J175" t="n">
        <v>735.6636497425021</v>
      </c>
    </row>
    <row r="176">
      <c r="J176" t="n">
        <v>799.2938205166139</v>
      </c>
    </row>
    <row r="177">
      <c r="J177" t="n">
        <v>840.9438805490902</v>
      </c>
    </row>
    <row r="178">
      <c r="J178" t="n">
        <v>882.8518726744899</v>
      </c>
    </row>
    <row r="179">
      <c r="J179" t="n">
        <v>134.5935838608023</v>
      </c>
    </row>
    <row r="180">
      <c r="J180" t="n">
        <v>143.2213486665184</v>
      </c>
    </row>
    <row r="181">
      <c r="J181" t="n">
        <v>150.6830196644342</v>
      </c>
    </row>
    <row r="182">
      <c r="J182" t="n">
        <v>157.4601895140834</v>
      </c>
    </row>
    <row r="183">
      <c r="J183" t="n">
        <v>168.1243388835262</v>
      </c>
    </row>
    <row r="184">
      <c r="J184" t="n">
        <v>1081.451313469634</v>
      </c>
    </row>
    <row r="185">
      <c r="J185" t="n">
        <v>1226.808156989478</v>
      </c>
    </row>
    <row r="186">
      <c r="J186" t="n">
        <v>1393.617966145035</v>
      </c>
    </row>
    <row r="187">
      <c r="J187" t="n">
        <v>1478.293418941471</v>
      </c>
    </row>
    <row r="188">
      <c r="J188" t="n">
        <v>1540.312496867941</v>
      </c>
    </row>
    <row r="189">
      <c r="J189" t="n">
        <v>371.4760229354121</v>
      </c>
    </row>
    <row r="190">
      <c r="J190" t="n">
        <v>384.811259994989</v>
      </c>
    </row>
    <row r="191">
      <c r="J191" t="n">
        <v>393.8585249701759</v>
      </c>
    </row>
    <row r="192">
      <c r="J192" t="n">
        <v>401.5496260560116</v>
      </c>
    </row>
    <row r="193">
      <c r="J193" t="n">
        <v>411.3111094069603</v>
      </c>
    </row>
    <row r="194">
      <c r="J194" t="n">
        <v>13396.09440107593</v>
      </c>
    </row>
    <row r="195">
      <c r="J195" t="n">
        <v>13630.91781421011</v>
      </c>
    </row>
    <row r="196">
      <c r="J196" t="n">
        <v>13628.75837247107</v>
      </c>
    </row>
    <row r="197">
      <c r="J197" t="n">
        <v>13841.60575759707</v>
      </c>
    </row>
    <row r="198">
      <c r="J198" t="n">
        <v>14061.25548442397</v>
      </c>
    </row>
    <row r="199">
      <c r="J199" t="n">
        <v>13720.59605941099</v>
      </c>
    </row>
    <row r="200">
      <c r="J200" t="n">
        <v>14285.40506905245</v>
      </c>
    </row>
    <row r="201">
      <c r="J201" t="n">
        <v>16150.27236457451</v>
      </c>
    </row>
    <row r="202">
      <c r="J202" t="n">
        <v>17107.95231109756</v>
      </c>
    </row>
    <row r="203">
      <c r="J203" t="n">
        <v>18026.85441645771</v>
      </c>
    </row>
    <row r="206">
      <c r="J206" t="n">
        <v>1541.862026371398</v>
      </c>
    </row>
    <row r="207">
      <c r="J207" t="n">
        <v>1679.362968172709</v>
      </c>
    </row>
    <row r="208">
      <c r="J208" t="n">
        <v>1835.429974533046</v>
      </c>
    </row>
    <row r="209">
      <c r="J209" t="n">
        <v>1937.549674497814</v>
      </c>
    </row>
    <row r="210">
      <c r="J210" t="n">
        <v>2022.833735807147</v>
      </c>
    </row>
    <row r="211">
      <c r="J211" t="n">
        <v>390.0285030453805</v>
      </c>
    </row>
    <row r="212">
      <c r="J212" t="n">
        <v>414.1131366513352</v>
      </c>
    </row>
    <row r="213">
      <c r="J213" t="n">
        <v>429.4038024381354</v>
      </c>
    </row>
    <row r="214">
      <c r="J214" t="n">
        <v>440.4373424099214</v>
      </c>
    </row>
    <row r="215">
      <c r="J215" t="n">
        <v>452.7928210828045</v>
      </c>
    </row>
    <row r="216">
      <c r="J216" t="n">
        <v>672.3386898379199</v>
      </c>
    </row>
    <row r="217">
      <c r="J217" t="n">
        <v>735.6636497425021</v>
      </c>
    </row>
    <row r="218">
      <c r="J218" t="n">
        <v>799.2938205166139</v>
      </c>
    </row>
    <row r="219">
      <c r="J219" t="n">
        <v>840.9438805490902</v>
      </c>
    </row>
    <row r="220">
      <c r="J220" t="n">
        <v>882.8518726744899</v>
      </c>
    </row>
    <row r="221">
      <c r="J221" t="n">
        <v>134.5935838608023</v>
      </c>
    </row>
    <row r="222">
      <c r="J222" t="n">
        <v>143.2213486665184</v>
      </c>
    </row>
    <row r="223">
      <c r="J223" t="n">
        <v>150.6830196644342</v>
      </c>
    </row>
    <row r="224">
      <c r="J224" t="n">
        <v>157.4601895140834</v>
      </c>
    </row>
    <row r="225">
      <c r="J225" t="n">
        <v>168.1243388835262</v>
      </c>
    </row>
    <row r="226">
      <c r="J226" t="n">
        <v>1081.451313469634</v>
      </c>
    </row>
    <row r="227">
      <c r="J227" t="n">
        <v>1226.808156989478</v>
      </c>
    </row>
    <row r="228">
      <c r="J228" t="n">
        <v>1393.617966145035</v>
      </c>
    </row>
    <row r="229">
      <c r="J229" t="n">
        <v>1478.293418941471</v>
      </c>
    </row>
    <row r="230">
      <c r="J230" t="n">
        <v>1540.312496867941</v>
      </c>
    </row>
    <row r="231">
      <c r="J231" t="n">
        <v>371.4760229354121</v>
      </c>
    </row>
    <row r="232">
      <c r="J232" t="n">
        <v>384.811259994989</v>
      </c>
    </row>
    <row r="233">
      <c r="J233" t="n">
        <v>393.8585249701759</v>
      </c>
    </row>
    <row r="234">
      <c r="J234" t="n">
        <v>401.5496260560116</v>
      </c>
    </row>
    <row r="235">
      <c r="J235" t="n">
        <v>411.3111094069603</v>
      </c>
    </row>
    <row r="236">
      <c r="J236" t="n">
        <v>13396.09440107593</v>
      </c>
    </row>
    <row r="237">
      <c r="J237" t="n">
        <v>13630.91781421012</v>
      </c>
    </row>
    <row r="238">
      <c r="J238" t="n">
        <v>13628.75837247106</v>
      </c>
    </row>
    <row r="239">
      <c r="J239" t="n">
        <v>13841.60575759707</v>
      </c>
    </row>
    <row r="240">
      <c r="J240" t="n">
        <v>14061.25548442397</v>
      </c>
    </row>
    <row r="241">
      <c r="J241" t="n">
        <v>13720.59605941099</v>
      </c>
    </row>
    <row r="242">
      <c r="J242" t="n">
        <v>14285.40506905245</v>
      </c>
    </row>
    <row r="243">
      <c r="J243" t="n">
        <v>16150.27236457451</v>
      </c>
    </row>
    <row r="244">
      <c r="J244" t="n">
        <v>17107.95231109756</v>
      </c>
    </row>
    <row r="245">
      <c r="J245" t="n">
        <v>18026.85441645771</v>
      </c>
    </row>
    <row r="248">
      <c r="J248" t="n">
        <v>320.7272727272727</v>
      </c>
    </row>
    <row r="249">
      <c r="J249" t="n">
        <v>3621.818181818182</v>
      </c>
    </row>
    <row r="250">
      <c r="J250" t="n">
        <v>35473.09090909091</v>
      </c>
    </row>
    <row r="251">
      <c r="J251" t="n">
        <v>121159.6363636364</v>
      </c>
    </row>
    <row r="252">
      <c r="J252" t="n">
        <v>18516</v>
      </c>
    </row>
    <row r="253">
      <c r="J253" t="n">
        <v>231303.2727272727</v>
      </c>
    </row>
    <row r="254">
      <c r="J254" t="n">
        <v>1952.727272727273</v>
      </c>
    </row>
    <row r="255">
      <c r="J255" t="n">
        <v>189.8181818181818</v>
      </c>
    </row>
    <row r="256">
      <c r="J256" t="n">
        <v>73.09090909090909</v>
      </c>
    </row>
    <row r="257">
      <c r="J257" t="n">
        <v>183.2727272727273</v>
      </c>
    </row>
    <row r="258">
      <c r="J258" t="n">
        <v>19197.81818181818</v>
      </c>
    </row>
    <row r="259">
      <c r="J259" t="n">
        <v>114641.4545454545</v>
      </c>
    </row>
    <row r="260">
      <c r="J260" t="n">
        <v>4737.818181818182</v>
      </c>
    </row>
    <row r="261">
      <c r="J261" t="n">
        <v>14406.54545454546</v>
      </c>
    </row>
    <row r="262">
      <c r="J262" t="n">
        <v>1297.090909090909</v>
      </c>
    </row>
    <row r="263">
      <c r="J263" t="n">
        <v>228</v>
      </c>
    </row>
    <row r="264">
      <c r="J264" t="n">
        <v>393.8181818181818</v>
      </c>
    </row>
    <row r="265">
      <c r="J265" t="n">
        <v>3805.090909090909</v>
      </c>
    </row>
    <row r="266">
      <c r="J266" t="n">
        <v>54670.9090909091</v>
      </c>
    </row>
    <row r="267">
      <c r="J267" t="n">
        <v>235801.0909090909</v>
      </c>
    </row>
    <row r="268">
      <c r="J268" t="n">
        <v>23253.81818181818</v>
      </c>
    </row>
    <row r="269">
      <c r="J269" t="n">
        <v>245709.8181818182</v>
      </c>
    </row>
    <row r="270">
      <c r="J270" t="n">
        <v>3249.818181818182</v>
      </c>
    </row>
    <row r="271">
      <c r="J271" t="n">
        <v>417.8181818181818</v>
      </c>
    </row>
    <row r="274">
      <c r="J274" t="n">
        <v>320.7272727272727</v>
      </c>
    </row>
    <row r="275">
      <c r="J275" t="n">
        <v>3621.818181818182</v>
      </c>
    </row>
    <row r="276">
      <c r="J276" t="n">
        <v>35473.09090909091</v>
      </c>
    </row>
    <row r="277">
      <c r="J277" t="n">
        <v>121159.6363636364</v>
      </c>
    </row>
    <row r="278">
      <c r="J278" t="n">
        <v>18516</v>
      </c>
    </row>
    <row r="279">
      <c r="J279" t="n">
        <v>231303.2727272727</v>
      </c>
    </row>
    <row r="280">
      <c r="J280" t="n">
        <v>1952.727272727273</v>
      </c>
    </row>
    <row r="281">
      <c r="J281" t="n">
        <v>189.8181818181818</v>
      </c>
    </row>
    <row r="282">
      <c r="J282" t="n">
        <v>73.09090909090909</v>
      </c>
    </row>
    <row r="283">
      <c r="J283" t="n">
        <v>183.2727272727273</v>
      </c>
    </row>
    <row r="284">
      <c r="J284" t="n">
        <v>19197.81818181818</v>
      </c>
    </row>
    <row r="285">
      <c r="J285" t="n">
        <v>114641.4545454545</v>
      </c>
    </row>
    <row r="286">
      <c r="J286" t="n">
        <v>4737.818181818182</v>
      </c>
    </row>
    <row r="287">
      <c r="J287" t="n">
        <v>14406.54545454546</v>
      </c>
    </row>
    <row r="288">
      <c r="J288" t="n">
        <v>1297.090909090909</v>
      </c>
    </row>
    <row r="289">
      <c r="J289" t="n">
        <v>228</v>
      </c>
    </row>
    <row r="290">
      <c r="J290" t="n">
        <v>393.8181818181819</v>
      </c>
    </row>
    <row r="291">
      <c r="J291" t="n">
        <v>3805.090909090909</v>
      </c>
    </row>
    <row r="292">
      <c r="J292" t="n">
        <v>54670.9090909091</v>
      </c>
    </row>
    <row r="293">
      <c r="J293" t="n">
        <v>235801.0909090909</v>
      </c>
    </row>
    <row r="294">
      <c r="J294" t="n">
        <v>23253.81818181818</v>
      </c>
    </row>
    <row r="295">
      <c r="J295" t="n">
        <v>245709.8181818182</v>
      </c>
    </row>
    <row r="296">
      <c r="J296" t="n">
        <v>3249.818181818182</v>
      </c>
    </row>
    <row r="297">
      <c r="J297" t="n">
        <v>417.8181818181818</v>
      </c>
    </row>
    <row r="300">
      <c r="J300" t="n">
        <v>1727.812397236727</v>
      </c>
    </row>
    <row r="301">
      <c r="J301" t="n">
        <v>360.415786710974</v>
      </c>
    </row>
    <row r="302">
      <c r="J302" t="n">
        <v>725.3437523835552</v>
      </c>
    </row>
    <row r="303">
      <c r="J303" t="n">
        <v>151.6326313576955</v>
      </c>
    </row>
    <row r="304">
      <c r="J304" t="n">
        <v>1316.067596374415</v>
      </c>
    </row>
    <row r="305">
      <c r="J305" t="n">
        <v>359.5847636776126</v>
      </c>
    </row>
    <row r="306">
      <c r="J306" t="n">
        <v>13495.1258908405</v>
      </c>
    </row>
    <row r="307">
      <c r="J307" t="n">
        <v>9530.248071604761</v>
      </c>
    </row>
    <row r="308">
      <c r="J308" t="n">
        <v>383.5117880408444</v>
      </c>
    </row>
    <row r="309">
      <c r="J309" t="n">
        <v>334.3031078016474</v>
      </c>
    </row>
    <row r="310">
      <c r="J310" t="n">
        <v>386.7052553487929</v>
      </c>
    </row>
    <row r="311">
      <c r="J311" t="n">
        <v>91.02458050652551</v>
      </c>
    </row>
    <row r="312">
      <c r="J312" t="n">
        <v>328.0278745171883</v>
      </c>
    </row>
    <row r="313">
      <c r="J313" t="n">
        <v>251.7696005918393</v>
      </c>
    </row>
    <row r="314">
      <c r="J314" t="n">
        <v>13454.23599529908</v>
      </c>
    </row>
    <row r="315">
      <c r="J315" t="n">
        <v>12604.52746421412</v>
      </c>
    </row>
    <row r="316">
      <c r="J316" t="n">
        <v>1478.316162289015</v>
      </c>
    </row>
    <row r="317">
      <c r="J317" t="n">
        <v>359.1580659378183</v>
      </c>
    </row>
    <row r="318">
      <c r="J318" t="n">
        <v>606.4300484861642</v>
      </c>
    </row>
    <row r="319">
      <c r="J319" t="n">
        <v>122.1662914016104</v>
      </c>
    </row>
    <row r="320">
      <c r="J320" t="n">
        <v>1114.760760569107</v>
      </c>
    </row>
    <row r="321">
      <c r="J321" t="n">
        <v>353.2633066875013</v>
      </c>
    </row>
    <row r="322">
      <c r="J322" t="n">
        <v>13478.80562034746</v>
      </c>
    </row>
    <row r="323">
      <c r="J323" t="n">
        <v>11207.85745295034</v>
      </c>
    </row>
    <row r="326">
      <c r="J326" t="n">
        <v>1727.812397236727</v>
      </c>
    </row>
    <row r="327">
      <c r="J327" t="n">
        <v>360.415786710974</v>
      </c>
    </row>
    <row r="328">
      <c r="J328" t="n">
        <v>725.3437523835552</v>
      </c>
    </row>
    <row r="329">
      <c r="J329" t="n">
        <v>151.6326313576955</v>
      </c>
    </row>
    <row r="330">
      <c r="J330" t="n">
        <v>1316.067596374415</v>
      </c>
    </row>
    <row r="331">
      <c r="J331" t="n">
        <v>359.5847636776126</v>
      </c>
    </row>
    <row r="332">
      <c r="J332" t="n">
        <v>13495.1258908405</v>
      </c>
    </row>
    <row r="333">
      <c r="J333" t="n">
        <v>9530.248071604761</v>
      </c>
    </row>
    <row r="334">
      <c r="J334" t="n">
        <v>383.5117880408444</v>
      </c>
    </row>
    <row r="335">
      <c r="J335" t="n">
        <v>334.3031078016474</v>
      </c>
    </row>
    <row r="336">
      <c r="J336" t="n">
        <v>386.7052553487929</v>
      </c>
    </row>
    <row r="337">
      <c r="J337" t="n">
        <v>91.02458050652551</v>
      </c>
    </row>
    <row r="338">
      <c r="J338" t="n">
        <v>328.0278745171883</v>
      </c>
    </row>
    <row r="339">
      <c r="J339" t="n">
        <v>251.7696005918393</v>
      </c>
    </row>
    <row r="340">
      <c r="J340" t="n">
        <v>13454.23599529908</v>
      </c>
    </row>
    <row r="341">
      <c r="J341" t="n">
        <v>12604.52746421412</v>
      </c>
    </row>
    <row r="342">
      <c r="J342" t="n">
        <v>1478.316162289015</v>
      </c>
    </row>
    <row r="343">
      <c r="J343" t="n">
        <v>359.1580659378183</v>
      </c>
    </row>
    <row r="344">
      <c r="J344" t="n">
        <v>606.4300484861642</v>
      </c>
    </row>
    <row r="345">
      <c r="J345" t="n">
        <v>122.1662914016104</v>
      </c>
    </row>
    <row r="346">
      <c r="J346" t="n">
        <v>1114.760760569107</v>
      </c>
    </row>
    <row r="347">
      <c r="J347" t="n">
        <v>353.2633066875013</v>
      </c>
    </row>
    <row r="348">
      <c r="J348" t="n">
        <v>13478.80562034746</v>
      </c>
    </row>
    <row r="349">
      <c r="J349" t="n">
        <v>11207.85745295034</v>
      </c>
    </row>
    <row r="352">
      <c r="J352" t="n">
        <v>519.435277150747</v>
      </c>
    </row>
    <row r="353">
      <c r="J353" t="n">
        <v>601.8551858225369</v>
      </c>
    </row>
    <row r="354">
      <c r="J354" t="n">
        <v>685.5014018135611</v>
      </c>
    </row>
    <row r="355">
      <c r="J355" t="n">
        <v>750.2840800699574</v>
      </c>
    </row>
    <row r="356">
      <c r="J356" t="n">
        <v>798.7242334914207</v>
      </c>
    </row>
    <row r="357">
      <c r="J357" t="n">
        <v>217.9825746467322</v>
      </c>
    </row>
    <row r="358">
      <c r="J358" t="n">
        <v>250.9994812018466</v>
      </c>
    </row>
    <row r="359">
      <c r="J359" t="n">
        <v>282.9258683353183</v>
      </c>
    </row>
    <row r="360">
      <c r="J360" t="n">
        <v>310.2989786119118</v>
      </c>
    </row>
    <row r="361">
      <c r="J361" t="n">
        <v>330.1728464679745</v>
      </c>
    </row>
    <row r="362">
      <c r="J362" t="n">
        <v>310.2556133847771</v>
      </c>
    </row>
    <row r="363">
      <c r="J363" t="n">
        <v>356.5669211428124</v>
      </c>
    </row>
    <row r="364">
      <c r="J364" t="n">
        <v>428.1058045716656</v>
      </c>
    </row>
    <row r="365">
      <c r="J365" t="n">
        <v>467.2305544686082</v>
      </c>
    </row>
    <row r="366">
      <c r="J366" t="n">
        <v>487.5690348780695</v>
      </c>
    </row>
    <row r="367">
      <c r="J367" t="n">
        <v>1761.862892173014</v>
      </c>
    </row>
    <row r="368">
      <c r="J368" t="n">
        <v>1886.06780719406</v>
      </c>
    </row>
    <row r="369">
      <c r="J369" t="n">
        <v>1768.906174106596</v>
      </c>
    </row>
    <row r="370">
      <c r="J370" t="n">
        <v>1907.852304322432</v>
      </c>
    </row>
    <row r="371">
      <c r="J371" t="n">
        <v>2071.993510386085</v>
      </c>
    </row>
    <row r="374">
      <c r="J374" t="n">
        <v>0</v>
      </c>
    </row>
    <row r="375">
      <c r="J375" t="n">
        <v>0</v>
      </c>
    </row>
    <row r="376">
      <c r="J376" t="n">
        <v>0</v>
      </c>
    </row>
    <row r="377">
      <c r="J377" t="n">
        <v>0</v>
      </c>
    </row>
    <row r="378">
      <c r="J378" t="n">
        <v>0</v>
      </c>
    </row>
    <row r="379">
      <c r="J379" t="n">
        <v>0</v>
      </c>
    </row>
    <row r="380">
      <c r="J380" t="n">
        <v>0</v>
      </c>
    </row>
    <row r="381">
      <c r="J381" t="n">
        <v>0</v>
      </c>
    </row>
    <row r="382">
      <c r="J382" t="n">
        <v>0</v>
      </c>
    </row>
    <row r="383">
      <c r="J383" t="n">
        <v>0</v>
      </c>
    </row>
    <row r="384">
      <c r="J384" t="n">
        <v>0</v>
      </c>
    </row>
    <row r="385">
      <c r="J385" t="n">
        <v>0</v>
      </c>
    </row>
    <row r="386">
      <c r="J386" t="n">
        <v>0</v>
      </c>
    </row>
    <row r="387">
      <c r="J387" t="n">
        <v>0</v>
      </c>
    </row>
    <row r="388">
      <c r="J388" t="n">
        <v>0</v>
      </c>
    </row>
    <row r="389">
      <c r="J389" t="n">
        <v>0</v>
      </c>
    </row>
    <row r="390">
      <c r="J390" t="n">
        <v>0</v>
      </c>
    </row>
    <row r="391">
      <c r="J391" t="n">
        <v>0</v>
      </c>
    </row>
    <row r="392">
      <c r="J392" t="n">
        <v>0</v>
      </c>
    </row>
    <row r="393">
      <c r="J393" t="n">
        <v>0</v>
      </c>
    </row>
    <row r="396">
      <c r="J396" t="n">
        <v>2.299162609993256</v>
      </c>
    </row>
    <row r="397">
      <c r="J397" t="n">
        <v>0.000308439046740716</v>
      </c>
    </row>
    <row r="398">
      <c r="J398" t="n">
        <v>0.0002896243558800744</v>
      </c>
    </row>
    <row r="399">
      <c r="J399" t="n">
        <v>0.0002450233503233035</v>
      </c>
    </row>
    <row r="400">
      <c r="J400" t="n">
        <v>0.0002036299614051881</v>
      </c>
    </row>
    <row r="401">
      <c r="J401" t="n">
        <v>0.4300559098523018</v>
      </c>
    </row>
    <row r="402">
      <c r="J402" t="n">
        <v>0.06308272549920496</v>
      </c>
    </row>
    <row r="403">
      <c r="J403" t="n">
        <v>0.04976175055678026</v>
      </c>
    </row>
    <row r="404">
      <c r="J404" t="n">
        <v>0.03410635596513343</v>
      </c>
    </row>
    <row r="405">
      <c r="J405" t="n">
        <v>0.02014624791374944</v>
      </c>
    </row>
    <row r="406">
      <c r="J406" t="n">
        <v>1.437559004427463</v>
      </c>
    </row>
    <row r="407">
      <c r="J407" t="n">
        <v>0.02608157743030536</v>
      </c>
    </row>
    <row r="408">
      <c r="J408" t="n">
        <v>0.02217840827883366</v>
      </c>
    </row>
    <row r="409">
      <c r="J409" t="n">
        <v>0.0151514134363247</v>
      </c>
    </row>
    <row r="410">
      <c r="J410" t="n">
        <v>0.008743741316096619</v>
      </c>
    </row>
    <row r="411">
      <c r="J411" t="n">
        <v>5.319199970695674</v>
      </c>
    </row>
    <row r="412">
      <c r="J412" t="n">
        <v>0.01746496166600117</v>
      </c>
    </row>
    <row r="413">
      <c r="J413" t="n">
        <v>0</v>
      </c>
    </row>
    <row r="414">
      <c r="J414" t="n">
        <v>0</v>
      </c>
    </row>
    <row r="415">
      <c r="J415" t="n">
        <v>0</v>
      </c>
    </row>
    <row r="418">
      <c r="J418" t="n">
        <v>3.449419159852502</v>
      </c>
    </row>
    <row r="419">
      <c r="J419" t="n">
        <v>2.701155538708126</v>
      </c>
    </row>
    <row r="420">
      <c r="J420" t="n">
        <v>3.529905946596251</v>
      </c>
    </row>
    <row r="421">
      <c r="J421" t="n">
        <v>3.043146413927583</v>
      </c>
    </row>
    <row r="422">
      <c r="J422" t="n">
        <v>3.354440073923795</v>
      </c>
    </row>
    <row r="423">
      <c r="J423" t="n">
        <v>1.078368051129613</v>
      </c>
    </row>
    <row r="424">
      <c r="J424" t="n">
        <v>1.022636932349835</v>
      </c>
    </row>
    <row r="425">
      <c r="J425" t="n">
        <v>1.279451099911967</v>
      </c>
    </row>
    <row r="426">
      <c r="J426" t="n">
        <v>0.6359068765431716</v>
      </c>
    </row>
    <row r="427">
      <c r="J427" t="n">
        <v>0.6535104762770848</v>
      </c>
    </row>
    <row r="428">
      <c r="J428" t="n">
        <v>2.622096845451544</v>
      </c>
    </row>
    <row r="429">
      <c r="J429" t="n">
        <v>2.455634668121689</v>
      </c>
    </row>
    <row r="430">
      <c r="J430" t="n">
        <v>3.425064734969573</v>
      </c>
    </row>
    <row r="431">
      <c r="J431" t="n">
        <v>0.6893761239822146</v>
      </c>
    </row>
    <row r="432">
      <c r="J432" t="n">
        <v>0.7462679637107601</v>
      </c>
    </row>
    <row r="433">
      <c r="J433" t="n">
        <v>121.69865356695</v>
      </c>
    </row>
    <row r="434">
      <c r="J434" t="n">
        <v>161.0817626431874</v>
      </c>
    </row>
    <row r="435">
      <c r="J435" t="n">
        <v>48.53146817629447</v>
      </c>
    </row>
    <row r="436">
      <c r="J436" t="n">
        <v>55.2369374206538</v>
      </c>
    </row>
    <row r="437">
      <c r="J437" t="n">
        <v>62.649715498094</v>
      </c>
    </row>
    <row r="440">
      <c r="J440" t="n">
        <v>525.1838589205927</v>
      </c>
    </row>
    <row r="441">
      <c r="J441" t="n">
        <v>604.5566498002918</v>
      </c>
    </row>
    <row r="442">
      <c r="J442" t="n">
        <v>689.0315973845132</v>
      </c>
    </row>
    <row r="443">
      <c r="J443" t="n">
        <v>753.3274715072354</v>
      </c>
    </row>
    <row r="444">
      <c r="J444" t="n">
        <v>802.0788771953059</v>
      </c>
    </row>
    <row r="445">
      <c r="J445" t="n">
        <v>219.4909986077141</v>
      </c>
    </row>
    <row r="446">
      <c r="J446" t="n">
        <v>252.0852008596956</v>
      </c>
    </row>
    <row r="447">
      <c r="J447" t="n">
        <v>284.255081185787</v>
      </c>
    </row>
    <row r="448">
      <c r="J448" t="n">
        <v>310.9689918444201</v>
      </c>
    </row>
    <row r="449">
      <c r="J449" t="n">
        <v>330.8465031921654</v>
      </c>
    </row>
    <row r="450">
      <c r="J450" t="n">
        <v>314.3152692346561</v>
      </c>
    </row>
    <row r="451">
      <c r="J451" t="n">
        <v>359.0486373883645</v>
      </c>
    </row>
    <row r="452">
      <c r="J452" t="n">
        <v>431.553047714914</v>
      </c>
    </row>
    <row r="453">
      <c r="J453" t="n">
        <v>467.9350820060268</v>
      </c>
    </row>
    <row r="454">
      <c r="J454" t="n">
        <v>488.3240465830963</v>
      </c>
    </row>
    <row r="455">
      <c r="J455" t="n">
        <v>1888.88074571066</v>
      </c>
    </row>
    <row r="456">
      <c r="J456" t="n">
        <v>2047.167034798913</v>
      </c>
    </row>
    <row r="457">
      <c r="J457" t="n">
        <v>1817.437642282891</v>
      </c>
    </row>
    <row r="458">
      <c r="J458" t="n">
        <v>1963.089241743085</v>
      </c>
    </row>
    <row r="459">
      <c r="J459" t="n">
        <v>2134.643225884179</v>
      </c>
    </row>
    <row r="462">
      <c r="J462" t="n">
        <v>0</v>
      </c>
    </row>
    <row r="463">
      <c r="J463" t="n">
        <v>0</v>
      </c>
    </row>
    <row r="464">
      <c r="J464" t="n">
        <v>0</v>
      </c>
    </row>
    <row r="465">
      <c r="J465" t="n">
        <v>0</v>
      </c>
    </row>
    <row r="466">
      <c r="J466" t="n">
        <v>0</v>
      </c>
    </row>
    <row r="467">
      <c r="J467" t="n">
        <v>0</v>
      </c>
    </row>
    <row r="468">
      <c r="J468" t="n">
        <v>0</v>
      </c>
    </row>
    <row r="469">
      <c r="J469" t="n">
        <v>0</v>
      </c>
    </row>
    <row r="470">
      <c r="J470" t="n">
        <v>0</v>
      </c>
    </row>
    <row r="471">
      <c r="J471" t="n">
        <v>0</v>
      </c>
    </row>
    <row r="472">
      <c r="J472" t="n">
        <v>0</v>
      </c>
    </row>
    <row r="473">
      <c r="J473" t="n">
        <v>0</v>
      </c>
    </row>
    <row r="474">
      <c r="J474" t="n">
        <v>0</v>
      </c>
    </row>
    <row r="475">
      <c r="J475" t="n">
        <v>0</v>
      </c>
    </row>
    <row r="476">
      <c r="J476" t="n">
        <v>0</v>
      </c>
    </row>
    <row r="477">
      <c r="J477" t="n">
        <v>0</v>
      </c>
    </row>
    <row r="478">
      <c r="J478" t="n">
        <v>0</v>
      </c>
    </row>
    <row r="479">
      <c r="J479" t="n">
        <v>0</v>
      </c>
    </row>
    <row r="480">
      <c r="J480" t="n">
        <v>0</v>
      </c>
    </row>
    <row r="481">
      <c r="J481" t="n">
        <v>0</v>
      </c>
    </row>
    <row r="484">
      <c r="J484" t="n">
        <v>412143.1347175462</v>
      </c>
    </row>
    <row r="485">
      <c r="J485" t="n">
        <v>386934.141548626</v>
      </c>
    </row>
    <row r="486">
      <c r="J486" t="n">
        <v>401674.1815120903</v>
      </c>
    </row>
    <row r="487">
      <c r="J487" t="n">
        <v>470302.6155958639</v>
      </c>
    </row>
    <row r="488">
      <c r="J488" t="n">
        <v>547353.349906225</v>
      </c>
    </row>
    <row r="489">
      <c r="J489" t="n">
        <v>24202620.98196328</v>
      </c>
    </row>
    <row r="490">
      <c r="J490" t="n">
        <v>25599286.34348046</v>
      </c>
    </row>
    <row r="491">
      <c r="J491" t="n">
        <v>27569693.19591773</v>
      </c>
    </row>
    <row r="492">
      <c r="J492" t="n">
        <v>31005953.44301948</v>
      </c>
    </row>
    <row r="493">
      <c r="J493" t="n">
        <v>34168429.17183735</v>
      </c>
    </row>
    <row r="494">
      <c r="J494" t="n">
        <v>17154712.13471001</v>
      </c>
    </row>
    <row r="495">
      <c r="J495" t="n">
        <v>14738499.46631406</v>
      </c>
    </row>
    <row r="496">
      <c r="J496" t="n">
        <v>14332079.38727344</v>
      </c>
    </row>
    <row r="497">
      <c r="J497" t="n">
        <v>16114449.42902615</v>
      </c>
    </row>
    <row r="498">
      <c r="J498" t="n">
        <v>18102749.87349657</v>
      </c>
    </row>
    <row r="499">
      <c r="J499" t="n">
        <v>20836198.65102831</v>
      </c>
    </row>
    <row r="500">
      <c r="J500" t="n">
        <v>22807138.46443417</v>
      </c>
    </row>
    <row r="501">
      <c r="J501" t="n">
        <v>21153610.31470705</v>
      </c>
    </row>
    <row r="502">
      <c r="J502" t="n">
        <v>24182837.52191208</v>
      </c>
    </row>
    <row r="503">
      <c r="J503" t="n">
        <v>27815521.40599475</v>
      </c>
    </row>
    <row r="506">
      <c r="J506" t="n">
        <v>0</v>
      </c>
    </row>
    <row r="507">
      <c r="J507" t="n">
        <v>0</v>
      </c>
    </row>
    <row r="508">
      <c r="J508" t="n">
        <v>0</v>
      </c>
    </row>
    <row r="509">
      <c r="J509" t="n">
        <v>0</v>
      </c>
    </row>
    <row r="510">
      <c r="J510" t="n">
        <v>0</v>
      </c>
    </row>
    <row r="511">
      <c r="J511" t="n">
        <v>0</v>
      </c>
    </row>
    <row r="512">
      <c r="J512" t="n">
        <v>0</v>
      </c>
    </row>
    <row r="513">
      <c r="J513" t="n">
        <v>0</v>
      </c>
    </row>
    <row r="514">
      <c r="J514" t="n">
        <v>0</v>
      </c>
    </row>
    <row r="515">
      <c r="J515" t="n">
        <v>0</v>
      </c>
    </row>
    <row r="516">
      <c r="J516" t="n">
        <v>0</v>
      </c>
    </row>
    <row r="517">
      <c r="J517" t="n">
        <v>0</v>
      </c>
    </row>
    <row r="518">
      <c r="J518" t="n">
        <v>0</v>
      </c>
    </row>
    <row r="519">
      <c r="J519" t="n">
        <v>0</v>
      </c>
    </row>
    <row r="520">
      <c r="J520" t="n">
        <v>0</v>
      </c>
    </row>
    <row r="521">
      <c r="J521" t="n">
        <v>0</v>
      </c>
    </row>
    <row r="522">
      <c r="J522" t="n">
        <v>0</v>
      </c>
    </row>
    <row r="523">
      <c r="J523" t="n">
        <v>0</v>
      </c>
    </row>
    <row r="524">
      <c r="J524" t="n">
        <v>0</v>
      </c>
    </row>
    <row r="525">
      <c r="J525" t="n">
        <v>0</v>
      </c>
    </row>
    <row r="526">
      <c r="J526" t="n">
        <v>0</v>
      </c>
    </row>
    <row r="527">
      <c r="J527" t="n">
        <v>0</v>
      </c>
    </row>
    <row r="528">
      <c r="J528" t="n">
        <v>0</v>
      </c>
    </row>
    <row r="529">
      <c r="J529" t="n">
        <v>0</v>
      </c>
    </row>
    <row r="530">
      <c r="J530" t="n">
        <v>0</v>
      </c>
    </row>
    <row r="531">
      <c r="J531" t="n">
        <v>0</v>
      </c>
    </row>
    <row r="532">
      <c r="J532" t="n">
        <v>0</v>
      </c>
    </row>
    <row r="533">
      <c r="J533" t="n">
        <v>0</v>
      </c>
    </row>
    <row r="534">
      <c r="J534" t="n">
        <v>0</v>
      </c>
    </row>
    <row r="535">
      <c r="J535" t="n">
        <v>0</v>
      </c>
    </row>
    <row r="536">
      <c r="J536" t="n">
        <v>0</v>
      </c>
    </row>
    <row r="537">
      <c r="J537" t="n">
        <v>0</v>
      </c>
    </row>
    <row r="538">
      <c r="J538" t="n">
        <v>0</v>
      </c>
    </row>
    <row r="539">
      <c r="J539" t="n">
        <v>0</v>
      </c>
    </row>
    <row r="540">
      <c r="J540" t="n">
        <v>0</v>
      </c>
    </row>
    <row r="541">
      <c r="J541" t="n">
        <v>0</v>
      </c>
    </row>
    <row r="542">
      <c r="J542" t="n">
        <v>0</v>
      </c>
    </row>
    <row r="543">
      <c r="J543" t="n">
        <v>0</v>
      </c>
    </row>
    <row r="544">
      <c r="J544" t="n">
        <v>0</v>
      </c>
    </row>
    <row r="545">
      <c r="J545" t="n">
        <v>0</v>
      </c>
    </row>
    <row r="548">
      <c r="J548" t="n">
        <v>0</v>
      </c>
    </row>
    <row r="549">
      <c r="J549" t="n">
        <v>0</v>
      </c>
    </row>
    <row r="550">
      <c r="J550" t="n">
        <v>0</v>
      </c>
    </row>
    <row r="551">
      <c r="J551" t="n">
        <v>0</v>
      </c>
    </row>
    <row r="552">
      <c r="J552" t="n">
        <v>0</v>
      </c>
    </row>
    <row r="553">
      <c r="J553" t="n">
        <v>0</v>
      </c>
    </row>
    <row r="554">
      <c r="J554" t="n">
        <v>0</v>
      </c>
    </row>
    <row r="555">
      <c r="J555" t="n">
        <v>0</v>
      </c>
    </row>
    <row r="556">
      <c r="J556" t="n">
        <v>0</v>
      </c>
    </row>
    <row r="557">
      <c r="J557" t="n">
        <v>0</v>
      </c>
    </row>
    <row r="558">
      <c r="J558" t="n">
        <v>0</v>
      </c>
    </row>
    <row r="559">
      <c r="J559" t="n">
        <v>0</v>
      </c>
    </row>
    <row r="560">
      <c r="J560" t="n">
        <v>0</v>
      </c>
    </row>
    <row r="561">
      <c r="J561" t="n">
        <v>0</v>
      </c>
    </row>
    <row r="562">
      <c r="J562" t="n">
        <v>0</v>
      </c>
    </row>
    <row r="563">
      <c r="J563" t="n">
        <v>0</v>
      </c>
    </row>
    <row r="564">
      <c r="J564" t="n">
        <v>0</v>
      </c>
    </row>
    <row r="565">
      <c r="J565" t="n">
        <v>0</v>
      </c>
    </row>
    <row r="566">
      <c r="J566" t="n">
        <v>0</v>
      </c>
    </row>
    <row r="567">
      <c r="J567" t="n">
        <v>0</v>
      </c>
    </row>
    <row r="568">
      <c r="J568" t="n">
        <v>0</v>
      </c>
    </row>
    <row r="569">
      <c r="J569" t="n">
        <v>0</v>
      </c>
    </row>
    <row r="570">
      <c r="J570" t="n">
        <v>0</v>
      </c>
    </row>
    <row r="571">
      <c r="J571" t="n">
        <v>0</v>
      </c>
    </row>
    <row r="572">
      <c r="J572" t="n">
        <v>0</v>
      </c>
    </row>
    <row r="573">
      <c r="J573" t="n">
        <v>0</v>
      </c>
    </row>
    <row r="574">
      <c r="J574" t="n">
        <v>0</v>
      </c>
    </row>
    <row r="575">
      <c r="J575" t="n">
        <v>0</v>
      </c>
    </row>
    <row r="576">
      <c r="J576" t="n">
        <v>0</v>
      </c>
    </row>
    <row r="577">
      <c r="J577" t="n">
        <v>0</v>
      </c>
    </row>
    <row r="578">
      <c r="J578" t="n">
        <v>0</v>
      </c>
    </row>
    <row r="579">
      <c r="J579" t="n">
        <v>0</v>
      </c>
    </row>
    <row r="580">
      <c r="J580" t="n">
        <v>0</v>
      </c>
    </row>
    <row r="581">
      <c r="J581" t="n">
        <v>0</v>
      </c>
    </row>
    <row r="582">
      <c r="J582" t="n">
        <v>0</v>
      </c>
    </row>
    <row r="583">
      <c r="J583" t="n">
        <v>0</v>
      </c>
    </row>
    <row r="584">
      <c r="J584" t="n">
        <v>0</v>
      </c>
    </row>
    <row r="585">
      <c r="J585" t="n">
        <v>0</v>
      </c>
    </row>
    <row r="586">
      <c r="J586" t="n">
        <v>0</v>
      </c>
    </row>
    <row r="587">
      <c r="J587" t="n">
        <v>0</v>
      </c>
    </row>
    <row r="590">
      <c r="J590" t="n">
        <v>0</v>
      </c>
    </row>
    <row r="591">
      <c r="J591" t="n">
        <v>0</v>
      </c>
    </row>
    <row r="592">
      <c r="J592" t="n">
        <v>0</v>
      </c>
    </row>
    <row r="593">
      <c r="J593" t="n">
        <v>0</v>
      </c>
    </row>
    <row r="594">
      <c r="J594" t="n">
        <v>0</v>
      </c>
    </row>
    <row r="595">
      <c r="J595" t="n">
        <v>0</v>
      </c>
    </row>
    <row r="596">
      <c r="J596" t="n">
        <v>0</v>
      </c>
    </row>
    <row r="597">
      <c r="J597" t="n">
        <v>0</v>
      </c>
    </row>
    <row r="598">
      <c r="J598" t="n">
        <v>0</v>
      </c>
    </row>
    <row r="599">
      <c r="J599" t="n">
        <v>0</v>
      </c>
    </row>
    <row r="600">
      <c r="J600" t="n">
        <v>0</v>
      </c>
    </row>
    <row r="601">
      <c r="J601" t="n">
        <v>0</v>
      </c>
    </row>
    <row r="602">
      <c r="J602" t="n">
        <v>0</v>
      </c>
    </row>
    <row r="603">
      <c r="J603" t="n">
        <v>0</v>
      </c>
    </row>
    <row r="604">
      <c r="J604" t="n">
        <v>0</v>
      </c>
    </row>
    <row r="605">
      <c r="J605" t="n">
        <v>0</v>
      </c>
    </row>
    <row r="606">
      <c r="J606" t="n">
        <v>0</v>
      </c>
    </row>
    <row r="607">
      <c r="J607" t="n">
        <v>0</v>
      </c>
    </row>
    <row r="608">
      <c r="J608" t="n">
        <v>0</v>
      </c>
    </row>
    <row r="609">
      <c r="J609" t="n">
        <v>0</v>
      </c>
    </row>
    <row r="610">
      <c r="J610" t="n">
        <v>0</v>
      </c>
    </row>
    <row r="611">
      <c r="J611" t="n">
        <v>0</v>
      </c>
    </row>
    <row r="612">
      <c r="J612" t="n">
        <v>0</v>
      </c>
    </row>
    <row r="613">
      <c r="J613" t="n">
        <v>0</v>
      </c>
    </row>
    <row r="614">
      <c r="J614" t="n">
        <v>0</v>
      </c>
    </row>
    <row r="615">
      <c r="J615" t="n">
        <v>0</v>
      </c>
    </row>
    <row r="616">
      <c r="J616" t="n">
        <v>0</v>
      </c>
    </row>
    <row r="617">
      <c r="J617" t="n">
        <v>0</v>
      </c>
    </row>
    <row r="618">
      <c r="J618" t="n">
        <v>0</v>
      </c>
    </row>
    <row r="619">
      <c r="J619" t="n">
        <v>0</v>
      </c>
    </row>
    <row r="620">
      <c r="J620" t="n">
        <v>0</v>
      </c>
    </row>
    <row r="621">
      <c r="J621" t="n">
        <v>0</v>
      </c>
    </row>
    <row r="622">
      <c r="J622" t="n">
        <v>0</v>
      </c>
    </row>
    <row r="623">
      <c r="J623" t="n">
        <v>0</v>
      </c>
    </row>
    <row r="624">
      <c r="J624" t="n">
        <v>0</v>
      </c>
    </row>
    <row r="625">
      <c r="J625" t="n">
        <v>0</v>
      </c>
    </row>
    <row r="626">
      <c r="J626" t="n">
        <v>0</v>
      </c>
    </row>
    <row r="627">
      <c r="J627" t="n">
        <v>0</v>
      </c>
    </row>
    <row r="628">
      <c r="J628" t="n">
        <v>0</v>
      </c>
    </row>
    <row r="629">
      <c r="J629" t="n">
        <v>0</v>
      </c>
    </row>
    <row r="632">
      <c r="J632" t="n">
        <v>0</v>
      </c>
    </row>
    <row r="633">
      <c r="J633" t="n">
        <v>0</v>
      </c>
    </row>
    <row r="634">
      <c r="J634" t="n">
        <v>0</v>
      </c>
    </row>
    <row r="635">
      <c r="J635" t="n">
        <v>0</v>
      </c>
    </row>
    <row r="636">
      <c r="J636" t="n">
        <v>0</v>
      </c>
    </row>
    <row r="637">
      <c r="J637" t="n">
        <v>0</v>
      </c>
    </row>
    <row r="638">
      <c r="J638" t="n">
        <v>0</v>
      </c>
    </row>
    <row r="639">
      <c r="J639" t="n">
        <v>0</v>
      </c>
    </row>
    <row r="640">
      <c r="J640" t="n">
        <v>0</v>
      </c>
    </row>
    <row r="641">
      <c r="J641" t="n">
        <v>0</v>
      </c>
    </row>
    <row r="642">
      <c r="J642" t="n">
        <v>0</v>
      </c>
    </row>
    <row r="643">
      <c r="J643" t="n">
        <v>0</v>
      </c>
    </row>
    <row r="644">
      <c r="J644" t="n">
        <v>0</v>
      </c>
    </row>
    <row r="645">
      <c r="J645" t="n">
        <v>0</v>
      </c>
    </row>
    <row r="646">
      <c r="J646" t="n">
        <v>0</v>
      </c>
    </row>
    <row r="647">
      <c r="J647" t="n">
        <v>0</v>
      </c>
    </row>
    <row r="648">
      <c r="J648" t="n">
        <v>0</v>
      </c>
    </row>
    <row r="649">
      <c r="J649" t="n">
        <v>0</v>
      </c>
    </row>
    <row r="650">
      <c r="J650" t="n">
        <v>0</v>
      </c>
    </row>
    <row r="651">
      <c r="J651" t="n">
        <v>0</v>
      </c>
    </row>
    <row r="652">
      <c r="J652" t="n">
        <v>0</v>
      </c>
    </row>
    <row r="653">
      <c r="J653" t="n">
        <v>0</v>
      </c>
    </row>
    <row r="654">
      <c r="J654" t="n">
        <v>0</v>
      </c>
    </row>
    <row r="655">
      <c r="J655" t="n">
        <v>0</v>
      </c>
    </row>
    <row r="656">
      <c r="J656" t="n">
        <v>0</v>
      </c>
    </row>
    <row r="657">
      <c r="J657" t="n">
        <v>0</v>
      </c>
    </row>
    <row r="658">
      <c r="J658" t="n">
        <v>0</v>
      </c>
    </row>
    <row r="659">
      <c r="J659" t="n">
        <v>0</v>
      </c>
    </row>
    <row r="660">
      <c r="J660" t="n">
        <v>0</v>
      </c>
    </row>
    <row r="661">
      <c r="J661" t="n">
        <v>0</v>
      </c>
    </row>
    <row r="662">
      <c r="J662" t="n">
        <v>0</v>
      </c>
    </row>
    <row r="663">
      <c r="J663" t="n">
        <v>0</v>
      </c>
    </row>
    <row r="664">
      <c r="J664" t="n">
        <v>0</v>
      </c>
    </row>
    <row r="665">
      <c r="J665" t="n">
        <v>0</v>
      </c>
    </row>
    <row r="666">
      <c r="J666" t="n">
        <v>0</v>
      </c>
    </row>
    <row r="667">
      <c r="J667" t="n">
        <v>0</v>
      </c>
    </row>
    <row r="668">
      <c r="J668" t="n">
        <v>0</v>
      </c>
    </row>
    <row r="669">
      <c r="J669" t="n">
        <v>0</v>
      </c>
    </row>
    <row r="670">
      <c r="J670" t="n">
        <v>0</v>
      </c>
    </row>
    <row r="671">
      <c r="J671" t="n">
        <v>0</v>
      </c>
    </row>
    <row r="674">
      <c r="J674" t="n">
        <v>0</v>
      </c>
    </row>
    <row r="675">
      <c r="J675" t="n">
        <v>0</v>
      </c>
    </row>
    <row r="676">
      <c r="J676" t="n">
        <v>0</v>
      </c>
    </row>
    <row r="677">
      <c r="J677" t="n">
        <v>0</v>
      </c>
    </row>
    <row r="678">
      <c r="J678" t="n">
        <v>0</v>
      </c>
    </row>
    <row r="679">
      <c r="J679" t="n">
        <v>0</v>
      </c>
    </row>
    <row r="680">
      <c r="J680" t="n">
        <v>0</v>
      </c>
    </row>
    <row r="681">
      <c r="J681" t="n">
        <v>0</v>
      </c>
    </row>
    <row r="682">
      <c r="J682" t="n">
        <v>0</v>
      </c>
    </row>
    <row r="683">
      <c r="J683" t="n">
        <v>0</v>
      </c>
    </row>
    <row r="684">
      <c r="J684" t="n">
        <v>0</v>
      </c>
    </row>
    <row r="685">
      <c r="J685" t="n">
        <v>0</v>
      </c>
    </row>
    <row r="686">
      <c r="J686" t="n">
        <v>0</v>
      </c>
    </row>
    <row r="687">
      <c r="J687" t="n">
        <v>0</v>
      </c>
    </row>
    <row r="688">
      <c r="J688" t="n">
        <v>0</v>
      </c>
    </row>
    <row r="689">
      <c r="J689" t="n">
        <v>0</v>
      </c>
    </row>
    <row r="690">
      <c r="J690" t="n">
        <v>0</v>
      </c>
    </row>
    <row r="691">
      <c r="J691" t="n">
        <v>0</v>
      </c>
    </row>
    <row r="692">
      <c r="J692" t="n">
        <v>0</v>
      </c>
    </row>
    <row r="693">
      <c r="J693" t="n">
        <v>0</v>
      </c>
    </row>
    <row r="694">
      <c r="J694" t="n">
        <v>0</v>
      </c>
    </row>
    <row r="695">
      <c r="J695" t="n">
        <v>0</v>
      </c>
    </row>
    <row r="696">
      <c r="J696" t="n">
        <v>0</v>
      </c>
    </row>
    <row r="697">
      <c r="J697" t="n">
        <v>0</v>
      </c>
    </row>
    <row r="700">
      <c r="J700" t="n">
        <v>0</v>
      </c>
    </row>
    <row r="701">
      <c r="J701" t="n">
        <v>0</v>
      </c>
    </row>
    <row r="702">
      <c r="J702" t="n">
        <v>0</v>
      </c>
    </row>
    <row r="703">
      <c r="J703" t="n">
        <v>0</v>
      </c>
    </row>
    <row r="704">
      <c r="J704" t="n">
        <v>0</v>
      </c>
    </row>
    <row r="705">
      <c r="J705" t="n">
        <v>0</v>
      </c>
    </row>
    <row r="706">
      <c r="J706" t="n">
        <v>0</v>
      </c>
    </row>
    <row r="707">
      <c r="J707" t="n">
        <v>0</v>
      </c>
    </row>
    <row r="708">
      <c r="J708" t="n">
        <v>0</v>
      </c>
    </row>
    <row r="709">
      <c r="J709" t="n">
        <v>0</v>
      </c>
    </row>
    <row r="710">
      <c r="J710" t="n">
        <v>0</v>
      </c>
    </row>
    <row r="711">
      <c r="J711" t="n">
        <v>0</v>
      </c>
    </row>
    <row r="712">
      <c r="J712" t="n">
        <v>0</v>
      </c>
    </row>
    <row r="713">
      <c r="J713" t="n">
        <v>0</v>
      </c>
    </row>
    <row r="714">
      <c r="J714" t="n">
        <v>0</v>
      </c>
    </row>
    <row r="715">
      <c r="J715" t="n">
        <v>0</v>
      </c>
    </row>
    <row r="716">
      <c r="J716" t="n">
        <v>0</v>
      </c>
    </row>
    <row r="717">
      <c r="J717" t="n">
        <v>0</v>
      </c>
    </row>
    <row r="718">
      <c r="J718" t="n">
        <v>0</v>
      </c>
    </row>
    <row r="719">
      <c r="J719" t="n">
        <v>0</v>
      </c>
    </row>
    <row r="720">
      <c r="J720" t="n">
        <v>0</v>
      </c>
    </row>
    <row r="721">
      <c r="J721" t="n">
        <v>0</v>
      </c>
    </row>
    <row r="722">
      <c r="J722" t="n">
        <v>0</v>
      </c>
    </row>
    <row r="723">
      <c r="J723" t="n">
        <v>0</v>
      </c>
    </row>
    <row r="726">
      <c r="J726" t="n">
        <v>0</v>
      </c>
    </row>
    <row r="727">
      <c r="J727" t="n">
        <v>0</v>
      </c>
    </row>
    <row r="728">
      <c r="J728" t="n">
        <v>0</v>
      </c>
    </row>
    <row r="729">
      <c r="J729" t="n">
        <v>0</v>
      </c>
    </row>
    <row r="730">
      <c r="J730" t="n">
        <v>0</v>
      </c>
    </row>
    <row r="731">
      <c r="J731" t="n">
        <v>0</v>
      </c>
    </row>
    <row r="732">
      <c r="J732" t="n">
        <v>0</v>
      </c>
    </row>
    <row r="733">
      <c r="J733" t="n">
        <v>0</v>
      </c>
    </row>
    <row r="734">
      <c r="J734" t="n">
        <v>0</v>
      </c>
    </row>
    <row r="735">
      <c r="J735" t="n">
        <v>0</v>
      </c>
    </row>
    <row r="736">
      <c r="J736" t="n">
        <v>0</v>
      </c>
    </row>
    <row r="737">
      <c r="J737" t="n">
        <v>0</v>
      </c>
    </row>
    <row r="738">
      <c r="J738" t="n">
        <v>0</v>
      </c>
    </row>
    <row r="739">
      <c r="J739" t="n">
        <v>0</v>
      </c>
    </row>
    <row r="740">
      <c r="J740" t="n">
        <v>0</v>
      </c>
    </row>
    <row r="741">
      <c r="J741" t="n">
        <v>0</v>
      </c>
    </row>
    <row r="742">
      <c r="J742" t="n">
        <v>0</v>
      </c>
    </row>
    <row r="743">
      <c r="J743" t="n">
        <v>0</v>
      </c>
    </row>
    <row r="744">
      <c r="J744" t="n">
        <v>0</v>
      </c>
    </row>
    <row r="745">
      <c r="J745" t="n">
        <v>0</v>
      </c>
    </row>
    <row r="746">
      <c r="J746" t="n">
        <v>0</v>
      </c>
    </row>
    <row r="747">
      <c r="J747" t="n">
        <v>0</v>
      </c>
    </row>
    <row r="748">
      <c r="J748" t="n">
        <v>0</v>
      </c>
    </row>
    <row r="749">
      <c r="J749" t="n">
        <v>0</v>
      </c>
    </row>
    <row r="752">
      <c r="J752" t="n">
        <v>0</v>
      </c>
    </row>
    <row r="753">
      <c r="J753" t="n">
        <v>0</v>
      </c>
    </row>
    <row r="754">
      <c r="J754" t="n">
        <v>0</v>
      </c>
    </row>
    <row r="755">
      <c r="J755" t="n">
        <v>0</v>
      </c>
    </row>
    <row r="756">
      <c r="J756" t="n">
        <v>0</v>
      </c>
    </row>
    <row r="757">
      <c r="J757" t="n">
        <v>0</v>
      </c>
    </row>
    <row r="758">
      <c r="J758" t="n">
        <v>0</v>
      </c>
    </row>
    <row r="759">
      <c r="J759" t="n">
        <v>0</v>
      </c>
    </row>
    <row r="760">
      <c r="J760" t="n">
        <v>0</v>
      </c>
    </row>
    <row r="761">
      <c r="J761" t="n">
        <v>0</v>
      </c>
    </row>
    <row r="762">
      <c r="J762" t="n">
        <v>0</v>
      </c>
    </row>
    <row r="763">
      <c r="J763" t="n">
        <v>0</v>
      </c>
    </row>
    <row r="764">
      <c r="J764" t="n">
        <v>0</v>
      </c>
    </row>
    <row r="765">
      <c r="J765" t="n">
        <v>0</v>
      </c>
    </row>
    <row r="766">
      <c r="J766" t="n">
        <v>0</v>
      </c>
    </row>
    <row r="767">
      <c r="J767" t="n">
        <v>0</v>
      </c>
    </row>
    <row r="768">
      <c r="J768" t="n">
        <v>0</v>
      </c>
    </row>
    <row r="769">
      <c r="J769" t="n">
        <v>0</v>
      </c>
    </row>
    <row r="770">
      <c r="J770" t="n">
        <v>0</v>
      </c>
    </row>
    <row r="771">
      <c r="J771" t="n">
        <v>0</v>
      </c>
    </row>
    <row r="772">
      <c r="J772" t="n">
        <v>0</v>
      </c>
    </row>
    <row r="773">
      <c r="J773" t="n">
        <v>0</v>
      </c>
    </row>
    <row r="774">
      <c r="J774" t="n">
        <v>0</v>
      </c>
    </row>
    <row r="775">
      <c r="J775" t="n">
        <v>0</v>
      </c>
    </row>
    <row r="778">
      <c r="J778" t="n">
        <v>0</v>
      </c>
    </row>
    <row r="779">
      <c r="J779" t="n">
        <v>0</v>
      </c>
    </row>
    <row r="780">
      <c r="J780" t="n">
        <v>0</v>
      </c>
    </row>
    <row r="781">
      <c r="J781" t="n">
        <v>0</v>
      </c>
    </row>
    <row r="782">
      <c r="J782" t="n">
        <v>0</v>
      </c>
    </row>
    <row r="783">
      <c r="J783" t="n">
        <v>0</v>
      </c>
    </row>
    <row r="784">
      <c r="J784" t="n">
        <v>0</v>
      </c>
    </row>
    <row r="785">
      <c r="J785" t="n">
        <v>0</v>
      </c>
    </row>
    <row r="786">
      <c r="J786" t="n">
        <v>0</v>
      </c>
    </row>
    <row r="787">
      <c r="J787" t="n">
        <v>0</v>
      </c>
    </row>
    <row r="788">
      <c r="J788" t="n">
        <v>0</v>
      </c>
    </row>
    <row r="789">
      <c r="J789" t="n">
        <v>0</v>
      </c>
    </row>
    <row r="790">
      <c r="J790" t="n">
        <v>0</v>
      </c>
    </row>
    <row r="791">
      <c r="J791" t="n">
        <v>0</v>
      </c>
    </row>
    <row r="792">
      <c r="J792" t="n">
        <v>0</v>
      </c>
    </row>
    <row r="793">
      <c r="J793" t="n">
        <v>0</v>
      </c>
    </row>
    <row r="794">
      <c r="J794" t="n">
        <v>0</v>
      </c>
    </row>
    <row r="795">
      <c r="J795" t="n">
        <v>0</v>
      </c>
    </row>
    <row r="796">
      <c r="J796" t="n">
        <v>0</v>
      </c>
    </row>
    <row r="797">
      <c r="J797" t="n">
        <v>0</v>
      </c>
    </row>
    <row r="798">
      <c r="J798" t="n">
        <v>0</v>
      </c>
    </row>
    <row r="799">
      <c r="J799" t="n">
        <v>0</v>
      </c>
    </row>
    <row r="800">
      <c r="J800" t="n">
        <v>0</v>
      </c>
    </row>
    <row r="801">
      <c r="J801" t="n">
        <v>0</v>
      </c>
    </row>
    <row r="802">
      <c r="J802" t="n">
        <v>0</v>
      </c>
    </row>
    <row r="803">
      <c r="J803" t="n">
        <v>0</v>
      </c>
    </row>
    <row r="804">
      <c r="J804" t="n">
        <v>0</v>
      </c>
    </row>
    <row r="805">
      <c r="J805" t="n">
        <v>0</v>
      </c>
    </row>
    <row r="806">
      <c r="J806" t="n">
        <v>0</v>
      </c>
    </row>
    <row r="807">
      <c r="J807" t="n">
        <v>0</v>
      </c>
    </row>
    <row r="808">
      <c r="J808" t="n">
        <v>0</v>
      </c>
    </row>
    <row r="809">
      <c r="J809" t="n">
        <v>0</v>
      </c>
    </row>
    <row r="810">
      <c r="J810" t="n">
        <v>0</v>
      </c>
    </row>
    <row r="811">
      <c r="J811" t="n">
        <v>0</v>
      </c>
    </row>
    <row r="812">
      <c r="J812" t="n">
        <v>0</v>
      </c>
    </row>
    <row r="813">
      <c r="J813" t="n">
        <v>0</v>
      </c>
    </row>
    <row r="814">
      <c r="J814" t="n">
        <v>0</v>
      </c>
    </row>
    <row r="815">
      <c r="J815" t="n">
        <v>0</v>
      </c>
    </row>
    <row r="816">
      <c r="J816" t="n">
        <v>0</v>
      </c>
    </row>
    <row r="817">
      <c r="J817" t="n">
        <v>0</v>
      </c>
    </row>
    <row r="820">
      <c r="J820" t="n">
        <v>0</v>
      </c>
    </row>
    <row r="821">
      <c r="J821" t="n">
        <v>0</v>
      </c>
    </row>
    <row r="822">
      <c r="J822" t="n">
        <v>0</v>
      </c>
    </row>
    <row r="823">
      <c r="J823" t="n">
        <v>0</v>
      </c>
    </row>
    <row r="824">
      <c r="J824" t="n">
        <v>0</v>
      </c>
    </row>
    <row r="825">
      <c r="J825" t="n">
        <v>0</v>
      </c>
    </row>
    <row r="826">
      <c r="J826" t="n">
        <v>0</v>
      </c>
    </row>
    <row r="827">
      <c r="J827" t="n">
        <v>0</v>
      </c>
    </row>
    <row r="828">
      <c r="J828" t="n">
        <v>0</v>
      </c>
    </row>
    <row r="829">
      <c r="J829" t="n">
        <v>0</v>
      </c>
    </row>
    <row r="830">
      <c r="J830" t="n">
        <v>0</v>
      </c>
    </row>
    <row r="831">
      <c r="J831" t="n">
        <v>0</v>
      </c>
    </row>
    <row r="832">
      <c r="J832" t="n">
        <v>0</v>
      </c>
    </row>
    <row r="833">
      <c r="J833" t="n">
        <v>0</v>
      </c>
    </row>
    <row r="834">
      <c r="J834" t="n">
        <v>0</v>
      </c>
    </row>
    <row r="835">
      <c r="J835" t="n">
        <v>0</v>
      </c>
    </row>
    <row r="836">
      <c r="J836" t="n">
        <v>0</v>
      </c>
    </row>
    <row r="837">
      <c r="J837" t="n">
        <v>0</v>
      </c>
    </row>
    <row r="838">
      <c r="J838" t="n">
        <v>0</v>
      </c>
    </row>
    <row r="839">
      <c r="J839" t="n">
        <v>0</v>
      </c>
    </row>
    <row r="840">
      <c r="J840" t="n">
        <v>0</v>
      </c>
    </row>
    <row r="841">
      <c r="J841" t="n">
        <v>0</v>
      </c>
    </row>
    <row r="842">
      <c r="J842" t="n">
        <v>0</v>
      </c>
    </row>
    <row r="843">
      <c r="J843" t="n">
        <v>0</v>
      </c>
    </row>
    <row r="844">
      <c r="J844" t="n">
        <v>0</v>
      </c>
    </row>
    <row r="845">
      <c r="J845" t="n">
        <v>0</v>
      </c>
    </row>
    <row r="846">
      <c r="J846" t="n">
        <v>0</v>
      </c>
    </row>
    <row r="847">
      <c r="J847" t="n">
        <v>0</v>
      </c>
    </row>
    <row r="848">
      <c r="J848" t="n">
        <v>0</v>
      </c>
    </row>
    <row r="849">
      <c r="J849" t="n">
        <v>0</v>
      </c>
    </row>
    <row r="850">
      <c r="J850" t="n">
        <v>0</v>
      </c>
    </row>
    <row r="851">
      <c r="J851" t="n">
        <v>0</v>
      </c>
    </row>
    <row r="852">
      <c r="J852" t="n">
        <v>0</v>
      </c>
    </row>
    <row r="853">
      <c r="J853" t="n">
        <v>0</v>
      </c>
    </row>
    <row r="854">
      <c r="J854" t="n">
        <v>0</v>
      </c>
    </row>
    <row r="855">
      <c r="J855" t="n">
        <v>0</v>
      </c>
    </row>
    <row r="856">
      <c r="J856" t="n">
        <v>0</v>
      </c>
    </row>
    <row r="857">
      <c r="J857" t="n">
        <v>0</v>
      </c>
    </row>
    <row r="858">
      <c r="J858" t="n">
        <v>0</v>
      </c>
    </row>
    <row r="859">
      <c r="J859" t="n">
        <v>0</v>
      </c>
    </row>
    <row r="862">
      <c r="J862" t="n">
        <v>0</v>
      </c>
    </row>
    <row r="863">
      <c r="J863" t="n">
        <v>0</v>
      </c>
    </row>
    <row r="864">
      <c r="J864" t="n">
        <v>0</v>
      </c>
    </row>
    <row r="865">
      <c r="J865" t="n">
        <v>0</v>
      </c>
    </row>
    <row r="866">
      <c r="J866" t="n">
        <v>0</v>
      </c>
    </row>
    <row r="867">
      <c r="J867" t="n">
        <v>0</v>
      </c>
    </row>
    <row r="868">
      <c r="J868" t="n">
        <v>0</v>
      </c>
    </row>
    <row r="869">
      <c r="J869" t="n">
        <v>0</v>
      </c>
    </row>
    <row r="870">
      <c r="J870" t="n">
        <v>0</v>
      </c>
    </row>
    <row r="871">
      <c r="J871" t="n">
        <v>0</v>
      </c>
    </row>
    <row r="872">
      <c r="J872" t="n">
        <v>0</v>
      </c>
    </row>
    <row r="873">
      <c r="J873" t="n">
        <v>0</v>
      </c>
    </row>
    <row r="874">
      <c r="J874" t="n">
        <v>0</v>
      </c>
    </row>
    <row r="875">
      <c r="J875" t="n">
        <v>0</v>
      </c>
    </row>
    <row r="876">
      <c r="J876" t="n">
        <v>0</v>
      </c>
    </row>
    <row r="877">
      <c r="J877" t="n">
        <v>0</v>
      </c>
    </row>
    <row r="878">
      <c r="J878" t="n">
        <v>0</v>
      </c>
    </row>
    <row r="879">
      <c r="J879" t="n">
        <v>0</v>
      </c>
    </row>
    <row r="880">
      <c r="J880" t="n">
        <v>0</v>
      </c>
    </row>
    <row r="881">
      <c r="J881" t="n">
        <v>0</v>
      </c>
    </row>
    <row r="882">
      <c r="J882" t="n">
        <v>0</v>
      </c>
    </row>
    <row r="883">
      <c r="J883" t="n">
        <v>0</v>
      </c>
    </row>
    <row r="884">
      <c r="J884" t="n">
        <v>0</v>
      </c>
    </row>
    <row r="885">
      <c r="J885" t="n">
        <v>0</v>
      </c>
    </row>
    <row r="886">
      <c r="J886" t="n">
        <v>0</v>
      </c>
    </row>
    <row r="887">
      <c r="J887" t="n">
        <v>0</v>
      </c>
    </row>
    <row r="888">
      <c r="J888" t="n">
        <v>0</v>
      </c>
    </row>
    <row r="889">
      <c r="J889" t="n">
        <v>0</v>
      </c>
    </row>
    <row r="890">
      <c r="J890" t="n">
        <v>0</v>
      </c>
    </row>
    <row r="891">
      <c r="J891" t="n">
        <v>0</v>
      </c>
    </row>
    <row r="892">
      <c r="J892" t="n">
        <v>0</v>
      </c>
    </row>
    <row r="893">
      <c r="J893" t="n">
        <v>0</v>
      </c>
    </row>
    <row r="894">
      <c r="J894" t="n">
        <v>0</v>
      </c>
    </row>
    <row r="895">
      <c r="J895" t="n">
        <v>0</v>
      </c>
    </row>
    <row r="896">
      <c r="J896" t="n">
        <v>0</v>
      </c>
    </row>
    <row r="897">
      <c r="J897" t="n">
        <v>0</v>
      </c>
    </row>
    <row r="898">
      <c r="J898" t="n">
        <v>0</v>
      </c>
    </row>
    <row r="899">
      <c r="J899" t="n">
        <v>0</v>
      </c>
    </row>
    <row r="900">
      <c r="J900" t="n">
        <v>0</v>
      </c>
    </row>
    <row r="901">
      <c r="J901" t="n">
        <v>0</v>
      </c>
    </row>
    <row r="904">
      <c r="J904" t="n">
        <v>0</v>
      </c>
    </row>
    <row r="905">
      <c r="J905" t="n">
        <v>0</v>
      </c>
    </row>
    <row r="906">
      <c r="J906" t="n">
        <v>0</v>
      </c>
    </row>
    <row r="907">
      <c r="J907" t="n">
        <v>0</v>
      </c>
    </row>
    <row r="908">
      <c r="J908" t="n">
        <v>0</v>
      </c>
    </row>
    <row r="909">
      <c r="J909" t="n">
        <v>0</v>
      </c>
    </row>
    <row r="910">
      <c r="J910" t="n">
        <v>0</v>
      </c>
    </row>
    <row r="911">
      <c r="J911" t="n">
        <v>0</v>
      </c>
    </row>
    <row r="912">
      <c r="J912" t="n">
        <v>0</v>
      </c>
    </row>
    <row r="913">
      <c r="J913" t="n">
        <v>0</v>
      </c>
    </row>
    <row r="914">
      <c r="J914" t="n">
        <v>0</v>
      </c>
    </row>
    <row r="915">
      <c r="J915" t="n">
        <v>0</v>
      </c>
    </row>
    <row r="916">
      <c r="J916" t="n">
        <v>0</v>
      </c>
    </row>
    <row r="917">
      <c r="J917" t="n">
        <v>0</v>
      </c>
    </row>
    <row r="918">
      <c r="J918" t="n">
        <v>0</v>
      </c>
    </row>
    <row r="919">
      <c r="J919" t="n">
        <v>0</v>
      </c>
    </row>
    <row r="920">
      <c r="J920" t="n">
        <v>0</v>
      </c>
    </row>
    <row r="921">
      <c r="J921" t="n">
        <v>0</v>
      </c>
    </row>
    <row r="922">
      <c r="J922" t="n">
        <v>0</v>
      </c>
    </row>
    <row r="923">
      <c r="J923" t="n">
        <v>0</v>
      </c>
    </row>
    <row r="924">
      <c r="J924" t="n">
        <v>0</v>
      </c>
    </row>
    <row r="925">
      <c r="J925" t="n">
        <v>0</v>
      </c>
    </row>
    <row r="926">
      <c r="J926" t="n">
        <v>0</v>
      </c>
    </row>
    <row r="927">
      <c r="J927" t="n">
        <v>0</v>
      </c>
    </row>
    <row r="928">
      <c r="J928" t="n">
        <v>0</v>
      </c>
    </row>
    <row r="929">
      <c r="J929" t="n">
        <v>0</v>
      </c>
    </row>
    <row r="930">
      <c r="J930" t="n">
        <v>0</v>
      </c>
    </row>
    <row r="931">
      <c r="J931" t="n">
        <v>0</v>
      </c>
    </row>
    <row r="932">
      <c r="J932" t="n">
        <v>0</v>
      </c>
    </row>
    <row r="933">
      <c r="J933" t="n">
        <v>0</v>
      </c>
    </row>
    <row r="934">
      <c r="J934" t="n">
        <v>0</v>
      </c>
    </row>
    <row r="935">
      <c r="J935" t="n">
        <v>0</v>
      </c>
    </row>
    <row r="936">
      <c r="J936" t="n">
        <v>0</v>
      </c>
    </row>
    <row r="937">
      <c r="J937" t="n">
        <v>0</v>
      </c>
    </row>
    <row r="938">
      <c r="J938" t="n">
        <v>0</v>
      </c>
    </row>
    <row r="939">
      <c r="J939" t="n">
        <v>0</v>
      </c>
    </row>
    <row r="940">
      <c r="J940" t="n">
        <v>0</v>
      </c>
    </row>
    <row r="941">
      <c r="J941" t="n">
        <v>0</v>
      </c>
    </row>
    <row r="942">
      <c r="J942" t="n">
        <v>0</v>
      </c>
    </row>
    <row r="943">
      <c r="J94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J8:J943"/>
  <sheetViews>
    <sheetView workbookViewId="0">
      <selection activeCell="A1" sqref="A1"/>
    </sheetView>
  </sheetViews>
  <sheetFormatPr baseColWidth="8" defaultRowHeight="15"/>
  <sheetData>
    <row r="8">
      <c r="J8" t="inlineStr">
        <is>
          <t>RPT7016379876729NN</t>
        </is>
      </c>
    </row>
    <row r="9">
      <c r="J9" t="inlineStr">
        <is>
          <t>2026-01-27T08:39:54.000+00:00</t>
        </is>
      </c>
    </row>
    <row r="10">
      <c r="J10" t="inlineStr">
        <is>
          <t>N/A</t>
        </is>
      </c>
    </row>
    <row r="11">
      <c r="J11" t="n">
        <v>2027</v>
      </c>
    </row>
    <row r="12">
      <c r="J12" t="n">
        <v>2028</v>
      </c>
    </row>
    <row r="13">
      <c r="J13" t="n">
        <v>2029</v>
      </c>
    </row>
    <row r="14">
      <c r="J14" t="n">
        <v>2030</v>
      </c>
    </row>
    <row r="15">
      <c r="J15" t="n">
        <v>2031</v>
      </c>
    </row>
    <row r="16">
      <c r="J16" t="inlineStr">
        <is>
          <t>01/01/2025</t>
        </is>
      </c>
    </row>
    <row r="17">
      <c r="J17" t="inlineStr">
        <is>
          <t>11/30/2025</t>
        </is>
      </c>
    </row>
    <row r="18">
      <c r="J18" t="inlineStr">
        <is>
          <t>RxAdvance HTA Groups Rebate1 - M003</t>
        </is>
      </c>
    </row>
    <row r="19">
      <c r="J19" t="inlineStr">
        <is>
          <t>Medicare D</t>
        </is>
      </c>
    </row>
    <row r="20">
      <c r="J20" t="inlineStr">
        <is>
          <t>Gold 5 Tier-GOV</t>
        </is>
      </c>
    </row>
    <row r="21">
      <c r="J21" t="inlineStr">
        <is>
          <t>MFP 2026 &amp; 2027</t>
        </is>
      </c>
    </row>
    <row r="22">
      <c r="J22" t="inlineStr">
        <is>
          <t>Include</t>
        </is>
      </c>
    </row>
    <row r="23">
      <c r="J23" t="inlineStr">
        <is>
          <t>Include</t>
        </is>
      </c>
    </row>
    <row r="24">
      <c r="J24" t="inlineStr">
        <is>
          <t>Include</t>
        </is>
      </c>
    </row>
    <row r="25">
      <c r="J25" t="inlineStr">
        <is>
          <t>Include</t>
        </is>
      </c>
    </row>
    <row r="26">
      <c r="J26" t="inlineStr">
        <is>
          <t>Include</t>
        </is>
      </c>
    </row>
    <row r="27">
      <c r="J27" t="inlineStr">
        <is>
          <t>Include</t>
        </is>
      </c>
    </row>
    <row r="28">
      <c r="J28" t="inlineStr">
        <is>
          <t>Include</t>
        </is>
      </c>
    </row>
    <row r="29">
      <c r="J29" t="inlineStr">
        <is>
          <t>Include</t>
        </is>
      </c>
    </row>
    <row r="30">
      <c r="J30" t="inlineStr">
        <is>
          <t>Include</t>
        </is>
      </c>
    </row>
    <row r="31">
      <c r="J31" t="inlineStr">
        <is>
          <t>Include</t>
        </is>
      </c>
    </row>
    <row r="32">
      <c r="J32" t="inlineStr">
        <is>
          <t>Include</t>
        </is>
      </c>
    </row>
    <row r="33">
      <c r="J33" t="inlineStr">
        <is>
          <t>Include</t>
        </is>
      </c>
    </row>
    <row r="34">
      <c r="J34" t="inlineStr">
        <is>
          <t>Include</t>
        </is>
      </c>
    </row>
    <row r="35">
      <c r="J35" t="inlineStr">
        <is>
          <t>Include</t>
        </is>
      </c>
    </row>
    <row r="36">
      <c r="J36" t="inlineStr">
        <is>
          <t>Include</t>
        </is>
      </c>
    </row>
    <row r="37">
      <c r="J37" t="inlineStr">
        <is>
          <t>Include</t>
        </is>
      </c>
    </row>
    <row r="38">
      <c r="J38" t="inlineStr">
        <is>
          <t>N/A</t>
        </is>
      </c>
    </row>
    <row r="39">
      <c r="J39" t="inlineStr">
        <is>
          <t>N/A</t>
        </is>
      </c>
    </row>
    <row r="40">
      <c r="J40" t="inlineStr">
        <is>
          <t>Hep B,HIV,IVIG,Narcolepsy,Nausea,Transplant,PCSK9,Dupixent</t>
        </is>
      </c>
    </row>
    <row r="41">
      <c r="J41" t="inlineStr">
        <is>
          <t>Non-Sp</t>
        </is>
      </c>
    </row>
    <row r="42">
      <c r="J42" t="inlineStr">
        <is>
          <t>Non-Sp</t>
        </is>
      </c>
    </row>
    <row r="43">
      <c r="J43" t="inlineStr">
        <is>
          <t>Non-Sp</t>
        </is>
      </c>
    </row>
    <row r="44">
      <c r="J44" t="inlineStr">
        <is>
          <t>Non-Sp</t>
        </is>
      </c>
    </row>
    <row r="45">
      <c r="J45" t="inlineStr">
        <is>
          <t>Non-Sp</t>
        </is>
      </c>
    </row>
    <row r="46">
      <c r="J46" t="inlineStr">
        <is>
          <t>Non-Sp</t>
        </is>
      </c>
    </row>
    <row r="47">
      <c r="J47" t="inlineStr">
        <is>
          <t>Non-Sp</t>
        </is>
      </c>
    </row>
    <row r="50">
      <c r="J50" t="inlineStr">
        <is>
          <t>N/A</t>
        </is>
      </c>
    </row>
    <row r="51">
      <c r="J51" t="inlineStr">
        <is>
          <t>N/A</t>
        </is>
      </c>
    </row>
    <row r="52">
      <c r="J52" t="n">
        <v>0.1637693816768242</v>
      </c>
    </row>
    <row r="53">
      <c r="J53" t="n">
        <v>0.1242312116261008</v>
      </c>
    </row>
    <row r="54">
      <c r="J54" t="inlineStr">
        <is>
          <t>https://repricingrequestform.optum.com/BGDefLookup/Override</t>
        </is>
      </c>
    </row>
    <row r="55">
      <c r="J55" t="inlineStr">
        <is>
          <t>N/A</t>
        </is>
      </c>
    </row>
    <row r="58">
      <c r="J58" t="inlineStr">
        <is>
          <t>Standard</t>
        </is>
      </c>
    </row>
    <row r="59">
      <c r="J59" t="inlineStr">
        <is>
          <t>Standard</t>
        </is>
      </c>
    </row>
    <row r="60">
      <c r="J60" t="inlineStr">
        <is>
          <t>No oGLP-1 Rebate Lift</t>
        </is>
      </c>
    </row>
    <row r="61">
      <c r="J61" t="inlineStr">
        <is>
          <t>Yes</t>
        </is>
      </c>
    </row>
    <row r="62">
      <c r="J62" t="inlineStr">
        <is>
          <t>Standard</t>
        </is>
      </c>
    </row>
    <row r="63">
      <c r="J63" t="inlineStr">
        <is>
          <t>Yes</t>
        </is>
      </c>
    </row>
    <row r="64">
      <c r="J64" t="inlineStr">
        <is>
          <t>No</t>
        </is>
      </c>
    </row>
    <row r="65">
      <c r="J65" t="n">
        <v>0</v>
      </c>
    </row>
    <row r="66">
      <c r="J66" t="inlineStr">
        <is>
          <t>No</t>
        </is>
      </c>
    </row>
    <row r="67">
      <c r="J67" t="n">
        <v>0</v>
      </c>
    </row>
    <row r="68">
      <c r="J68" t="inlineStr">
        <is>
          <t>Yes</t>
        </is>
      </c>
    </row>
    <row r="69">
      <c r="J69" t="inlineStr">
        <is>
          <t>Yes</t>
        </is>
      </c>
    </row>
    <row r="70">
      <c r="J70" t="inlineStr">
        <is>
          <t>No</t>
        </is>
      </c>
    </row>
    <row r="71">
      <c r="J71" t="inlineStr">
        <is>
          <t>No</t>
        </is>
      </c>
    </row>
    <row r="72">
      <c r="J72" t="inlineStr">
        <is>
          <t>No</t>
        </is>
      </c>
    </row>
    <row r="73">
      <c r="J73" t="inlineStr">
        <is>
          <t>Medicare w Humira</t>
        </is>
      </c>
    </row>
    <row r="74">
      <c r="J74" t="inlineStr">
        <is>
          <t>MFP 2026 &amp; 2027 lists excluded</t>
        </is>
      </c>
    </row>
    <row r="75">
      <c r="J75" t="inlineStr">
        <is>
          <t>&lt;N/A&gt;</t>
        </is>
      </c>
    </row>
    <row r="76">
      <c r="J76" t="inlineStr">
        <is>
          <t>No</t>
        </is>
      </c>
    </row>
    <row r="77">
      <c r="J77" t="inlineStr">
        <is>
          <t>N/A</t>
        </is>
      </c>
    </row>
    <row r="80">
      <c r="J80" t="n">
        <v>395.6050254644814</v>
      </c>
    </row>
    <row r="81">
      <c r="J81" t="n">
        <v>354.6928561519885</v>
      </c>
    </row>
    <row r="82">
      <c r="J82" t="n">
        <v>351.3098022126369</v>
      </c>
    </row>
    <row r="83">
      <c r="J83" t="n">
        <v>386.2275964293447</v>
      </c>
    </row>
    <row r="84">
      <c r="J84" t="n">
        <v>431.0785961990413</v>
      </c>
    </row>
    <row r="85">
      <c r="J85" t="n">
        <v>3895.035999231846</v>
      </c>
    </row>
    <row r="86">
      <c r="J86" t="n">
        <v>3984.505049034932</v>
      </c>
    </row>
    <row r="87">
      <c r="J87" t="n">
        <v>4037.719920199293</v>
      </c>
    </row>
    <row r="88">
      <c r="J88" t="n">
        <v>4053.038935680417</v>
      </c>
    </row>
    <row r="89">
      <c r="J89" t="n">
        <v>4072.636834646974</v>
      </c>
    </row>
    <row r="90">
      <c r="J90" t="n">
        <v>57232.49087884169</v>
      </c>
    </row>
    <row r="91">
      <c r="J91" t="n">
        <v>56191.35907992515</v>
      </c>
    </row>
    <row r="92">
      <c r="J92" t="n">
        <v>56346.53725652167</v>
      </c>
    </row>
    <row r="93">
      <c r="J93" t="n">
        <v>59806.80465996708</v>
      </c>
    </row>
    <row r="94">
      <c r="J94" t="n">
        <v>62728.28259393729</v>
      </c>
    </row>
    <row r="95">
      <c r="J95" t="n">
        <v>241619.7492564411</v>
      </c>
    </row>
    <row r="96">
      <c r="J96" t="n">
        <v>246848.6830628446</v>
      </c>
    </row>
    <row r="97">
      <c r="J97" t="n">
        <v>250978.3810102007</v>
      </c>
    </row>
    <row r="98">
      <c r="J98" t="n">
        <v>252070.367582834</v>
      </c>
    </row>
    <row r="99">
      <c r="J99" t="n">
        <v>255196.6514083889</v>
      </c>
    </row>
    <row r="100">
      <c r="J100" t="n">
        <v>24374.60437505046</v>
      </c>
    </row>
    <row r="101">
      <c r="J101" t="n">
        <v>20582.83613809312</v>
      </c>
    </row>
    <row r="102">
      <c r="J102" t="n">
        <v>19211.52805051912</v>
      </c>
    </row>
    <row r="103">
      <c r="J103" t="n">
        <v>20619.04212951358</v>
      </c>
    </row>
    <row r="104">
      <c r="J104" t="n">
        <v>22399.69698498649</v>
      </c>
    </row>
    <row r="105">
      <c r="J105" t="n">
        <v>249268.1538743617</v>
      </c>
    </row>
    <row r="106">
      <c r="J106" t="n">
        <v>255559.5933656643</v>
      </c>
    </row>
    <row r="107">
      <c r="J107" t="n">
        <v>259470.7114562502</v>
      </c>
    </row>
    <row r="108">
      <c r="J108" t="n">
        <v>260477.5032971426</v>
      </c>
    </row>
    <row r="109">
      <c r="J109" t="n">
        <v>261860.2685299663</v>
      </c>
    </row>
    <row r="110">
      <c r="J110" t="n">
        <v>3757.26819173391</v>
      </c>
    </row>
    <row r="111">
      <c r="J111" t="n">
        <v>4048.03910096599</v>
      </c>
    </row>
    <row r="112">
      <c r="J112" t="n">
        <v>4315.17318367875</v>
      </c>
    </row>
    <row r="113">
      <c r="J113" t="n">
        <v>4673.709304845464</v>
      </c>
    </row>
    <row r="114">
      <c r="J114" t="n">
        <v>5084.93486423936</v>
      </c>
    </row>
    <row r="115">
      <c r="J115" t="n">
        <v>601.2886610700284</v>
      </c>
    </row>
    <row r="116">
      <c r="J116" t="n">
        <v>673.3731619382997</v>
      </c>
    </row>
    <row r="117">
      <c r="J117" t="n">
        <v>809.4277148321505</v>
      </c>
    </row>
    <row r="118">
      <c r="J118" t="n">
        <v>875.1932538569662</v>
      </c>
    </row>
    <row r="119">
      <c r="J119" t="n">
        <v>950.6552183872768</v>
      </c>
    </row>
    <row r="122">
      <c r="J122" t="n">
        <v>221.1819286085281</v>
      </c>
    </row>
    <row r="123">
      <c r="J123" t="n">
        <v>239.6485372905636</v>
      </c>
    </row>
    <row r="124">
      <c r="J124" t="n">
        <v>263.1309707364476</v>
      </c>
    </row>
    <row r="125">
      <c r="J125" t="n">
        <v>292.2524603090276</v>
      </c>
    </row>
    <row r="126">
      <c r="J126" t="n">
        <v>326.1834206395309</v>
      </c>
    </row>
    <row r="127">
      <c r="J127" t="n">
        <v>3895.035999231846</v>
      </c>
    </row>
    <row r="128">
      <c r="J128" t="n">
        <v>3984.505049034932</v>
      </c>
    </row>
    <row r="129">
      <c r="J129" t="n">
        <v>4037.719920199293</v>
      </c>
    </row>
    <row r="130">
      <c r="J130" t="n">
        <v>4053.038935680417</v>
      </c>
    </row>
    <row r="131">
      <c r="J131" t="n">
        <v>4072.636834646974</v>
      </c>
    </row>
    <row r="132">
      <c r="J132" t="n">
        <v>37382.02383410638</v>
      </c>
    </row>
    <row r="133">
      <c r="J133" t="n">
        <v>39589.89520944613</v>
      </c>
    </row>
    <row r="134">
      <c r="J134" t="n">
        <v>41713.3183180536</v>
      </c>
    </row>
    <row r="135">
      <c r="J135" t="n">
        <v>44336.50316177097</v>
      </c>
    </row>
    <row r="136">
      <c r="J136" t="n">
        <v>46634.14983165334</v>
      </c>
    </row>
    <row r="137">
      <c r="J137" t="n">
        <v>241619.7492564411</v>
      </c>
    </row>
    <row r="138">
      <c r="J138" t="n">
        <v>246848.6830628446</v>
      </c>
    </row>
    <row r="139">
      <c r="J139" t="n">
        <v>250978.3810102007</v>
      </c>
    </row>
    <row r="140">
      <c r="J140" t="n">
        <v>252070.367582834</v>
      </c>
    </row>
    <row r="141">
      <c r="J141" t="n">
        <v>255196.6514083889</v>
      </c>
    </row>
    <row r="142">
      <c r="J142" t="n">
        <v>11188.8707041239</v>
      </c>
    </row>
    <row r="143">
      <c r="J143" t="n">
        <v>12023.42475106277</v>
      </c>
    </row>
    <row r="144">
      <c r="J144" t="n">
        <v>12972.82449871463</v>
      </c>
    </row>
    <row r="145">
      <c r="J145" t="n">
        <v>14081.68011348663</v>
      </c>
    </row>
    <row r="146">
      <c r="J146" t="n">
        <v>15214.60819100582</v>
      </c>
    </row>
    <row r="147">
      <c r="J147" t="n">
        <v>249268.1538743617</v>
      </c>
    </row>
    <row r="148">
      <c r="J148" t="n">
        <v>255559.5933656643</v>
      </c>
    </row>
    <row r="149">
      <c r="J149" t="n">
        <v>259470.7114562502</v>
      </c>
    </row>
    <row r="150">
      <c r="J150" t="n">
        <v>260477.5032971426</v>
      </c>
    </row>
    <row r="151">
      <c r="J151" t="n">
        <v>261860.2685299663</v>
      </c>
    </row>
    <row r="152">
      <c r="J152" t="n">
        <v>2990.724713900612</v>
      </c>
    </row>
    <row r="153">
      <c r="J153" t="n">
        <v>3275.536247081695</v>
      </c>
    </row>
    <row r="154">
      <c r="J154" t="n">
        <v>3539.142289205271</v>
      </c>
    </row>
    <row r="155">
      <c r="J155" t="n">
        <v>3857.438448842408</v>
      </c>
    </row>
    <row r="156">
      <c r="J156" t="n">
        <v>4212.352047581875</v>
      </c>
    </row>
    <row r="157">
      <c r="J157" t="n">
        <v>601.2886610700284</v>
      </c>
    </row>
    <row r="158">
      <c r="J158" t="n">
        <v>673.3731619382997</v>
      </c>
    </row>
    <row r="159">
      <c r="J159" t="n">
        <v>809.4277148321505</v>
      </c>
    </row>
    <row r="160">
      <c r="J160" t="n">
        <v>875.1932538569662</v>
      </c>
    </row>
    <row r="161">
      <c r="J161" t="n">
        <v>950.6552183872768</v>
      </c>
    </row>
    <row r="164">
      <c r="J164" t="n">
        <v>1519.707910808126</v>
      </c>
    </row>
    <row r="165">
      <c r="J165" t="n">
        <v>1673.420874062536</v>
      </c>
    </row>
    <row r="166">
      <c r="J166" t="n">
        <v>1829.271242452145</v>
      </c>
    </row>
    <row r="167">
      <c r="J167" t="n">
        <v>1932.417561872707</v>
      </c>
    </row>
    <row r="168">
      <c r="J168" t="n">
        <v>2018.564651670232</v>
      </c>
    </row>
    <row r="169">
      <c r="J169" t="n">
        <v>390.0285030453805</v>
      </c>
    </row>
    <row r="170">
      <c r="J170" t="n">
        <v>414.1131366513352</v>
      </c>
    </row>
    <row r="171">
      <c r="J171" t="n">
        <v>429.4038024381354</v>
      </c>
    </row>
    <row r="172">
      <c r="J172" t="n">
        <v>440.4373424099214</v>
      </c>
    </row>
    <row r="173">
      <c r="J173" t="n">
        <v>452.7928210828045</v>
      </c>
    </row>
    <row r="174">
      <c r="J174" t="n">
        <v>671.2370690119842</v>
      </c>
    </row>
    <row r="175">
      <c r="J175" t="n">
        <v>734.2667935354538</v>
      </c>
    </row>
    <row r="176">
      <c r="J176" t="n">
        <v>797.2424013256965</v>
      </c>
    </row>
    <row r="177">
      <c r="J177" t="n">
        <v>838.7477606054744</v>
      </c>
    </row>
    <row r="178">
      <c r="J178" t="n">
        <v>880.71556537253</v>
      </c>
    </row>
    <row r="179">
      <c r="J179" t="n">
        <v>134.4893694714868</v>
      </c>
    </row>
    <row r="180">
      <c r="J180" t="n">
        <v>143.1096484982118</v>
      </c>
    </row>
    <row r="181">
      <c r="J181" t="n">
        <v>150.5609090349372</v>
      </c>
    </row>
    <row r="182">
      <c r="J182" t="n">
        <v>157.3235932720988</v>
      </c>
    </row>
    <row r="183">
      <c r="J183" t="n">
        <v>167.9731556616963</v>
      </c>
    </row>
    <row r="184">
      <c r="J184" t="n">
        <v>1078.782101065524</v>
      </c>
    </row>
    <row r="185">
      <c r="J185" t="n">
        <v>1223.281855818226</v>
      </c>
    </row>
    <row r="186">
      <c r="J186" t="n">
        <v>1384.777801917548</v>
      </c>
    </row>
    <row r="187">
      <c r="J187" t="n">
        <v>1469.073083407232</v>
      </c>
    </row>
    <row r="188">
      <c r="J188" t="n">
        <v>1532.95093284379</v>
      </c>
    </row>
    <row r="189">
      <c r="J189" t="n">
        <v>371.4521731366607</v>
      </c>
    </row>
    <row r="190">
      <c r="J190" t="n">
        <v>384.7865879459821</v>
      </c>
    </row>
    <row r="191">
      <c r="J191" t="n">
        <v>393.8323327625217</v>
      </c>
    </row>
    <row r="192">
      <c r="J192" t="n">
        <v>401.5211372592195</v>
      </c>
    </row>
    <row r="193">
      <c r="J193" t="n">
        <v>411.2798452151213</v>
      </c>
    </row>
    <row r="194">
      <c r="J194" t="n">
        <v>13347.20056605783</v>
      </c>
    </row>
    <row r="195">
      <c r="J195" t="n">
        <v>13576.47973282776</v>
      </c>
    </row>
    <row r="196">
      <c r="J196" t="n">
        <v>13565.13262851962</v>
      </c>
    </row>
    <row r="197">
      <c r="J197" t="n">
        <v>13783.96615623584</v>
      </c>
    </row>
    <row r="198">
      <c r="J198" t="n">
        <v>14009.72595206324</v>
      </c>
    </row>
    <row r="199">
      <c r="J199" t="n">
        <v>13989.32804400901</v>
      </c>
    </row>
    <row r="200">
      <c r="J200" t="n">
        <v>14502.84162454471</v>
      </c>
    </row>
    <row r="201">
      <c r="J201" t="n">
        <v>16254.31574579821</v>
      </c>
    </row>
    <row r="202">
      <c r="J202" t="n">
        <v>17165.45150073259</v>
      </c>
    </row>
    <row r="203">
      <c r="J203" t="n">
        <v>18042.2552026335</v>
      </c>
    </row>
    <row r="206">
      <c r="J206" t="n">
        <v>1589.769154195998</v>
      </c>
    </row>
    <row r="207">
      <c r="J207" t="n">
        <v>1730.773412791983</v>
      </c>
    </row>
    <row r="208">
      <c r="J208" t="n">
        <v>1854.132757584957</v>
      </c>
    </row>
    <row r="209">
      <c r="J209" t="n">
        <v>1978.796139022176</v>
      </c>
    </row>
    <row r="210">
      <c r="J210" t="n">
        <v>2105.01797744298</v>
      </c>
    </row>
    <row r="211">
      <c r="J211" t="n">
        <v>390.0285030453805</v>
      </c>
    </row>
    <row r="212">
      <c r="J212" t="n">
        <v>414.1131366513352</v>
      </c>
    </row>
    <row r="213">
      <c r="J213" t="n">
        <v>429.4038024381354</v>
      </c>
    </row>
    <row r="214">
      <c r="J214" t="n">
        <v>440.4373424099214</v>
      </c>
    </row>
    <row r="215">
      <c r="J215" t="n">
        <v>452.7928210828045</v>
      </c>
    </row>
    <row r="216">
      <c r="J216" t="n">
        <v>685.2165066886989</v>
      </c>
    </row>
    <row r="217">
      <c r="J217" t="n">
        <v>737.9262453198763</v>
      </c>
    </row>
    <row r="218">
      <c r="J218" t="n">
        <v>785.6690019941287</v>
      </c>
    </row>
    <row r="219">
      <c r="J219" t="n">
        <v>833.5774659375977</v>
      </c>
    </row>
    <row r="220">
      <c r="J220" t="n">
        <v>890.3971919898472</v>
      </c>
    </row>
    <row r="221">
      <c r="J221" t="n">
        <v>134.4893694714868</v>
      </c>
    </row>
    <row r="222">
      <c r="J222" t="n">
        <v>143.1096484982118</v>
      </c>
    </row>
    <row r="223">
      <c r="J223" t="n">
        <v>150.5609090349372</v>
      </c>
    </row>
    <row r="224">
      <c r="J224" t="n">
        <v>157.3235932720988</v>
      </c>
    </row>
    <row r="225">
      <c r="J225" t="n">
        <v>167.9731556616963</v>
      </c>
    </row>
    <row r="226">
      <c r="J226" t="n">
        <v>1170.73089258436</v>
      </c>
    </row>
    <row r="227">
      <c r="J227" t="n">
        <v>1276.347701880781</v>
      </c>
    </row>
    <row r="228">
      <c r="J228" t="n">
        <v>1372.738343650356</v>
      </c>
    </row>
    <row r="229">
      <c r="J229" t="n">
        <v>1473.054982889428</v>
      </c>
    </row>
    <row r="230">
      <c r="J230" t="n">
        <v>1577.227494765556</v>
      </c>
    </row>
    <row r="231">
      <c r="J231" t="n">
        <v>371.4521731366607</v>
      </c>
    </row>
    <row r="232">
      <c r="J232" t="n">
        <v>384.7865879459821</v>
      </c>
    </row>
    <row r="233">
      <c r="J233" t="n">
        <v>393.8323327625217</v>
      </c>
    </row>
    <row r="234">
      <c r="J234" t="n">
        <v>401.5211372592195</v>
      </c>
    </row>
    <row r="235">
      <c r="J235" t="n">
        <v>411.2798452151213</v>
      </c>
    </row>
    <row r="236">
      <c r="J236" t="n">
        <v>13177.06862516097</v>
      </c>
    </row>
    <row r="237">
      <c r="J237" t="n">
        <v>13460.57714311385</v>
      </c>
    </row>
    <row r="238">
      <c r="J238" t="n">
        <v>13363.04762713222</v>
      </c>
    </row>
    <row r="239">
      <c r="J239" t="n">
        <v>13557.56677875844</v>
      </c>
    </row>
    <row r="240">
      <c r="J240" t="n">
        <v>13768.73674415636</v>
      </c>
    </row>
    <row r="241">
      <c r="J241" t="n">
        <v>13989.32804400901</v>
      </c>
    </row>
    <row r="242">
      <c r="J242" t="n">
        <v>14502.84162454471</v>
      </c>
    </row>
    <row r="243">
      <c r="J243" t="n">
        <v>16254.31574579821</v>
      </c>
    </row>
    <row r="244">
      <c r="J244" t="n">
        <v>17165.45150073259</v>
      </c>
    </row>
    <row r="245">
      <c r="J245" t="n">
        <v>18042.2552026335</v>
      </c>
    </row>
    <row r="248">
      <c r="J248" t="n">
        <v>320.7272727272727</v>
      </c>
    </row>
    <row r="249">
      <c r="J249" t="n">
        <v>3621.818181818182</v>
      </c>
    </row>
    <row r="250">
      <c r="J250" t="n">
        <v>35473.09090909091</v>
      </c>
    </row>
    <row r="251">
      <c r="J251" t="n">
        <v>121159.6363636364</v>
      </c>
    </row>
    <row r="252">
      <c r="J252" t="n">
        <v>18516</v>
      </c>
    </row>
    <row r="253">
      <c r="J253" t="n">
        <v>231303.2727272727</v>
      </c>
    </row>
    <row r="254">
      <c r="J254" t="n">
        <v>1952.727272727273</v>
      </c>
    </row>
    <row r="255">
      <c r="J255" t="n">
        <v>189.8181818181818</v>
      </c>
    </row>
    <row r="256">
      <c r="J256" t="n">
        <v>73.09090909090909</v>
      </c>
    </row>
    <row r="257">
      <c r="J257" t="n">
        <v>183.2727272727273</v>
      </c>
    </row>
    <row r="258">
      <c r="J258" t="n">
        <v>19197.81818181818</v>
      </c>
    </row>
    <row r="259">
      <c r="J259" t="n">
        <v>114641.4545454545</v>
      </c>
    </row>
    <row r="260">
      <c r="J260" t="n">
        <v>4737.818181818182</v>
      </c>
    </row>
    <row r="261">
      <c r="J261" t="n">
        <v>14406.54545454546</v>
      </c>
    </row>
    <row r="262">
      <c r="J262" t="n">
        <v>1297.090909090909</v>
      </c>
    </row>
    <row r="263">
      <c r="J263" t="n">
        <v>228</v>
      </c>
    </row>
    <row r="264">
      <c r="J264" t="n">
        <v>393.8181818181819</v>
      </c>
    </row>
    <row r="265">
      <c r="J265" t="n">
        <v>3805.090909090909</v>
      </c>
    </row>
    <row r="266">
      <c r="J266" t="n">
        <v>54670.90909090909</v>
      </c>
    </row>
    <row r="267">
      <c r="J267" t="n">
        <v>235801.0909090909</v>
      </c>
    </row>
    <row r="268">
      <c r="J268" t="n">
        <v>23253.81818181818</v>
      </c>
    </row>
    <row r="269">
      <c r="J269" t="n">
        <v>245709.8181818182</v>
      </c>
    </row>
    <row r="270">
      <c r="J270" t="n">
        <v>3249.818181818182</v>
      </c>
    </row>
    <row r="271">
      <c r="J271" t="n">
        <v>417.8181818181818</v>
      </c>
    </row>
    <row r="274">
      <c r="J274" t="n">
        <v>133.0909090909091</v>
      </c>
    </row>
    <row r="275">
      <c r="J275" t="n">
        <v>3621.818181818182</v>
      </c>
    </row>
    <row r="276">
      <c r="J276" t="n">
        <v>15250.90909090909</v>
      </c>
    </row>
    <row r="277">
      <c r="J277" t="n">
        <v>121117.0909090909</v>
      </c>
    </row>
    <row r="278">
      <c r="J278" t="n">
        <v>5393.454545454546</v>
      </c>
    </row>
    <row r="279">
      <c r="J279" t="n">
        <v>231298.9090909091</v>
      </c>
    </row>
    <row r="280">
      <c r="J280" t="n">
        <v>1625.454545454545</v>
      </c>
    </row>
    <row r="281">
      <c r="J281" t="n">
        <v>189.8181818181818</v>
      </c>
    </row>
    <row r="282">
      <c r="J282" t="n">
        <v>73.09090909090909</v>
      </c>
    </row>
    <row r="283">
      <c r="J283" t="n">
        <v>183.2727272727273</v>
      </c>
    </row>
    <row r="284">
      <c r="J284" t="n">
        <v>19014.54545454546</v>
      </c>
    </row>
    <row r="285">
      <c r="J285" t="n">
        <v>114641.4545454545</v>
      </c>
    </row>
    <row r="286">
      <c r="J286" t="n">
        <v>4736.727272727273</v>
      </c>
    </row>
    <row r="287">
      <c r="J287" t="n">
        <v>14406.54545454546</v>
      </c>
    </row>
    <row r="288">
      <c r="J288" t="n">
        <v>1096.363636363636</v>
      </c>
    </row>
    <row r="289">
      <c r="J289" t="n">
        <v>228</v>
      </c>
    </row>
    <row r="290">
      <c r="J290" t="n">
        <v>206.1818181818182</v>
      </c>
    </row>
    <row r="291">
      <c r="J291" t="n">
        <v>3805.090909090909</v>
      </c>
    </row>
    <row r="292">
      <c r="J292" t="n">
        <v>34265.45454545454</v>
      </c>
    </row>
    <row r="293">
      <c r="J293" t="n">
        <v>235758.5454545455</v>
      </c>
    </row>
    <row r="294">
      <c r="J294" t="n">
        <v>10130.18181818182</v>
      </c>
    </row>
    <row r="295">
      <c r="J295" t="n">
        <v>245705.4545454545</v>
      </c>
    </row>
    <row r="296">
      <c r="J296" t="n">
        <v>2721.818181818182</v>
      </c>
    </row>
    <row r="297">
      <c r="J297" t="n">
        <v>417.8181818181818</v>
      </c>
    </row>
    <row r="300">
      <c r="J300" t="n">
        <v>1727.812397236727</v>
      </c>
    </row>
    <row r="301">
      <c r="J301" t="n">
        <v>360.415786710974</v>
      </c>
    </row>
    <row r="302">
      <c r="J302" t="n">
        <v>725.3437523835552</v>
      </c>
    </row>
    <row r="303">
      <c r="J303" t="n">
        <v>151.6326313576955</v>
      </c>
    </row>
    <row r="304">
      <c r="J304" t="n">
        <v>1316.067596374415</v>
      </c>
    </row>
    <row r="305">
      <c r="J305" t="n">
        <v>359.5847636776126</v>
      </c>
    </row>
    <row r="306">
      <c r="J306" t="n">
        <v>13495.1258908405</v>
      </c>
    </row>
    <row r="307">
      <c r="J307" t="n">
        <v>9530.248071604761</v>
      </c>
    </row>
    <row r="308">
      <c r="J308" t="n">
        <v>383.5117880408444</v>
      </c>
    </row>
    <row r="309">
      <c r="J309" t="n">
        <v>334.3031078016474</v>
      </c>
    </row>
    <row r="310">
      <c r="J310" t="n">
        <v>386.7052553487929</v>
      </c>
    </row>
    <row r="311">
      <c r="J311" t="n">
        <v>91.02458050652551</v>
      </c>
    </row>
    <row r="312">
      <c r="J312" t="n">
        <v>328.0278745171883</v>
      </c>
    </row>
    <row r="313">
      <c r="J313" t="n">
        <v>251.7696005918393</v>
      </c>
    </row>
    <row r="314">
      <c r="J314" t="n">
        <v>13454.23599529908</v>
      </c>
    </row>
    <row r="315">
      <c r="J315" t="n">
        <v>12604.52746421412</v>
      </c>
    </row>
    <row r="316">
      <c r="J316" t="n">
        <v>1478.316162289014</v>
      </c>
    </row>
    <row r="317">
      <c r="J317" t="n">
        <v>359.1580659378183</v>
      </c>
    </row>
    <row r="318">
      <c r="J318" t="n">
        <v>606.4300484861643</v>
      </c>
    </row>
    <row r="319">
      <c r="J319" t="n">
        <v>122.1662914016104</v>
      </c>
    </row>
    <row r="320">
      <c r="J320" t="n">
        <v>1114.760760569107</v>
      </c>
    </row>
    <row r="321">
      <c r="J321" t="n">
        <v>353.2633066875013</v>
      </c>
    </row>
    <row r="322">
      <c r="J322" t="n">
        <v>13478.80562034746</v>
      </c>
    </row>
    <row r="323">
      <c r="J323" t="n">
        <v>11207.85745295034</v>
      </c>
    </row>
    <row r="326">
      <c r="J326" t="n">
        <v>1809.636411072778</v>
      </c>
    </row>
    <row r="327">
      <c r="J327" t="n">
        <v>360.415786710974</v>
      </c>
    </row>
    <row r="328">
      <c r="J328" t="n">
        <v>826.6110383673628</v>
      </c>
    </row>
    <row r="329">
      <c r="J329" t="n">
        <v>151.5318374440877</v>
      </c>
    </row>
    <row r="330">
      <c r="J330" t="n">
        <v>1584.274981915372</v>
      </c>
    </row>
    <row r="331">
      <c r="J331" t="n">
        <v>359.5712200177996</v>
      </c>
    </row>
    <row r="332">
      <c r="J332" t="n">
        <v>13468.83684155765</v>
      </c>
    </row>
    <row r="333">
      <c r="J333" t="n">
        <v>9530.248071604761</v>
      </c>
    </row>
    <row r="334">
      <c r="J334" t="n">
        <v>383.5117880408444</v>
      </c>
    </row>
    <row r="335">
      <c r="J335" t="n">
        <v>334.3031078016474</v>
      </c>
    </row>
    <row r="336">
      <c r="J336" t="n">
        <v>376.9977198069696</v>
      </c>
    </row>
    <row r="337">
      <c r="J337" t="n">
        <v>91.02458050652551</v>
      </c>
    </row>
    <row r="338">
      <c r="J338" t="n">
        <v>326.984937601845</v>
      </c>
    </row>
    <row r="339">
      <c r="J339" t="n">
        <v>251.7696005918393</v>
      </c>
    </row>
    <row r="340">
      <c r="J340" t="n">
        <v>12598.31338111441</v>
      </c>
    </row>
    <row r="341">
      <c r="J341" t="n">
        <v>12604.52746421412</v>
      </c>
    </row>
    <row r="342">
      <c r="J342" t="n">
        <v>1304.079005024421</v>
      </c>
    </row>
    <row r="343">
      <c r="J343" t="n">
        <v>359.1580659378183</v>
      </c>
    </row>
    <row r="344">
      <c r="J344" t="n">
        <v>577.1121481251581</v>
      </c>
    </row>
    <row r="345">
      <c r="J345" t="n">
        <v>122.1091926254079</v>
      </c>
    </row>
    <row r="346">
      <c r="J346" t="n">
        <v>996.3842461400831</v>
      </c>
    </row>
    <row r="347">
      <c r="J347" t="n">
        <v>353.2504448717744</v>
      </c>
    </row>
    <row r="348">
      <c r="J348" t="n">
        <v>13118.18510699033</v>
      </c>
    </row>
    <row r="349">
      <c r="J349" t="n">
        <v>11207.85745295034</v>
      </c>
    </row>
    <row r="352">
      <c r="J352" t="n">
        <v>579.1601642212195</v>
      </c>
    </row>
    <row r="353">
      <c r="J353" t="n">
        <v>667.4748950812691</v>
      </c>
    </row>
    <row r="354">
      <c r="J354" t="n">
        <v>738.602230458452</v>
      </c>
    </row>
    <row r="355">
      <c r="J355" t="n">
        <v>811.278043186627</v>
      </c>
    </row>
    <row r="356">
      <c r="J356" t="n">
        <v>889.8324956058399</v>
      </c>
    </row>
    <row r="357">
      <c r="J357" t="n">
        <v>209.11842329539</v>
      </c>
    </row>
    <row r="358">
      <c r="J358" t="n">
        <v>239.8990971292024</v>
      </c>
    </row>
    <row r="359">
      <c r="J359" t="n">
        <v>266.5405524207167</v>
      </c>
    </row>
    <row r="360">
      <c r="J360" t="n">
        <v>294.7263098291785</v>
      </c>
    </row>
    <row r="361">
      <c r="J361" t="n">
        <v>326.0627981702359</v>
      </c>
    </row>
    <row r="362">
      <c r="J362" t="n">
        <v>351.9497204403186</v>
      </c>
    </row>
    <row r="363">
      <c r="J363" t="n">
        <v>403.50429564978</v>
      </c>
    </row>
    <row r="364">
      <c r="J364" t="n">
        <v>447.3454315281658</v>
      </c>
    </row>
    <row r="365">
      <c r="J365" t="n">
        <v>488.1427512641729</v>
      </c>
    </row>
    <row r="366">
      <c r="J366" t="n">
        <v>539.5376994670697</v>
      </c>
    </row>
    <row r="367">
      <c r="J367" t="n">
        <v>1871.625113329376</v>
      </c>
    </row>
    <row r="368">
      <c r="J368" t="n">
        <v>2006.945404887327</v>
      </c>
    </row>
    <row r="369">
      <c r="J369" t="n">
        <v>1881.944035120318</v>
      </c>
    </row>
    <row r="370">
      <c r="J370" t="n">
        <v>2032.198158022052</v>
      </c>
    </row>
    <row r="371">
      <c r="J371" t="n">
        <v>2214.078341688442</v>
      </c>
    </row>
    <row r="374">
      <c r="J374" t="n">
        <v>0</v>
      </c>
    </row>
    <row r="375">
      <c r="J375" t="n">
        <v>0</v>
      </c>
    </row>
    <row r="376">
      <c r="J376" t="n">
        <v>0</v>
      </c>
    </row>
    <row r="377">
      <c r="J377" t="n">
        <v>0</v>
      </c>
    </row>
    <row r="378">
      <c r="J378" t="n">
        <v>0</v>
      </c>
    </row>
    <row r="379">
      <c r="J379" t="n">
        <v>0</v>
      </c>
    </row>
    <row r="380">
      <c r="J380" t="n">
        <v>0</v>
      </c>
    </row>
    <row r="381">
      <c r="J381" t="n">
        <v>0</v>
      </c>
    </row>
    <row r="382">
      <c r="J382" t="n">
        <v>0</v>
      </c>
    </row>
    <row r="383">
      <c r="J383" t="n">
        <v>0</v>
      </c>
    </row>
    <row r="384">
      <c r="J384" t="n">
        <v>0</v>
      </c>
    </row>
    <row r="385">
      <c r="J385" t="n">
        <v>0</v>
      </c>
    </row>
    <row r="386">
      <c r="J386" t="n">
        <v>0</v>
      </c>
    </row>
    <row r="387">
      <c r="J387" t="n">
        <v>0</v>
      </c>
    </row>
    <row r="388">
      <c r="J388" t="n">
        <v>0</v>
      </c>
    </row>
    <row r="389">
      <c r="J389" t="n">
        <v>0</v>
      </c>
    </row>
    <row r="390">
      <c r="J390" t="n">
        <v>0</v>
      </c>
    </row>
    <row r="391">
      <c r="J391" t="n">
        <v>0</v>
      </c>
    </row>
    <row r="392">
      <c r="J392" t="n">
        <v>0</v>
      </c>
    </row>
    <row r="393">
      <c r="J393" t="n">
        <v>0</v>
      </c>
    </row>
    <row r="396">
      <c r="J396" t="n">
        <v>0.1559903902484579</v>
      </c>
    </row>
    <row r="397">
      <c r="J397" t="n">
        <v>0</v>
      </c>
    </row>
    <row r="398">
      <c r="J398" t="n">
        <v>0</v>
      </c>
    </row>
    <row r="399">
      <c r="J399" t="n">
        <v>0</v>
      </c>
    </row>
    <row r="400">
      <c r="J400" t="n">
        <v>0</v>
      </c>
    </row>
    <row r="401">
      <c r="J401" t="n">
        <v>0.1339972505072956</v>
      </c>
    </row>
    <row r="402">
      <c r="J402" t="n">
        <v>0.08942470789305981</v>
      </c>
    </row>
    <row r="403">
      <c r="J403" t="n">
        <v>0.0673558625081485</v>
      </c>
    </row>
    <row r="404">
      <c r="J404" t="n">
        <v>0.04616575069678534</v>
      </c>
    </row>
    <row r="405">
      <c r="J405" t="n">
        <v>0.02706303536081323</v>
      </c>
    </row>
    <row r="406">
      <c r="J406" t="n">
        <v>0.09413164719889101</v>
      </c>
    </row>
    <row r="407">
      <c r="J407" t="n">
        <v>0.04463171044894705</v>
      </c>
    </row>
    <row r="408">
      <c r="J408" t="n">
        <v>0.03323822148169116</v>
      </c>
    </row>
    <row r="409">
      <c r="J409" t="n">
        <v>0.02245524073602088</v>
      </c>
    </row>
    <row r="410">
      <c r="J410" t="n">
        <v>0.012913984148134</v>
      </c>
    </row>
    <row r="411">
      <c r="J411" t="n">
        <v>2.440103475711705</v>
      </c>
    </row>
    <row r="412">
      <c r="J412" t="n">
        <v>0.02036220204796799</v>
      </c>
    </row>
    <row r="413">
      <c r="J413" t="n">
        <v>0</v>
      </c>
    </row>
    <row r="414">
      <c r="J414" t="n">
        <v>0</v>
      </c>
    </row>
    <row r="415">
      <c r="J415" t="n">
        <v>0</v>
      </c>
    </row>
    <row r="418">
      <c r="J418" t="n">
        <v>3.208240148905326</v>
      </c>
    </row>
    <row r="419">
      <c r="J419" t="n">
        <v>4.016866176836533</v>
      </c>
    </row>
    <row r="420">
      <c r="J420" t="n">
        <v>4.780738013720083</v>
      </c>
    </row>
    <row r="421">
      <c r="J421" t="n">
        <v>4.087516924268567</v>
      </c>
    </row>
    <row r="422">
      <c r="J422" t="n">
        <v>4.508558956980318</v>
      </c>
    </row>
    <row r="423">
      <c r="J423" t="n">
        <v>1.136853830069023</v>
      </c>
    </row>
    <row r="424">
      <c r="J424" t="n">
        <v>1.458496606398491</v>
      </c>
    </row>
    <row r="425">
      <c r="J425" t="n">
        <v>1.743488483770424</v>
      </c>
    </row>
    <row r="426">
      <c r="J426" t="n">
        <v>0.8684316950861601</v>
      </c>
    </row>
    <row r="427">
      <c r="J427" t="n">
        <v>0.8878667670619373</v>
      </c>
    </row>
    <row r="428">
      <c r="J428" t="n">
        <v>3.201444205059824</v>
      </c>
    </row>
    <row r="429">
      <c r="J429" t="n">
        <v>4.265436586065331</v>
      </c>
    </row>
    <row r="430">
      <c r="J430" t="n">
        <v>5.224100488246037</v>
      </c>
    </row>
    <row r="431">
      <c r="J431" t="n">
        <v>1.044848117880151</v>
      </c>
    </row>
    <row r="432">
      <c r="J432" t="n">
        <v>1.139909279950528</v>
      </c>
    </row>
    <row r="433">
      <c r="J433" t="n">
        <v>142.9826995077891</v>
      </c>
    </row>
    <row r="434">
      <c r="J434" t="n">
        <v>197.8213944807273</v>
      </c>
    </row>
    <row r="435">
      <c r="J435" t="n">
        <v>55.49977482540524</v>
      </c>
    </row>
    <row r="436">
      <c r="J436" t="n">
        <v>62.86848903511961</v>
      </c>
    </row>
    <row r="437">
      <c r="J437" t="n">
        <v>71.0738268700503</v>
      </c>
    </row>
    <row r="440">
      <c r="J440" t="n">
        <v>582.5243947603733</v>
      </c>
    </row>
    <row r="441">
      <c r="J441" t="n">
        <v>671.4917612581056</v>
      </c>
    </row>
    <row r="442">
      <c r="J442" t="n">
        <v>743.3829684721721</v>
      </c>
    </row>
    <row r="443">
      <c r="J443" t="n">
        <v>815.3655601108956</v>
      </c>
    </row>
    <row r="444">
      <c r="J444" t="n">
        <v>894.3410545628202</v>
      </c>
    </row>
    <row r="445">
      <c r="J445" t="n">
        <v>210.3892743759663</v>
      </c>
    </row>
    <row r="446">
      <c r="J446" t="n">
        <v>241.4470184434939</v>
      </c>
    </row>
    <row r="447">
      <c r="J447" t="n">
        <v>268.3513967669952</v>
      </c>
    </row>
    <row r="448">
      <c r="J448" t="n">
        <v>295.6409072749614</v>
      </c>
    </row>
    <row r="449">
      <c r="J449" t="n">
        <v>326.9777279726586</v>
      </c>
    </row>
    <row r="450">
      <c r="J450" t="n">
        <v>355.2452962925773</v>
      </c>
    </row>
    <row r="451">
      <c r="J451" t="n">
        <v>407.8143639462942</v>
      </c>
    </row>
    <row r="452">
      <c r="J452" t="n">
        <v>452.6027702378935</v>
      </c>
    </row>
    <row r="453">
      <c r="J453" t="n">
        <v>489.2100546227891</v>
      </c>
    </row>
    <row r="454">
      <c r="J454" t="n">
        <v>540.6905227311684</v>
      </c>
    </row>
    <row r="455">
      <c r="J455" t="n">
        <v>2017.047916312877</v>
      </c>
    </row>
    <row r="456">
      <c r="J456" t="n">
        <v>2204.787161570102</v>
      </c>
    </row>
    <row r="457">
      <c r="J457" t="n">
        <v>1937.443809945723</v>
      </c>
    </row>
    <row r="458">
      <c r="J458" t="n">
        <v>2095.066647057171</v>
      </c>
    </row>
    <row r="459">
      <c r="J459" t="n">
        <v>2285.152168558493</v>
      </c>
    </row>
    <row r="462">
      <c r="J462" t="n">
        <v>0</v>
      </c>
    </row>
    <row r="463">
      <c r="J463" t="n">
        <v>0</v>
      </c>
    </row>
    <row r="464">
      <c r="J464" t="n">
        <v>0</v>
      </c>
    </row>
    <row r="465">
      <c r="J465" t="n">
        <v>0</v>
      </c>
    </row>
    <row r="466">
      <c r="J466" t="n">
        <v>0</v>
      </c>
    </row>
    <row r="467">
      <c r="J467" t="n">
        <v>0</v>
      </c>
    </row>
    <row r="468">
      <c r="J468" t="n">
        <v>0</v>
      </c>
    </row>
    <row r="469">
      <c r="J469" t="n">
        <v>0</v>
      </c>
    </row>
    <row r="470">
      <c r="J470" t="n">
        <v>0</v>
      </c>
    </row>
    <row r="471">
      <c r="J471" t="n">
        <v>0</v>
      </c>
    </row>
    <row r="472">
      <c r="J472" t="n">
        <v>0</v>
      </c>
    </row>
    <row r="473">
      <c r="J473" t="n">
        <v>0</v>
      </c>
    </row>
    <row r="474">
      <c r="J474" t="n">
        <v>0</v>
      </c>
    </row>
    <row r="475">
      <c r="J475" t="n">
        <v>0</v>
      </c>
    </row>
    <row r="476">
      <c r="J476" t="n">
        <v>0</v>
      </c>
    </row>
    <row r="477">
      <c r="J477" t="n">
        <v>0</v>
      </c>
    </row>
    <row r="478">
      <c r="J478" t="n">
        <v>0</v>
      </c>
    </row>
    <row r="479">
      <c r="J479" t="n">
        <v>0</v>
      </c>
    </row>
    <row r="480">
      <c r="J480" t="n">
        <v>0</v>
      </c>
    </row>
    <row r="481">
      <c r="J481" t="n">
        <v>0</v>
      </c>
    </row>
    <row r="484">
      <c r="J484" t="n">
        <v>224737.467717959</v>
      </c>
    </row>
    <row r="485">
      <c r="J485" t="n">
        <v>270990.2045361472</v>
      </c>
    </row>
    <row r="486">
      <c r="J486" t="n">
        <v>321970.8121056156</v>
      </c>
    </row>
    <row r="487">
      <c r="J487" t="n">
        <v>381079.2792234789</v>
      </c>
    </row>
    <row r="488">
      <c r="J488" t="n">
        <v>454085.3800662435</v>
      </c>
    </row>
    <row r="489">
      <c r="J489" t="n">
        <v>14669016.30654321</v>
      </c>
    </row>
    <row r="490">
      <c r="J490" t="n">
        <v>17180669.35662518</v>
      </c>
    </row>
    <row r="491">
      <c r="J491" t="n">
        <v>19489677.15419294</v>
      </c>
    </row>
    <row r="492">
      <c r="J492" t="n">
        <v>22163322.44865247</v>
      </c>
    </row>
    <row r="493">
      <c r="J493" t="n">
        <v>25181898.64758925</v>
      </c>
    </row>
    <row r="494">
      <c r="J494" t="n">
        <v>7244139.184328712</v>
      </c>
    </row>
    <row r="495">
      <c r="J495" t="n">
        <v>8640211.712722171</v>
      </c>
    </row>
    <row r="496">
      <c r="J496" t="n">
        <v>10081694.26823187</v>
      </c>
    </row>
    <row r="497">
      <c r="J497" t="n">
        <v>11402216.51027429</v>
      </c>
    </row>
    <row r="498">
      <c r="J498" t="n">
        <v>13298423.31380724</v>
      </c>
    </row>
    <row r="499">
      <c r="J499" t="n">
        <v>18668874.79778729</v>
      </c>
    </row>
    <row r="500">
      <c r="J500" t="n">
        <v>21179501.23951338</v>
      </c>
    </row>
    <row r="501">
      <c r="J501" t="n">
        <v>19670954.23161586</v>
      </c>
    </row>
    <row r="502">
      <c r="J502" t="n">
        <v>22686964.18665791</v>
      </c>
    </row>
    <row r="503">
      <c r="J503" t="n">
        <v>26310301.16075368</v>
      </c>
    </row>
    <row r="506">
      <c r="J506" t="n">
        <v>0</v>
      </c>
    </row>
    <row r="507">
      <c r="J507" t="n">
        <v>0</v>
      </c>
    </row>
    <row r="508">
      <c r="J508" t="n">
        <v>0</v>
      </c>
    </row>
    <row r="509">
      <c r="J509" t="n">
        <v>0</v>
      </c>
    </row>
    <row r="510">
      <c r="J510" t="n">
        <v>0</v>
      </c>
    </row>
    <row r="511">
      <c r="J511" t="n">
        <v>0</v>
      </c>
    </row>
    <row r="512">
      <c r="J512" t="n">
        <v>0</v>
      </c>
    </row>
    <row r="513">
      <c r="J513" t="n">
        <v>0</v>
      </c>
    </row>
    <row r="514">
      <c r="J514" t="n">
        <v>0</v>
      </c>
    </row>
    <row r="515">
      <c r="J515" t="n">
        <v>0</v>
      </c>
    </row>
    <row r="516">
      <c r="J516" t="n">
        <v>0</v>
      </c>
    </row>
    <row r="517">
      <c r="J517" t="n">
        <v>0</v>
      </c>
    </row>
    <row r="518">
      <c r="J518" t="n">
        <v>0</v>
      </c>
    </row>
    <row r="519">
      <c r="J519" t="n">
        <v>0</v>
      </c>
    </row>
    <row r="520">
      <c r="J520" t="n">
        <v>0</v>
      </c>
    </row>
    <row r="521">
      <c r="J521" t="n">
        <v>0</v>
      </c>
    </row>
    <row r="522">
      <c r="J522" t="n">
        <v>0</v>
      </c>
    </row>
    <row r="523">
      <c r="J523" t="n">
        <v>0</v>
      </c>
    </row>
    <row r="524">
      <c r="J524" t="n">
        <v>0</v>
      </c>
    </row>
    <row r="525">
      <c r="J525" t="n">
        <v>0</v>
      </c>
    </row>
    <row r="526">
      <c r="J526" t="n">
        <v>0</v>
      </c>
    </row>
    <row r="527">
      <c r="J527" t="n">
        <v>0</v>
      </c>
    </row>
    <row r="528">
      <c r="J528" t="n">
        <v>0</v>
      </c>
    </row>
    <row r="529">
      <c r="J529" t="n">
        <v>0</v>
      </c>
    </row>
    <row r="530">
      <c r="J530" t="n">
        <v>0</v>
      </c>
    </row>
    <row r="531">
      <c r="J531" t="n">
        <v>0</v>
      </c>
    </row>
    <row r="532">
      <c r="J532" t="n">
        <v>0</v>
      </c>
    </row>
    <row r="533">
      <c r="J533" t="n">
        <v>0</v>
      </c>
    </row>
    <row r="534">
      <c r="J534" t="n">
        <v>0</v>
      </c>
    </row>
    <row r="535">
      <c r="J535" t="n">
        <v>0</v>
      </c>
    </row>
    <row r="536">
      <c r="J536" t="n">
        <v>0</v>
      </c>
    </row>
    <row r="537">
      <c r="J537" t="n">
        <v>0</v>
      </c>
    </row>
    <row r="538">
      <c r="J538" t="n">
        <v>0</v>
      </c>
    </row>
    <row r="539">
      <c r="J539" t="n">
        <v>0</v>
      </c>
    </row>
    <row r="540">
      <c r="J540" t="n">
        <v>0</v>
      </c>
    </row>
    <row r="541">
      <c r="J541" t="n">
        <v>0</v>
      </c>
    </row>
    <row r="542">
      <c r="J542" t="n">
        <v>0</v>
      </c>
    </row>
    <row r="543">
      <c r="J543" t="n">
        <v>0</v>
      </c>
    </row>
    <row r="544">
      <c r="J544" t="n">
        <v>0</v>
      </c>
    </row>
    <row r="545">
      <c r="J545" t="n">
        <v>0</v>
      </c>
    </row>
    <row r="548">
      <c r="J548" t="n">
        <v>0</v>
      </c>
    </row>
    <row r="549">
      <c r="J549" t="n">
        <v>0</v>
      </c>
    </row>
    <row r="550">
      <c r="J550" t="n">
        <v>0</v>
      </c>
    </row>
    <row r="551">
      <c r="J551" t="n">
        <v>0</v>
      </c>
    </row>
    <row r="552">
      <c r="J552" t="n">
        <v>0</v>
      </c>
    </row>
    <row r="553">
      <c r="J553" t="n">
        <v>0</v>
      </c>
    </row>
    <row r="554">
      <c r="J554" t="n">
        <v>0</v>
      </c>
    </row>
    <row r="555">
      <c r="J555" t="n">
        <v>0</v>
      </c>
    </row>
    <row r="556">
      <c r="J556" t="n">
        <v>0</v>
      </c>
    </row>
    <row r="557">
      <c r="J557" t="n">
        <v>0</v>
      </c>
    </row>
    <row r="558">
      <c r="J558" t="n">
        <v>0</v>
      </c>
    </row>
    <row r="559">
      <c r="J559" t="n">
        <v>0</v>
      </c>
    </row>
    <row r="560">
      <c r="J560" t="n">
        <v>0</v>
      </c>
    </row>
    <row r="561">
      <c r="J561" t="n">
        <v>0</v>
      </c>
    </row>
    <row r="562">
      <c r="J562" t="n">
        <v>0</v>
      </c>
    </row>
    <row r="563">
      <c r="J563" t="n">
        <v>0</v>
      </c>
    </row>
    <row r="564">
      <c r="J564" t="n">
        <v>0</v>
      </c>
    </row>
    <row r="565">
      <c r="J565" t="n">
        <v>0</v>
      </c>
    </row>
    <row r="566">
      <c r="J566" t="n">
        <v>0</v>
      </c>
    </row>
    <row r="567">
      <c r="J567" t="n">
        <v>0</v>
      </c>
    </row>
    <row r="568">
      <c r="J568" t="n">
        <v>0</v>
      </c>
    </row>
    <row r="569">
      <c r="J569" t="n">
        <v>0</v>
      </c>
    </row>
    <row r="570">
      <c r="J570" t="n">
        <v>0</v>
      </c>
    </row>
    <row r="571">
      <c r="J571" t="n">
        <v>0</v>
      </c>
    </row>
    <row r="572">
      <c r="J572" t="n">
        <v>0</v>
      </c>
    </row>
    <row r="573">
      <c r="J573" t="n">
        <v>0</v>
      </c>
    </row>
    <row r="574">
      <c r="J574" t="n">
        <v>0</v>
      </c>
    </row>
    <row r="575">
      <c r="J575" t="n">
        <v>0</v>
      </c>
    </row>
    <row r="576">
      <c r="J576" t="n">
        <v>0</v>
      </c>
    </row>
    <row r="577">
      <c r="J577" t="n">
        <v>0</v>
      </c>
    </row>
    <row r="578">
      <c r="J578" t="n">
        <v>0</v>
      </c>
    </row>
    <row r="579">
      <c r="J579" t="n">
        <v>0</v>
      </c>
    </row>
    <row r="580">
      <c r="J580" t="n">
        <v>0</v>
      </c>
    </row>
    <row r="581">
      <c r="J581" t="n">
        <v>0</v>
      </c>
    </row>
    <row r="582">
      <c r="J582" t="n">
        <v>0</v>
      </c>
    </row>
    <row r="583">
      <c r="J583" t="n">
        <v>0</v>
      </c>
    </row>
    <row r="584">
      <c r="J584" t="n">
        <v>0</v>
      </c>
    </row>
    <row r="585">
      <c r="J585" t="n">
        <v>0</v>
      </c>
    </row>
    <row r="586">
      <c r="J586" t="n">
        <v>0</v>
      </c>
    </row>
    <row r="587">
      <c r="J587" t="n">
        <v>0</v>
      </c>
    </row>
    <row r="590">
      <c r="J590" t="n">
        <v>0</v>
      </c>
    </row>
    <row r="591">
      <c r="J591" t="n">
        <v>0</v>
      </c>
    </row>
    <row r="592">
      <c r="J592" t="n">
        <v>0</v>
      </c>
    </row>
    <row r="593">
      <c r="J593" t="n">
        <v>0</v>
      </c>
    </row>
    <row r="594">
      <c r="J594" t="n">
        <v>0</v>
      </c>
    </row>
    <row r="595">
      <c r="J595" t="n">
        <v>0</v>
      </c>
    </row>
    <row r="596">
      <c r="J596" t="n">
        <v>0</v>
      </c>
    </row>
    <row r="597">
      <c r="J597" t="n">
        <v>0</v>
      </c>
    </row>
    <row r="598">
      <c r="J598" t="n">
        <v>0</v>
      </c>
    </row>
    <row r="599">
      <c r="J599" t="n">
        <v>0</v>
      </c>
    </row>
    <row r="600">
      <c r="J600" t="n">
        <v>0</v>
      </c>
    </row>
    <row r="601">
      <c r="J601" t="n">
        <v>0</v>
      </c>
    </row>
    <row r="602">
      <c r="J602" t="n">
        <v>0</v>
      </c>
    </row>
    <row r="603">
      <c r="J603" t="n">
        <v>0</v>
      </c>
    </row>
    <row r="604">
      <c r="J604" t="n">
        <v>0</v>
      </c>
    </row>
    <row r="605">
      <c r="J605" t="n">
        <v>0</v>
      </c>
    </row>
    <row r="606">
      <c r="J606" t="n">
        <v>0</v>
      </c>
    </row>
    <row r="607">
      <c r="J607" t="n">
        <v>0</v>
      </c>
    </row>
    <row r="608">
      <c r="J608" t="n">
        <v>0</v>
      </c>
    </row>
    <row r="609">
      <c r="J609" t="n">
        <v>0</v>
      </c>
    </row>
    <row r="610">
      <c r="J610" t="n">
        <v>0</v>
      </c>
    </row>
    <row r="611">
      <c r="J611" t="n">
        <v>0</v>
      </c>
    </row>
    <row r="612">
      <c r="J612" t="n">
        <v>0</v>
      </c>
    </row>
    <row r="613">
      <c r="J613" t="n">
        <v>0</v>
      </c>
    </row>
    <row r="614">
      <c r="J614" t="n">
        <v>0</v>
      </c>
    </row>
    <row r="615">
      <c r="J615" t="n">
        <v>0</v>
      </c>
    </row>
    <row r="616">
      <c r="J616" t="n">
        <v>0</v>
      </c>
    </row>
    <row r="617">
      <c r="J617" t="n">
        <v>0</v>
      </c>
    </row>
    <row r="618">
      <c r="J618" t="n">
        <v>0</v>
      </c>
    </row>
    <row r="619">
      <c r="J619" t="n">
        <v>0</v>
      </c>
    </row>
    <row r="620">
      <c r="J620" t="n">
        <v>0</v>
      </c>
    </row>
    <row r="621">
      <c r="J621" t="n">
        <v>0</v>
      </c>
    </row>
    <row r="622">
      <c r="J622" t="n">
        <v>0</v>
      </c>
    </row>
    <row r="623">
      <c r="J623" t="n">
        <v>0</v>
      </c>
    </row>
    <row r="624">
      <c r="J624" t="n">
        <v>0</v>
      </c>
    </row>
    <row r="625">
      <c r="J625" t="n">
        <v>0</v>
      </c>
    </row>
    <row r="626">
      <c r="J626" t="n">
        <v>0</v>
      </c>
    </row>
    <row r="627">
      <c r="J627" t="n">
        <v>0</v>
      </c>
    </row>
    <row r="628">
      <c r="J628" t="n">
        <v>0</v>
      </c>
    </row>
    <row r="629">
      <c r="J629" t="n">
        <v>0</v>
      </c>
    </row>
    <row r="632">
      <c r="J632" t="n">
        <v>0</v>
      </c>
    </row>
    <row r="633">
      <c r="J633" t="n">
        <v>0</v>
      </c>
    </row>
    <row r="634">
      <c r="J634" t="n">
        <v>0</v>
      </c>
    </row>
    <row r="635">
      <c r="J635" t="n">
        <v>0</v>
      </c>
    </row>
    <row r="636">
      <c r="J636" t="n">
        <v>0</v>
      </c>
    </row>
    <row r="637">
      <c r="J637" t="n">
        <v>0</v>
      </c>
    </row>
    <row r="638">
      <c r="J638" t="n">
        <v>0</v>
      </c>
    </row>
    <row r="639">
      <c r="J639" t="n">
        <v>0</v>
      </c>
    </row>
    <row r="640">
      <c r="J640" t="n">
        <v>0</v>
      </c>
    </row>
    <row r="641">
      <c r="J641" t="n">
        <v>0</v>
      </c>
    </row>
    <row r="642">
      <c r="J642" t="n">
        <v>0</v>
      </c>
    </row>
    <row r="643">
      <c r="J643" t="n">
        <v>0</v>
      </c>
    </row>
    <row r="644">
      <c r="J644" t="n">
        <v>0</v>
      </c>
    </row>
    <row r="645">
      <c r="J645" t="n">
        <v>0</v>
      </c>
    </row>
    <row r="646">
      <c r="J646" t="n">
        <v>0</v>
      </c>
    </row>
    <row r="647">
      <c r="J647" t="n">
        <v>0</v>
      </c>
    </row>
    <row r="648">
      <c r="J648" t="n">
        <v>0</v>
      </c>
    </row>
    <row r="649">
      <c r="J649" t="n">
        <v>0</v>
      </c>
    </row>
    <row r="650">
      <c r="J650" t="n">
        <v>0</v>
      </c>
    </row>
    <row r="651">
      <c r="J651" t="n">
        <v>0</v>
      </c>
    </row>
    <row r="652">
      <c r="J652" t="n">
        <v>0</v>
      </c>
    </row>
    <row r="653">
      <c r="J653" t="n">
        <v>0</v>
      </c>
    </row>
    <row r="654">
      <c r="J654" t="n">
        <v>0</v>
      </c>
    </row>
    <row r="655">
      <c r="J655" t="n">
        <v>0</v>
      </c>
    </row>
    <row r="656">
      <c r="J656" t="n">
        <v>0</v>
      </c>
    </row>
    <row r="657">
      <c r="J657" t="n">
        <v>0</v>
      </c>
    </row>
    <row r="658">
      <c r="J658" t="n">
        <v>0</v>
      </c>
    </row>
    <row r="659">
      <c r="J659" t="n">
        <v>0</v>
      </c>
    </row>
    <row r="660">
      <c r="J660" t="n">
        <v>0</v>
      </c>
    </row>
    <row r="661">
      <c r="J661" t="n">
        <v>0</v>
      </c>
    </row>
    <row r="662">
      <c r="J662" t="n">
        <v>0</v>
      </c>
    </row>
    <row r="663">
      <c r="J663" t="n">
        <v>0</v>
      </c>
    </row>
    <row r="664">
      <c r="J664" t="n">
        <v>0</v>
      </c>
    </row>
    <row r="665">
      <c r="J665" t="n">
        <v>0</v>
      </c>
    </row>
    <row r="666">
      <c r="J666" t="n">
        <v>0</v>
      </c>
    </row>
    <row r="667">
      <c r="J667" t="n">
        <v>0</v>
      </c>
    </row>
    <row r="668">
      <c r="J668" t="n">
        <v>0</v>
      </c>
    </row>
    <row r="669">
      <c r="J669" t="n">
        <v>0</v>
      </c>
    </row>
    <row r="670">
      <c r="J670" t="n">
        <v>0</v>
      </c>
    </row>
    <row r="671">
      <c r="J671" t="n">
        <v>0</v>
      </c>
    </row>
    <row r="674">
      <c r="J674" t="n">
        <v>0</v>
      </c>
    </row>
    <row r="675">
      <c r="J675" t="n">
        <v>0</v>
      </c>
    </row>
    <row r="676">
      <c r="J676" t="n">
        <v>0</v>
      </c>
    </row>
    <row r="677">
      <c r="J677" t="n">
        <v>0</v>
      </c>
    </row>
    <row r="678">
      <c r="J678" t="n">
        <v>0</v>
      </c>
    </row>
    <row r="679">
      <c r="J679" t="n">
        <v>0</v>
      </c>
    </row>
    <row r="680">
      <c r="J680" t="n">
        <v>0</v>
      </c>
    </row>
    <row r="681">
      <c r="J681" t="n">
        <v>0</v>
      </c>
    </row>
    <row r="682">
      <c r="J682" t="n">
        <v>0</v>
      </c>
    </row>
    <row r="683">
      <c r="J683" t="n">
        <v>0</v>
      </c>
    </row>
    <row r="684">
      <c r="J684" t="n">
        <v>0</v>
      </c>
    </row>
    <row r="685">
      <c r="J685" t="n">
        <v>0</v>
      </c>
    </row>
    <row r="686">
      <c r="J686" t="n">
        <v>0</v>
      </c>
    </row>
    <row r="687">
      <c r="J687" t="n">
        <v>0</v>
      </c>
    </row>
    <row r="688">
      <c r="J688" t="n">
        <v>0</v>
      </c>
    </row>
    <row r="689">
      <c r="J689" t="n">
        <v>0</v>
      </c>
    </row>
    <row r="690">
      <c r="J690" t="n">
        <v>0</v>
      </c>
    </row>
    <row r="691">
      <c r="J691" t="n">
        <v>0</v>
      </c>
    </row>
    <row r="692">
      <c r="J692" t="n">
        <v>0</v>
      </c>
    </row>
    <row r="693">
      <c r="J693" t="n">
        <v>0</v>
      </c>
    </row>
    <row r="694">
      <c r="J694" t="n">
        <v>0</v>
      </c>
    </row>
    <row r="695">
      <c r="J695" t="n">
        <v>0</v>
      </c>
    </row>
    <row r="696">
      <c r="J696" t="n">
        <v>0</v>
      </c>
    </row>
    <row r="697">
      <c r="J697" t="n">
        <v>0</v>
      </c>
    </row>
    <row r="700">
      <c r="J700" t="n">
        <v>0</v>
      </c>
    </row>
    <row r="701">
      <c r="J701" t="n">
        <v>0</v>
      </c>
    </row>
    <row r="702">
      <c r="J702" t="n">
        <v>0</v>
      </c>
    </row>
    <row r="703">
      <c r="J703" t="n">
        <v>0</v>
      </c>
    </row>
    <row r="704">
      <c r="J704" t="n">
        <v>0</v>
      </c>
    </row>
    <row r="705">
      <c r="J705" t="n">
        <v>0</v>
      </c>
    </row>
    <row r="706">
      <c r="J706" t="n">
        <v>0</v>
      </c>
    </row>
    <row r="707">
      <c r="J707" t="n">
        <v>0</v>
      </c>
    </row>
    <row r="708">
      <c r="J708" t="n">
        <v>0</v>
      </c>
    </row>
    <row r="709">
      <c r="J709" t="n">
        <v>0</v>
      </c>
    </row>
    <row r="710">
      <c r="J710" t="n">
        <v>0</v>
      </c>
    </row>
    <row r="711">
      <c r="J711" t="n">
        <v>0</v>
      </c>
    </row>
    <row r="712">
      <c r="J712" t="n">
        <v>0</v>
      </c>
    </row>
    <row r="713">
      <c r="J713" t="n">
        <v>0</v>
      </c>
    </row>
    <row r="714">
      <c r="J714" t="n">
        <v>0</v>
      </c>
    </row>
    <row r="715">
      <c r="J715" t="n">
        <v>0</v>
      </c>
    </row>
    <row r="716">
      <c r="J716" t="n">
        <v>0</v>
      </c>
    </row>
    <row r="717">
      <c r="J717" t="n">
        <v>0</v>
      </c>
    </row>
    <row r="718">
      <c r="J718" t="n">
        <v>0</v>
      </c>
    </row>
    <row r="719">
      <c r="J719" t="n">
        <v>0</v>
      </c>
    </row>
    <row r="720">
      <c r="J720" t="n">
        <v>0</v>
      </c>
    </row>
    <row r="721">
      <c r="J721" t="n">
        <v>0</v>
      </c>
    </row>
    <row r="722">
      <c r="J722" t="n">
        <v>0</v>
      </c>
    </row>
    <row r="723">
      <c r="J723" t="n">
        <v>0</v>
      </c>
    </row>
    <row r="726">
      <c r="J726" t="n">
        <v>0</v>
      </c>
    </row>
    <row r="727">
      <c r="J727" t="n">
        <v>0</v>
      </c>
    </row>
    <row r="728">
      <c r="J728" t="n">
        <v>0</v>
      </c>
    </row>
    <row r="729">
      <c r="J729" t="n">
        <v>0</v>
      </c>
    </row>
    <row r="730">
      <c r="J730" t="n">
        <v>0</v>
      </c>
    </row>
    <row r="731">
      <c r="J731" t="n">
        <v>0</v>
      </c>
    </row>
    <row r="732">
      <c r="J732" t="n">
        <v>0</v>
      </c>
    </row>
    <row r="733">
      <c r="J733" t="n">
        <v>0</v>
      </c>
    </row>
    <row r="734">
      <c r="J734" t="n">
        <v>0</v>
      </c>
    </row>
    <row r="735">
      <c r="J735" t="n">
        <v>0</v>
      </c>
    </row>
    <row r="736">
      <c r="J736" t="n">
        <v>0</v>
      </c>
    </row>
    <row r="737">
      <c r="J737" t="n">
        <v>0</v>
      </c>
    </row>
    <row r="738">
      <c r="J738" t="n">
        <v>0</v>
      </c>
    </row>
    <row r="739">
      <c r="J739" t="n">
        <v>0</v>
      </c>
    </row>
    <row r="740">
      <c r="J740" t="n">
        <v>0</v>
      </c>
    </row>
    <row r="741">
      <c r="J741" t="n">
        <v>0</v>
      </c>
    </row>
    <row r="742">
      <c r="J742" t="n">
        <v>0</v>
      </c>
    </row>
    <row r="743">
      <c r="J743" t="n">
        <v>0</v>
      </c>
    </row>
    <row r="744">
      <c r="J744" t="n">
        <v>0</v>
      </c>
    </row>
    <row r="745">
      <c r="J745" t="n">
        <v>0</v>
      </c>
    </row>
    <row r="746">
      <c r="J746" t="n">
        <v>0</v>
      </c>
    </row>
    <row r="747">
      <c r="J747" t="n">
        <v>0</v>
      </c>
    </row>
    <row r="748">
      <c r="J748" t="n">
        <v>0</v>
      </c>
    </row>
    <row r="749">
      <c r="J749" t="n">
        <v>0</v>
      </c>
    </row>
    <row r="752">
      <c r="J752" t="n">
        <v>0</v>
      </c>
    </row>
    <row r="753">
      <c r="J753" t="n">
        <v>0</v>
      </c>
    </row>
    <row r="754">
      <c r="J754" t="n">
        <v>0</v>
      </c>
    </row>
    <row r="755">
      <c r="J755" t="n">
        <v>0</v>
      </c>
    </row>
    <row r="756">
      <c r="J756" t="n">
        <v>0</v>
      </c>
    </row>
    <row r="757">
      <c r="J757" t="n">
        <v>0</v>
      </c>
    </row>
    <row r="758">
      <c r="J758" t="n">
        <v>0</v>
      </c>
    </row>
    <row r="759">
      <c r="J759" t="n">
        <v>0</v>
      </c>
    </row>
    <row r="760">
      <c r="J760" t="n">
        <v>0</v>
      </c>
    </row>
    <row r="761">
      <c r="J761" t="n">
        <v>0</v>
      </c>
    </row>
    <row r="762">
      <c r="J762" t="n">
        <v>0</v>
      </c>
    </row>
    <row r="763">
      <c r="J763" t="n">
        <v>0</v>
      </c>
    </row>
    <row r="764">
      <c r="J764" t="n">
        <v>0</v>
      </c>
    </row>
    <row r="765">
      <c r="J765" t="n">
        <v>0</v>
      </c>
    </row>
    <row r="766">
      <c r="J766" t="n">
        <v>0</v>
      </c>
    </row>
    <row r="767">
      <c r="J767" t="n">
        <v>0</v>
      </c>
    </row>
    <row r="768">
      <c r="J768" t="n">
        <v>0</v>
      </c>
    </row>
    <row r="769">
      <c r="J769" t="n">
        <v>0</v>
      </c>
    </row>
    <row r="770">
      <c r="J770" t="n">
        <v>0</v>
      </c>
    </row>
    <row r="771">
      <c r="J771" t="n">
        <v>0</v>
      </c>
    </row>
    <row r="772">
      <c r="J772" t="n">
        <v>0</v>
      </c>
    </row>
    <row r="773">
      <c r="J773" t="n">
        <v>0</v>
      </c>
    </row>
    <row r="774">
      <c r="J774" t="n">
        <v>0</v>
      </c>
    </row>
    <row r="775">
      <c r="J775" t="n">
        <v>0</v>
      </c>
    </row>
    <row r="778">
      <c r="J778" t="n">
        <v>196.6261717009347</v>
      </c>
    </row>
    <row r="779">
      <c r="J779" t="n">
        <v>134.2638296944244</v>
      </c>
    </row>
    <row r="780">
      <c r="J780" t="n">
        <v>105.7648478374897</v>
      </c>
    </row>
    <row r="781">
      <c r="J781" t="n">
        <v>114.2598238398874</v>
      </c>
    </row>
    <row r="782">
      <c r="J782" t="n">
        <v>128.9138805007153</v>
      </c>
    </row>
    <row r="783">
      <c r="J783" t="n">
        <v>0</v>
      </c>
    </row>
    <row r="784">
      <c r="J784" t="n">
        <v>0</v>
      </c>
    </row>
    <row r="785">
      <c r="J785" t="n">
        <v>0</v>
      </c>
    </row>
    <row r="786">
      <c r="J786" t="n">
        <v>0</v>
      </c>
    </row>
    <row r="787">
      <c r="J787" t="n">
        <v>0</v>
      </c>
    </row>
    <row r="788">
      <c r="J788" t="n">
        <v>19896.29660695417</v>
      </c>
    </row>
    <row r="789">
      <c r="J789" t="n">
        <v>16680.87713825592</v>
      </c>
    </row>
    <row r="790">
      <c r="J790" t="n">
        <v>14733.20694435568</v>
      </c>
    </row>
    <row r="791">
      <c r="J791" t="n">
        <v>15618.72344856669</v>
      </c>
    </row>
    <row r="792">
      <c r="J792" t="n">
        <v>16286.77973245974</v>
      </c>
    </row>
    <row r="793">
      <c r="J793" t="n">
        <v>35.63618992130026</v>
      </c>
    </row>
    <row r="794">
      <c r="J794" t="n">
        <v>42.52395472417253</v>
      </c>
    </row>
    <row r="795">
      <c r="J795" t="n">
        <v>50.78222035110007</v>
      </c>
    </row>
    <row r="796">
      <c r="J796" t="n">
        <v>60.68058656754611</v>
      </c>
    </row>
    <row r="797">
      <c r="J797" t="n">
        <v>72.54646532368758</v>
      </c>
    </row>
    <row r="798">
      <c r="J798" t="n">
        <v>13405.97599646931</v>
      </c>
    </row>
    <row r="799">
      <c r="J799" t="n">
        <v>8822.133324716275</v>
      </c>
    </row>
    <row r="800">
      <c r="J800" t="n">
        <v>6509.52232251386</v>
      </c>
    </row>
    <row r="801">
      <c r="J801" t="n">
        <v>6879.256494565676</v>
      </c>
    </row>
    <row r="802">
      <c r="J802" t="n">
        <v>7612.008616173764</v>
      </c>
    </row>
    <row r="803">
      <c r="J803" t="n">
        <v>1.738186843777141</v>
      </c>
    </row>
    <row r="804">
      <c r="J804" t="n">
        <v>2.050196563915478</v>
      </c>
    </row>
    <row r="805">
      <c r="J805" t="n">
        <v>2.424891022071317</v>
      </c>
    </row>
    <row r="806">
      <c r="J806" t="n">
        <v>2.874551994171362</v>
      </c>
    </row>
    <row r="807">
      <c r="J807" t="n">
        <v>3.414144456578994</v>
      </c>
    </row>
    <row r="808">
      <c r="J808" t="n">
        <v>512.2222528127046</v>
      </c>
    </row>
    <row r="809">
      <c r="J809" t="n">
        <v>490.4905152928351</v>
      </c>
    </row>
    <row r="810">
      <c r="J810" t="n">
        <v>469.8343364672167</v>
      </c>
    </row>
    <row r="811">
      <c r="J811" t="n">
        <v>477.6459316714709</v>
      </c>
    </row>
    <row r="812">
      <c r="J812" t="n">
        <v>496.0375203429884</v>
      </c>
    </row>
    <row r="813">
      <c r="J813" t="n">
        <v>0</v>
      </c>
    </row>
    <row r="814">
      <c r="J814" t="n">
        <v>0</v>
      </c>
    </row>
    <row r="815">
      <c r="J815" t="n">
        <v>0</v>
      </c>
    </row>
    <row r="816">
      <c r="J816" t="n">
        <v>0</v>
      </c>
    </row>
    <row r="817">
      <c r="J817" t="n">
        <v>0</v>
      </c>
    </row>
    <row r="820">
      <c r="J820" t="n">
        <v>145594.6402913605</v>
      </c>
    </row>
    <row r="821">
      <c r="J821" t="n">
        <v>103784.29887349</v>
      </c>
    </row>
    <row r="822">
      <c r="J822" t="n">
        <v>86686.48946035</v>
      </c>
    </row>
    <row r="823">
      <c r="J823" t="n">
        <v>93908.5468394084</v>
      </c>
    </row>
    <row r="824">
      <c r="J824" t="n">
        <v>104343.4466087501</v>
      </c>
    </row>
    <row r="825">
      <c r="J825" t="n">
        <v>0</v>
      </c>
    </row>
    <row r="826">
      <c r="J826" t="n">
        <v>0</v>
      </c>
    </row>
    <row r="827">
      <c r="J827" t="n">
        <v>0</v>
      </c>
    </row>
    <row r="828">
      <c r="J828" t="n">
        <v>0</v>
      </c>
    </row>
    <row r="829">
      <c r="J829" t="n">
        <v>0</v>
      </c>
    </row>
    <row r="830">
      <c r="J830" t="n">
        <v>6209539.526852254</v>
      </c>
    </row>
    <row r="831">
      <c r="J831" t="n">
        <v>5548642.3886889</v>
      </c>
    </row>
    <row r="832">
      <c r="J832" t="n">
        <v>5277594.225797086</v>
      </c>
    </row>
    <row r="833">
      <c r="J833" t="n">
        <v>5525986.65688306</v>
      </c>
    </row>
    <row r="834">
      <c r="J834" t="n">
        <v>5741756.359120874</v>
      </c>
    </row>
    <row r="835">
      <c r="J835" t="n">
        <v>5397.676677950479</v>
      </c>
    </row>
    <row r="836">
      <c r="J836" t="n">
        <v>6441.999113778642</v>
      </c>
    </row>
    <row r="837">
      <c r="J837" t="n">
        <v>7693.360780751707</v>
      </c>
    </row>
    <row r="838">
      <c r="J838" t="n">
        <v>9192.524231700185</v>
      </c>
    </row>
    <row r="839">
      <c r="J839" t="n">
        <v>10988.91121976178</v>
      </c>
    </row>
    <row r="840">
      <c r="J840" t="n">
        <v>7679266.26365572</v>
      </c>
    </row>
    <row r="841">
      <c r="J841" t="n">
        <v>5560265.151249691</v>
      </c>
    </row>
    <row r="842">
      <c r="J842" t="n">
        <v>4570515.424271909</v>
      </c>
    </row>
    <row r="843">
      <c r="J843" t="n">
        <v>4833021.42789907</v>
      </c>
    </row>
    <row r="844">
      <c r="J844" t="n">
        <v>5317182.586338122</v>
      </c>
    </row>
    <row r="845">
      <c r="J845" t="n">
        <v>932.9198477001866</v>
      </c>
    </row>
    <row r="846">
      <c r="J846" t="n">
        <v>1105.355576840789</v>
      </c>
    </row>
    <row r="847">
      <c r="J847" t="n">
        <v>1311.911441243517</v>
      </c>
    </row>
    <row r="848">
      <c r="J848" t="n">
        <v>1559.314283420153</v>
      </c>
    </row>
    <row r="849">
      <c r="J849" t="n">
        <v>1855.682103934027</v>
      </c>
    </row>
    <row r="850">
      <c r="J850" t="n">
        <v>3943838.453051297</v>
      </c>
    </row>
    <row r="851">
      <c r="J851" t="n">
        <v>3621761.716755628</v>
      </c>
    </row>
    <row r="852">
      <c r="J852" t="n">
        <v>3561035.453842107</v>
      </c>
    </row>
    <row r="853">
      <c r="J853" t="n">
        <v>3685285.501761703</v>
      </c>
    </row>
    <row r="854">
      <c r="J854" t="n">
        <v>3879780.716755035</v>
      </c>
    </row>
    <row r="855">
      <c r="J855" t="n">
        <v>0</v>
      </c>
    </row>
    <row r="856">
      <c r="J856" t="n">
        <v>0</v>
      </c>
    </row>
    <row r="857">
      <c r="J857" t="n">
        <v>0</v>
      </c>
    </row>
    <row r="858">
      <c r="J858" t="n">
        <v>0</v>
      </c>
    </row>
    <row r="859">
      <c r="J859" t="n">
        <v>0</v>
      </c>
    </row>
    <row r="862">
      <c r="J862" t="n">
        <v>271270.2932313644</v>
      </c>
    </row>
    <row r="863">
      <c r="J863" t="n">
        <v>199109.7123438008</v>
      </c>
    </row>
    <row r="864">
      <c r="J864" t="n">
        <v>175252.0047447505</v>
      </c>
    </row>
    <row r="865">
      <c r="J865" t="n">
        <v>192031.7699840236</v>
      </c>
    </row>
    <row r="866">
      <c r="J866" t="n">
        <v>211240.0607457105</v>
      </c>
    </row>
    <row r="867">
      <c r="J867" t="n">
        <v>0</v>
      </c>
    </row>
    <row r="868">
      <c r="J868" t="n">
        <v>0</v>
      </c>
    </row>
    <row r="869">
      <c r="J869" t="n">
        <v>0</v>
      </c>
    </row>
    <row r="870">
      <c r="J870" t="n">
        <v>0</v>
      </c>
    </row>
    <row r="871">
      <c r="J871" t="n">
        <v>0</v>
      </c>
    </row>
    <row r="872">
      <c r="J872" t="n">
        <v>12828473.5366208</v>
      </c>
    </row>
    <row r="873">
      <c r="J873" t="n">
        <v>12101608.14136388</v>
      </c>
    </row>
    <row r="874">
      <c r="J874" t="n">
        <v>12236458.88660706</v>
      </c>
    </row>
    <row r="875">
      <c r="J875" t="n">
        <v>13333767.02066024</v>
      </c>
    </row>
    <row r="876">
      <c r="J876" t="n">
        <v>13882367.13332518</v>
      </c>
    </row>
    <row r="877">
      <c r="J877" t="n">
        <v>19441.10233283758</v>
      </c>
    </row>
    <row r="878">
      <c r="J878" t="n">
        <v>23248.22271874109</v>
      </c>
    </row>
    <row r="879">
      <c r="J879" t="n">
        <v>27810.56360451859</v>
      </c>
    </row>
    <row r="880">
      <c r="J880" t="n">
        <v>33276.65501014089</v>
      </c>
    </row>
    <row r="881">
      <c r="J881" t="n">
        <v>39827.89064243212</v>
      </c>
    </row>
    <row r="882">
      <c r="J882" t="n">
        <v>13429198.11803442</v>
      </c>
    </row>
    <row r="883">
      <c r="J883" t="n">
        <v>10141108.0178823</v>
      </c>
    </row>
    <row r="884">
      <c r="J884" t="n">
        <v>9176336.984941749</v>
      </c>
    </row>
    <row r="885">
      <c r="J885" t="n">
        <v>10047488.64464857</v>
      </c>
    </row>
    <row r="886">
      <c r="J886" t="n">
        <v>10959771.7161563</v>
      </c>
    </row>
    <row r="887">
      <c r="J887" t="n">
        <v>3273.44424956221</v>
      </c>
    </row>
    <row r="888">
      <c r="J888" t="n">
        <v>3899.685860508762</v>
      </c>
    </row>
    <row r="889">
      <c r="J889" t="n">
        <v>4650.358238734626</v>
      </c>
    </row>
    <row r="890">
      <c r="J890" t="n">
        <v>5550.058073285879</v>
      </c>
    </row>
    <row r="891">
      <c r="J891" t="n">
        <v>6628.420707386305</v>
      </c>
    </row>
    <row r="892">
      <c r="J892" t="n">
        <v>7389960.033252852</v>
      </c>
    </row>
    <row r="893">
      <c r="J893" t="n">
        <v>7072767.146484077</v>
      </c>
    </row>
    <row r="894">
      <c r="J894" t="n">
        <v>7153802.297771873</v>
      </c>
    </row>
    <row r="895">
      <c r="J895" t="n">
        <v>7538981.651180476</v>
      </c>
    </row>
    <row r="896">
      <c r="J896" t="n">
        <v>8062426.7691631</v>
      </c>
    </row>
    <row r="897">
      <c r="J897" t="n">
        <v>0</v>
      </c>
    </row>
    <row r="898">
      <c r="J898" t="n">
        <v>0</v>
      </c>
    </row>
    <row r="899">
      <c r="J899" t="n">
        <v>0</v>
      </c>
    </row>
    <row r="900">
      <c r="J900" t="n">
        <v>0</v>
      </c>
    </row>
    <row r="901">
      <c r="J901" t="n">
        <v>0</v>
      </c>
    </row>
    <row r="904">
      <c r="J904" t="n">
        <v>102605.9728396242</v>
      </c>
    </row>
    <row r="905">
      <c r="J905" t="n">
        <v>70193.53955927822</v>
      </c>
    </row>
    <row r="906">
      <c r="J906" t="n">
        <v>61449.83463150013</v>
      </c>
    </row>
    <row r="907">
      <c r="J907" t="n">
        <v>70615.95692369819</v>
      </c>
    </row>
    <row r="908">
      <c r="J908" t="n">
        <v>73979.19665049975</v>
      </c>
    </row>
    <row r="909">
      <c r="J909" t="n">
        <v>0</v>
      </c>
    </row>
    <row r="910">
      <c r="J910" t="n">
        <v>0</v>
      </c>
    </row>
    <row r="911">
      <c r="J911" t="n">
        <v>0</v>
      </c>
    </row>
    <row r="912">
      <c r="J912" t="n">
        <v>0</v>
      </c>
    </row>
    <row r="913">
      <c r="J913" t="n">
        <v>0</v>
      </c>
    </row>
    <row r="914">
      <c r="J914" t="n">
        <v>5164963.600064635</v>
      </c>
    </row>
    <row r="915">
      <c r="J915" t="n">
        <v>5054105.461054626</v>
      </c>
    </row>
    <row r="916">
      <c r="J916" t="n">
        <v>5259284.284873983</v>
      </c>
    </row>
    <row r="917">
      <c r="J917" t="n">
        <v>6012410.479334642</v>
      </c>
    </row>
    <row r="918">
      <c r="J918" t="n">
        <v>6034921.469921236</v>
      </c>
    </row>
    <row r="919">
      <c r="J919" t="n">
        <v>0</v>
      </c>
    </row>
    <row r="920">
      <c r="J920" t="n">
        <v>0</v>
      </c>
    </row>
    <row r="921">
      <c r="J921" t="n">
        <v>0</v>
      </c>
    </row>
    <row r="922">
      <c r="J922" t="n">
        <v>0</v>
      </c>
    </row>
    <row r="923">
      <c r="J923" t="n">
        <v>0</v>
      </c>
    </row>
    <row r="924">
      <c r="J924" t="n">
        <v>4208959.653986271</v>
      </c>
    </row>
    <row r="925">
      <c r="J925" t="n">
        <v>2869301.519623314</v>
      </c>
    </row>
    <row r="926">
      <c r="J926" t="n">
        <v>2791917.381590982</v>
      </c>
    </row>
    <row r="927">
      <c r="J927" t="n">
        <v>3232516.35125634</v>
      </c>
    </row>
    <row r="928">
      <c r="J928" t="n">
        <v>3260139.232675076</v>
      </c>
    </row>
    <row r="929">
      <c r="J929" t="n">
        <v>0</v>
      </c>
    </row>
    <row r="930">
      <c r="J930" t="n">
        <v>0</v>
      </c>
    </row>
    <row r="931">
      <c r="J931" t="n">
        <v>0</v>
      </c>
    </row>
    <row r="932">
      <c r="J932" t="n">
        <v>0</v>
      </c>
    </row>
    <row r="933">
      <c r="J933" t="n">
        <v>0</v>
      </c>
    </row>
    <row r="934">
      <c r="J934" t="n">
        <v>1240989.140146127</v>
      </c>
    </row>
    <row r="935">
      <c r="J935" t="n">
        <v>1212799.463647056</v>
      </c>
    </row>
    <row r="936">
      <c r="J936" t="n">
        <v>1091046.504785574</v>
      </c>
    </row>
    <row r="937">
      <c r="J937" t="n">
        <v>1182703.273589988</v>
      </c>
    </row>
    <row r="938">
      <c r="J938" t="n">
        <v>1288529.31287636</v>
      </c>
    </row>
    <row r="939">
      <c r="J939" t="n">
        <v>0</v>
      </c>
    </row>
    <row r="940">
      <c r="J940" t="n">
        <v>0</v>
      </c>
    </row>
    <row r="941">
      <c r="J941" t="n">
        <v>0</v>
      </c>
    </row>
    <row r="942">
      <c r="J942" t="n">
        <v>0</v>
      </c>
    </row>
    <row r="943">
      <c r="J94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J8:J943"/>
  <sheetViews>
    <sheetView workbookViewId="0">
      <selection activeCell="A1" sqref="A1"/>
    </sheetView>
  </sheetViews>
  <sheetFormatPr baseColWidth="8" defaultRowHeight="15"/>
  <sheetData>
    <row r="8">
      <c r="J8" t="inlineStr">
        <is>
          <t>RPT1161653296037EO</t>
        </is>
      </c>
    </row>
    <row r="9">
      <c r="J9" t="inlineStr">
        <is>
          <t>2026-01-27T08:39:54.000+00:00</t>
        </is>
      </c>
    </row>
    <row r="10">
      <c r="J10" t="inlineStr">
        <is>
          <t>N/A</t>
        </is>
      </c>
    </row>
    <row r="11">
      <c r="J11" t="n">
        <v>2027</v>
      </c>
    </row>
    <row r="12">
      <c r="J12" t="n">
        <v>2028</v>
      </c>
    </row>
    <row r="13">
      <c r="J13" t="n">
        <v>2029</v>
      </c>
    </row>
    <row r="14">
      <c r="J14" t="n">
        <v>2030</v>
      </c>
    </row>
    <row r="15">
      <c r="J15" t="n">
        <v>2031</v>
      </c>
    </row>
    <row r="16">
      <c r="J16" t="inlineStr">
        <is>
          <t>01/01/2025</t>
        </is>
      </c>
    </row>
    <row r="17">
      <c r="J17" t="inlineStr">
        <is>
          <t>11/30/2025</t>
        </is>
      </c>
    </row>
    <row r="18">
      <c r="J18" t="inlineStr">
        <is>
          <t>RxAdvance HTA Groups Rebate1 - M003</t>
        </is>
      </c>
    </row>
    <row r="19">
      <c r="J19" t="inlineStr">
        <is>
          <t>Medicare D</t>
        </is>
      </c>
    </row>
    <row r="20">
      <c r="J20" t="inlineStr">
        <is>
          <t>Gold 5 Tier-GOV</t>
        </is>
      </c>
    </row>
    <row r="21">
      <c r="J21" t="inlineStr">
        <is>
          <t>nonRebatable, MFP 2026 &amp; 2027</t>
        </is>
      </c>
    </row>
    <row r="22">
      <c r="J22" t="inlineStr">
        <is>
          <t>Include</t>
        </is>
      </c>
    </row>
    <row r="23">
      <c r="J23" t="inlineStr">
        <is>
          <t>Include</t>
        </is>
      </c>
    </row>
    <row r="24">
      <c r="J24" t="inlineStr">
        <is>
          <t>Include</t>
        </is>
      </c>
    </row>
    <row r="25">
      <c r="J25" t="inlineStr">
        <is>
          <t>Include</t>
        </is>
      </c>
    </row>
    <row r="26">
      <c r="J26" t="inlineStr">
        <is>
          <t>Include</t>
        </is>
      </c>
    </row>
    <row r="27">
      <c r="J27" t="inlineStr">
        <is>
          <t>Include</t>
        </is>
      </c>
    </row>
    <row r="28">
      <c r="J28" t="inlineStr">
        <is>
          <t>Include</t>
        </is>
      </c>
    </row>
    <row r="29">
      <c r="J29" t="inlineStr">
        <is>
          <t>Include</t>
        </is>
      </c>
    </row>
    <row r="30">
      <c r="J30" t="inlineStr">
        <is>
          <t>Include</t>
        </is>
      </c>
    </row>
    <row r="31">
      <c r="J31" t="inlineStr">
        <is>
          <t>Include</t>
        </is>
      </c>
    </row>
    <row r="32">
      <c r="J32" t="inlineStr">
        <is>
          <t>Include</t>
        </is>
      </c>
    </row>
    <row r="33">
      <c r="J33" t="inlineStr">
        <is>
          <t>Include</t>
        </is>
      </c>
    </row>
    <row r="34">
      <c r="J34" t="inlineStr">
        <is>
          <t>Include</t>
        </is>
      </c>
    </row>
    <row r="35">
      <c r="J35" t="inlineStr">
        <is>
          <t>Include</t>
        </is>
      </c>
    </row>
    <row r="36">
      <c r="J36" t="inlineStr">
        <is>
          <t>Exclude</t>
        </is>
      </c>
    </row>
    <row r="37">
      <c r="J37" t="inlineStr">
        <is>
          <t>Include</t>
        </is>
      </c>
    </row>
    <row r="38">
      <c r="J38" t="inlineStr">
        <is>
          <t>N/A</t>
        </is>
      </c>
    </row>
    <row r="39">
      <c r="J39" t="inlineStr">
        <is>
          <t>N/A</t>
        </is>
      </c>
    </row>
    <row r="40">
      <c r="J40" t="inlineStr">
        <is>
          <t>Hep B,HIV,IVIG,Narcolepsy,Nausea,Transplant,PCSK9,Dupixent</t>
        </is>
      </c>
    </row>
    <row r="41">
      <c r="J41" t="inlineStr">
        <is>
          <t>Non-Sp</t>
        </is>
      </c>
    </row>
    <row r="42">
      <c r="J42" t="inlineStr">
        <is>
          <t>Non-Sp</t>
        </is>
      </c>
    </row>
    <row r="43">
      <c r="J43" t="inlineStr">
        <is>
          <t>Non-Sp</t>
        </is>
      </c>
    </row>
    <row r="44">
      <c r="J44" t="inlineStr">
        <is>
          <t>Non-Sp</t>
        </is>
      </c>
    </row>
    <row r="45">
      <c r="J45" t="inlineStr">
        <is>
          <t>Non-Sp</t>
        </is>
      </c>
    </row>
    <row r="46">
      <c r="J46" t="inlineStr">
        <is>
          <t>Non-Sp</t>
        </is>
      </c>
    </row>
    <row r="47">
      <c r="J47" t="inlineStr">
        <is>
          <t>Non-Sp</t>
        </is>
      </c>
    </row>
    <row r="50">
      <c r="J50" t="inlineStr">
        <is>
          <t>N/A</t>
        </is>
      </c>
    </row>
    <row r="51">
      <c r="J51" t="inlineStr">
        <is>
          <t>N/A</t>
        </is>
      </c>
    </row>
    <row r="52">
      <c r="J52" t="n">
        <v>0.09927951473762373</v>
      </c>
    </row>
    <row r="53">
      <c r="J53" t="n">
        <v>0.1242312116261008</v>
      </c>
    </row>
    <row r="54">
      <c r="J54" t="inlineStr">
        <is>
          <t>https://repricingrequestform.optum.com/BGDefLookup/Override</t>
        </is>
      </c>
    </row>
    <row r="55">
      <c r="J55" t="inlineStr">
        <is>
          <t>N/A</t>
        </is>
      </c>
    </row>
    <row r="58">
      <c r="J58" t="inlineStr">
        <is>
          <t>Standard</t>
        </is>
      </c>
    </row>
    <row r="59">
      <c r="J59" t="inlineStr">
        <is>
          <t>Standard</t>
        </is>
      </c>
    </row>
    <row r="60">
      <c r="J60" t="inlineStr">
        <is>
          <t>No oGLP-1 Rebate Lift</t>
        </is>
      </c>
    </row>
    <row r="61">
      <c r="J61" t="inlineStr">
        <is>
          <t>Yes</t>
        </is>
      </c>
    </row>
    <row r="62">
      <c r="J62" t="inlineStr">
        <is>
          <t>Standard</t>
        </is>
      </c>
    </row>
    <row r="63">
      <c r="J63" t="inlineStr">
        <is>
          <t>Yes</t>
        </is>
      </c>
    </row>
    <row r="64">
      <c r="J64" t="inlineStr">
        <is>
          <t>No</t>
        </is>
      </c>
    </row>
    <row r="65">
      <c r="J65" t="n">
        <v>0</v>
      </c>
    </row>
    <row r="66">
      <c r="J66" t="inlineStr">
        <is>
          <t>Yes</t>
        </is>
      </c>
    </row>
    <row r="67">
      <c r="J67" t="n">
        <v>3</v>
      </c>
    </row>
    <row r="68">
      <c r="J68" t="inlineStr">
        <is>
          <t>Yes</t>
        </is>
      </c>
    </row>
    <row r="69">
      <c r="J69" t="inlineStr">
        <is>
          <t>Yes</t>
        </is>
      </c>
    </row>
    <row r="70">
      <c r="J70" t="inlineStr">
        <is>
          <t>No</t>
        </is>
      </c>
    </row>
    <row r="71">
      <c r="J71" t="inlineStr">
        <is>
          <t>No</t>
        </is>
      </c>
    </row>
    <row r="72">
      <c r="J72" t="inlineStr">
        <is>
          <t>No</t>
        </is>
      </c>
    </row>
    <row r="73">
      <c r="J73" t="inlineStr">
        <is>
          <t>&lt;N/A&gt;</t>
        </is>
      </c>
    </row>
    <row r="74">
      <c r="J74" t="inlineStr">
        <is>
          <t>MFP 2026 &amp; 2027 lists excluded</t>
        </is>
      </c>
    </row>
    <row r="75">
      <c r="J75" t="inlineStr">
        <is>
          <t>PTD Stelara Exclusive</t>
        </is>
      </c>
    </row>
    <row r="76">
      <c r="J76" t="inlineStr">
        <is>
          <t>No</t>
        </is>
      </c>
    </row>
    <row r="77">
      <c r="J77" t="inlineStr">
        <is>
          <t>N/A</t>
        </is>
      </c>
    </row>
    <row r="80">
      <c r="J80" t="n">
        <v>395.7249941049931</v>
      </c>
    </row>
    <row r="81">
      <c r="J81" t="n">
        <v>354.6530204676255</v>
      </c>
    </row>
    <row r="82">
      <c r="J82" t="n">
        <v>351.0856593960406</v>
      </c>
    </row>
    <row r="83">
      <c r="J83" t="n">
        <v>385.8960191777851</v>
      </c>
    </row>
    <row r="84">
      <c r="J84" t="n">
        <v>430.6050632289432</v>
      </c>
    </row>
    <row r="85">
      <c r="J85" t="n">
        <v>3894.916030591335</v>
      </c>
    </row>
    <row r="86">
      <c r="J86" t="n">
        <v>3984.544884719295</v>
      </c>
    </row>
    <row r="87">
      <c r="J87" t="n">
        <v>4037.944063015889</v>
      </c>
    </row>
    <row r="88">
      <c r="J88" t="n">
        <v>4053.370512931977</v>
      </c>
    </row>
    <row r="89">
      <c r="J89" t="n">
        <v>4073.110367617072</v>
      </c>
    </row>
    <row r="90">
      <c r="J90" t="n">
        <v>57199.84032949327</v>
      </c>
    </row>
    <row r="91">
      <c r="J91" t="n">
        <v>56137.58360604895</v>
      </c>
    </row>
    <row r="92">
      <c r="J92" t="n">
        <v>56266.14664972797</v>
      </c>
    </row>
    <row r="93">
      <c r="J93" t="n">
        <v>59710.28237934643</v>
      </c>
    </row>
    <row r="94">
      <c r="J94" t="n">
        <v>62605.89019898599</v>
      </c>
    </row>
    <row r="95">
      <c r="J95" t="n">
        <v>241652.3998057895</v>
      </c>
    </row>
    <row r="96">
      <c r="J96" t="n">
        <v>246902.4585367208</v>
      </c>
    </row>
    <row r="97">
      <c r="J97" t="n">
        <v>251058.7716169944</v>
      </c>
    </row>
    <row r="98">
      <c r="J98" t="n">
        <v>252166.8898634547</v>
      </c>
    </row>
    <row r="99">
      <c r="J99" t="n">
        <v>255319.0438033402</v>
      </c>
    </row>
    <row r="100">
      <c r="J100" t="n">
        <v>24389.98156756961</v>
      </c>
    </row>
    <row r="101">
      <c r="J101" t="n">
        <v>20590.78064875835</v>
      </c>
    </row>
    <row r="102">
      <c r="J102" t="n">
        <v>19210.90536688834</v>
      </c>
    </row>
    <row r="103">
      <c r="J103" t="n">
        <v>20620.81747253171</v>
      </c>
    </row>
    <row r="104">
      <c r="J104" t="n">
        <v>22401.80962683336</v>
      </c>
    </row>
    <row r="105">
      <c r="J105" t="n">
        <v>249252.7766818425</v>
      </c>
    </row>
    <row r="106">
      <c r="J106" t="n">
        <v>255551.6488549991</v>
      </c>
    </row>
    <row r="107">
      <c r="J107" t="n">
        <v>259471.334139881</v>
      </c>
    </row>
    <row r="108">
      <c r="J108" t="n">
        <v>260475.7279541245</v>
      </c>
    </row>
    <row r="109">
      <c r="J109" t="n">
        <v>261858.1558881195</v>
      </c>
    </row>
    <row r="110">
      <c r="J110" t="n">
        <v>3765.450386338963</v>
      </c>
    </row>
    <row r="111">
      <c r="J111" t="n">
        <v>4049.521749745113</v>
      </c>
    </row>
    <row r="112">
      <c r="J112" t="n">
        <v>4317.057968265627</v>
      </c>
    </row>
    <row r="113">
      <c r="J113" t="n">
        <v>4676.097014622318</v>
      </c>
    </row>
    <row r="114">
      <c r="J114" t="n">
        <v>5087.903313780873</v>
      </c>
    </row>
    <row r="115">
      <c r="J115" t="n">
        <v>593.1064664649766</v>
      </c>
    </row>
    <row r="116">
      <c r="J116" t="n">
        <v>671.8905131591767</v>
      </c>
    </row>
    <row r="117">
      <c r="J117" t="n">
        <v>807.542930245274</v>
      </c>
    </row>
    <row r="118">
      <c r="J118" t="n">
        <v>872.8055440801121</v>
      </c>
    </row>
    <row r="119">
      <c r="J119" t="n">
        <v>947.6867688457644</v>
      </c>
    </row>
    <row r="122">
      <c r="J122" t="n">
        <v>113.499513571218</v>
      </c>
    </row>
    <row r="123">
      <c r="J123" t="n">
        <v>125.7028715305737</v>
      </c>
    </row>
    <row r="124">
      <c r="J124" t="n">
        <v>140.8343910067029</v>
      </c>
    </row>
    <row r="125">
      <c r="J125" t="n">
        <v>156.5041012629894</v>
      </c>
    </row>
    <row r="126">
      <c r="J126" t="n">
        <v>179.5286944433204</v>
      </c>
    </row>
    <row r="127">
      <c r="J127" t="n">
        <v>0</v>
      </c>
    </row>
    <row r="128">
      <c r="J128" t="n">
        <v>0</v>
      </c>
    </row>
    <row r="129">
      <c r="J129" t="n">
        <v>0</v>
      </c>
    </row>
    <row r="130">
      <c r="J130" t="n">
        <v>0</v>
      </c>
    </row>
    <row r="131">
      <c r="J131" t="n">
        <v>0</v>
      </c>
    </row>
    <row r="132">
      <c r="J132" t="n">
        <v>18087.48193046954</v>
      </c>
    </row>
    <row r="133">
      <c r="J133" t="n">
        <v>19955.69094660143</v>
      </c>
    </row>
    <row r="134">
      <c r="J134" t="n">
        <v>21561.67962577959</v>
      </c>
    </row>
    <row r="135">
      <c r="J135" t="n">
        <v>22120.31824884859</v>
      </c>
    </row>
    <row r="136">
      <c r="J136" t="n">
        <v>23812.4214144909</v>
      </c>
    </row>
    <row r="137">
      <c r="J137" t="n">
        <v>0</v>
      </c>
    </row>
    <row r="138">
      <c r="J138" t="n">
        <v>0</v>
      </c>
    </row>
    <row r="139">
      <c r="J139" t="n">
        <v>0</v>
      </c>
    </row>
    <row r="140">
      <c r="J140" t="n">
        <v>0</v>
      </c>
    </row>
    <row r="141">
      <c r="J141" t="n">
        <v>0</v>
      </c>
    </row>
    <row r="142">
      <c r="J142" t="n">
        <v>4654.813130806128</v>
      </c>
    </row>
    <row r="143">
      <c r="J143" t="n">
        <v>5105.485261990426</v>
      </c>
    </row>
    <row r="144">
      <c r="J144" t="n">
        <v>5597.228850682064</v>
      </c>
    </row>
    <row r="145">
      <c r="J145" t="n">
        <v>5387.122490441874</v>
      </c>
    </row>
    <row r="146">
      <c r="J146" t="n">
        <v>6002.063722581527</v>
      </c>
    </row>
    <row r="147">
      <c r="J147" t="n">
        <v>0</v>
      </c>
    </row>
    <row r="148">
      <c r="J148" t="n">
        <v>0</v>
      </c>
    </row>
    <row r="149">
      <c r="J149" t="n">
        <v>0</v>
      </c>
    </row>
    <row r="150">
      <c r="J150" t="n">
        <v>0</v>
      </c>
    </row>
    <row r="151">
      <c r="J151" t="n">
        <v>0</v>
      </c>
    </row>
    <row r="152">
      <c r="J152" t="n">
        <v>1.183817273049723</v>
      </c>
    </row>
    <row r="153">
      <c r="J153" t="n">
        <v>1.214572845800833</v>
      </c>
    </row>
    <row r="154">
      <c r="J154" t="n">
        <v>1.251483714587393</v>
      </c>
    </row>
    <row r="155">
      <c r="J155" t="n">
        <v>1.276863804319086</v>
      </c>
    </row>
    <row r="156">
      <c r="J156" t="n">
        <v>1.302758602272106</v>
      </c>
    </row>
    <row r="157">
      <c r="J157" t="n">
        <v>0</v>
      </c>
    </row>
    <row r="158">
      <c r="J158" t="n">
        <v>0</v>
      </c>
    </row>
    <row r="159">
      <c r="J159" t="n">
        <v>0</v>
      </c>
    </row>
    <row r="160">
      <c r="J160" t="n">
        <v>0</v>
      </c>
    </row>
    <row r="161">
      <c r="J161" t="n">
        <v>0</v>
      </c>
    </row>
    <row r="164">
      <c r="J164" t="n">
        <v>1510.585179448266</v>
      </c>
    </row>
    <row r="165">
      <c r="J165" t="n">
        <v>1652.971843733314</v>
      </c>
    </row>
    <row r="166">
      <c r="J166" t="n">
        <v>1798.346699992939</v>
      </c>
    </row>
    <row r="167">
      <c r="J167" t="n">
        <v>1892.514158109979</v>
      </c>
    </row>
    <row r="168">
      <c r="J168" t="n">
        <v>1969.731260265199</v>
      </c>
    </row>
    <row r="169">
      <c r="J169" t="n">
        <v>390.0285030453805</v>
      </c>
    </row>
    <row r="170">
      <c r="J170" t="n">
        <v>414.1131366513352</v>
      </c>
    </row>
    <row r="171">
      <c r="J171" t="n">
        <v>429.4038024381355</v>
      </c>
    </row>
    <row r="172">
      <c r="J172" t="n">
        <v>440.4373424099214</v>
      </c>
    </row>
    <row r="173">
      <c r="J173" t="n">
        <v>452.7928210828046</v>
      </c>
    </row>
    <row r="174">
      <c r="J174" t="n">
        <v>669.6724638238039</v>
      </c>
    </row>
    <row r="175">
      <c r="J175" t="n">
        <v>731.6296863598734</v>
      </c>
    </row>
    <row r="176">
      <c r="J176" t="n">
        <v>793.7463180883312</v>
      </c>
    </row>
    <row r="177">
      <c r="J177" t="n">
        <v>833.570744169705</v>
      </c>
    </row>
    <row r="178">
      <c r="J178" t="n">
        <v>873.6220617432546</v>
      </c>
    </row>
    <row r="179">
      <c r="J179" t="n">
        <v>134.5500316594239</v>
      </c>
    </row>
    <row r="180">
      <c r="J180" t="n">
        <v>143.1792212275921</v>
      </c>
    </row>
    <row r="181">
      <c r="J181" t="n">
        <v>150.6413127648601</v>
      </c>
    </row>
    <row r="182">
      <c r="J182" t="n">
        <v>157.4178133761723</v>
      </c>
    </row>
    <row r="183">
      <c r="J183" t="n">
        <v>168.0815729879608</v>
      </c>
    </row>
    <row r="184">
      <c r="J184" t="n">
        <v>1072.497118532472</v>
      </c>
    </row>
    <row r="185">
      <c r="J185" t="n">
        <v>1210.526120591607</v>
      </c>
    </row>
    <row r="186">
      <c r="J186" t="n">
        <v>1367.950894834625</v>
      </c>
    </row>
    <row r="187">
      <c r="J187" t="n">
        <v>1444.155136445779</v>
      </c>
    </row>
    <row r="188">
      <c r="J188" t="n">
        <v>1499.605715073023</v>
      </c>
    </row>
    <row r="189">
      <c r="J189" t="n">
        <v>371.4627155338093</v>
      </c>
    </row>
    <row r="190">
      <c r="J190" t="n">
        <v>384.7987609231269</v>
      </c>
    </row>
    <row r="191">
      <c r="J191" t="n">
        <v>393.8465753177051</v>
      </c>
    </row>
    <row r="192">
      <c r="J192" t="n">
        <v>401.5380143327345</v>
      </c>
    </row>
    <row r="193">
      <c r="J193" t="n">
        <v>411.2997969759861</v>
      </c>
    </row>
    <row r="194">
      <c r="J194" t="n">
        <v>13412.14058470343</v>
      </c>
    </row>
    <row r="195">
      <c r="J195" t="n">
        <v>13656.58074008633</v>
      </c>
    </row>
    <row r="196">
      <c r="J196" t="n">
        <v>13655.29252929253</v>
      </c>
    </row>
    <row r="197">
      <c r="J197" t="n">
        <v>13869.5378682432</v>
      </c>
    </row>
    <row r="198">
      <c r="J198" t="n">
        <v>14090.62929753491</v>
      </c>
    </row>
    <row r="199">
      <c r="J199" t="n">
        <v>13942.89108243949</v>
      </c>
    </row>
    <row r="200">
      <c r="J200" t="n">
        <v>14502.84162454472</v>
      </c>
    </row>
    <row r="201">
      <c r="J201" t="n">
        <v>16254.31574579821</v>
      </c>
    </row>
    <row r="202">
      <c r="J202" t="n">
        <v>17165.45150073258</v>
      </c>
    </row>
    <row r="203">
      <c r="J203" t="n">
        <v>18042.2552026335</v>
      </c>
    </row>
    <row r="206">
      <c r="J206" t="n">
        <v>2358.934527687844</v>
      </c>
    </row>
    <row r="207">
      <c r="J207" t="n">
        <v>2529.552078781821</v>
      </c>
    </row>
    <row r="208">
      <c r="J208" t="n">
        <v>2645.495034665312</v>
      </c>
    </row>
    <row r="209">
      <c r="J209" t="n">
        <v>2795.699396157698</v>
      </c>
    </row>
    <row r="210">
      <c r="J210" t="n">
        <v>2888.825343990327</v>
      </c>
    </row>
    <row r="211">
      <c r="J211" t="n">
        <v>0</v>
      </c>
    </row>
    <row r="212">
      <c r="J212" t="n">
        <v>0</v>
      </c>
    </row>
    <row r="213">
      <c r="J213" t="n">
        <v>0</v>
      </c>
    </row>
    <row r="214">
      <c r="J214" t="n">
        <v>0</v>
      </c>
    </row>
    <row r="215">
      <c r="J215" t="n">
        <v>0</v>
      </c>
    </row>
    <row r="216">
      <c r="J216" t="n">
        <v>974.7041653454618</v>
      </c>
    </row>
    <row r="217">
      <c r="J217" t="n">
        <v>1029.590264098971</v>
      </c>
    </row>
    <row r="218">
      <c r="J218" t="n">
        <v>1075.689213822377</v>
      </c>
    </row>
    <row r="219">
      <c r="J219" t="n">
        <v>1187.777373490905</v>
      </c>
    </row>
    <row r="220">
      <c r="J220" t="n">
        <v>1249.75239475211</v>
      </c>
    </row>
    <row r="221">
      <c r="J221" t="n">
        <v>0</v>
      </c>
    </row>
    <row r="222">
      <c r="J222" t="n">
        <v>0</v>
      </c>
    </row>
    <row r="223">
      <c r="J223" t="n">
        <v>0</v>
      </c>
    </row>
    <row r="224">
      <c r="J224" t="n">
        <v>0</v>
      </c>
    </row>
    <row r="225">
      <c r="J225" t="n">
        <v>0</v>
      </c>
    </row>
    <row r="226">
      <c r="J226" t="n">
        <v>1840.030426412573</v>
      </c>
    </row>
    <row r="227">
      <c r="J227" t="n">
        <v>1964.910060536782</v>
      </c>
    </row>
    <row r="228">
      <c r="J228" t="n">
        <v>2052.981790022682</v>
      </c>
    </row>
    <row r="229">
      <c r="J229" t="n">
        <v>2383.252549217174</v>
      </c>
    </row>
    <row r="230">
      <c r="J230" t="n">
        <v>2475.539657144417</v>
      </c>
    </row>
    <row r="231">
      <c r="J231" t="n">
        <v>0</v>
      </c>
    </row>
    <row r="232">
      <c r="J232" t="n">
        <v>0</v>
      </c>
    </row>
    <row r="233">
      <c r="J233" t="n">
        <v>0</v>
      </c>
    </row>
    <row r="234">
      <c r="J234" t="n">
        <v>0</v>
      </c>
    </row>
    <row r="235">
      <c r="J235" t="n">
        <v>0</v>
      </c>
    </row>
    <row r="236">
      <c r="J236" t="n">
        <v>2484.85120512519</v>
      </c>
    </row>
    <row r="237">
      <c r="J237" t="n">
        <v>2609.093765395759</v>
      </c>
    </row>
    <row r="238">
      <c r="J238" t="n">
        <v>2739.548453706957</v>
      </c>
    </row>
    <row r="239">
      <c r="J239" t="n">
        <v>2876.525876366165</v>
      </c>
    </row>
    <row r="240">
      <c r="J240" t="n">
        <v>3020.35217018298</v>
      </c>
    </row>
    <row r="241">
      <c r="J241" t="n">
        <v>0</v>
      </c>
    </row>
    <row r="242">
      <c r="J242" t="n">
        <v>0</v>
      </c>
    </row>
    <row r="243">
      <c r="J243" t="n">
        <v>0</v>
      </c>
    </row>
    <row r="244">
      <c r="J244" t="n">
        <v>0</v>
      </c>
    </row>
    <row r="245">
      <c r="J245" t="n">
        <v>0</v>
      </c>
    </row>
    <row r="248">
      <c r="J248" t="n">
        <v>320.7272727272727</v>
      </c>
    </row>
    <row r="249">
      <c r="J249" t="n">
        <v>3621.818181818182</v>
      </c>
    </row>
    <row r="250">
      <c r="J250" t="n">
        <v>35473.09090909091</v>
      </c>
    </row>
    <row r="251">
      <c r="J251" t="n">
        <v>121159.6363636364</v>
      </c>
    </row>
    <row r="252">
      <c r="J252" t="n">
        <v>18516</v>
      </c>
    </row>
    <row r="253">
      <c r="J253" t="n">
        <v>231303.2727272727</v>
      </c>
    </row>
    <row r="254">
      <c r="J254" t="n">
        <v>1952.727272727273</v>
      </c>
    </row>
    <row r="255">
      <c r="J255" t="n">
        <v>189.8181818181818</v>
      </c>
    </row>
    <row r="256">
      <c r="J256" t="n">
        <v>73.09090909090909</v>
      </c>
    </row>
    <row r="257">
      <c r="J257" t="n">
        <v>183.2727272727273</v>
      </c>
    </row>
    <row r="258">
      <c r="J258" t="n">
        <v>19197.81818181818</v>
      </c>
    </row>
    <row r="259">
      <c r="J259" t="n">
        <v>114641.4545454545</v>
      </c>
    </row>
    <row r="260">
      <c r="J260" t="n">
        <v>4737.818181818182</v>
      </c>
    </row>
    <row r="261">
      <c r="J261" t="n">
        <v>14406.54545454546</v>
      </c>
    </row>
    <row r="262">
      <c r="J262" t="n">
        <v>1297.090909090909</v>
      </c>
    </row>
    <row r="263">
      <c r="J263" t="n">
        <v>228</v>
      </c>
    </row>
    <row r="264">
      <c r="J264" t="n">
        <v>393.8181818181818</v>
      </c>
    </row>
    <row r="265">
      <c r="J265" t="n">
        <v>3805.090909090909</v>
      </c>
    </row>
    <row r="266">
      <c r="J266" t="n">
        <v>54670.9090909091</v>
      </c>
    </row>
    <row r="267">
      <c r="J267" t="n">
        <v>235801.0909090909</v>
      </c>
    </row>
    <row r="268">
      <c r="J268" t="n">
        <v>23253.81818181818</v>
      </c>
    </row>
    <row r="269">
      <c r="J269" t="n">
        <v>245709.8181818182</v>
      </c>
    </row>
    <row r="270">
      <c r="J270" t="n">
        <v>3249.818181818182</v>
      </c>
    </row>
    <row r="271">
      <c r="J271" t="n">
        <v>417.8181818181818</v>
      </c>
    </row>
    <row r="274">
      <c r="J274" t="n">
        <v>320.7272727272727</v>
      </c>
    </row>
    <row r="275">
      <c r="J275" t="n">
        <v>3621.818181818182</v>
      </c>
    </row>
    <row r="276">
      <c r="J276" t="n">
        <v>35473.09090909091</v>
      </c>
    </row>
    <row r="277">
      <c r="J277" t="n">
        <v>121159.6363636364</v>
      </c>
    </row>
    <row r="278">
      <c r="J278" t="n">
        <v>18516</v>
      </c>
    </row>
    <row r="279">
      <c r="J279" t="n">
        <v>231303.2727272727</v>
      </c>
    </row>
    <row r="280">
      <c r="J280" t="n">
        <v>328.3636363636364</v>
      </c>
    </row>
    <row r="281">
      <c r="J281" t="n">
        <v>0</v>
      </c>
    </row>
    <row r="282">
      <c r="J282" t="n">
        <v>73.09090909090909</v>
      </c>
    </row>
    <row r="283">
      <c r="J283" t="n">
        <v>183.2727272727273</v>
      </c>
    </row>
    <row r="284">
      <c r="J284" t="n">
        <v>19197.81818181818</v>
      </c>
    </row>
    <row r="285">
      <c r="J285" t="n">
        <v>114641.4545454545</v>
      </c>
    </row>
    <row r="286">
      <c r="J286" t="n">
        <v>4737.818181818182</v>
      </c>
    </row>
    <row r="287">
      <c r="J287" t="n">
        <v>14406.54545454546</v>
      </c>
    </row>
    <row r="288">
      <c r="J288" t="n">
        <v>201.8181818181818</v>
      </c>
    </row>
    <row r="289">
      <c r="J289" t="n">
        <v>0</v>
      </c>
    </row>
    <row r="290">
      <c r="J290" t="n">
        <v>393.8181818181819</v>
      </c>
    </row>
    <row r="291">
      <c r="J291" t="n">
        <v>3805.090909090909</v>
      </c>
    </row>
    <row r="292">
      <c r="J292" t="n">
        <v>54670.9090909091</v>
      </c>
    </row>
    <row r="293">
      <c r="J293" t="n">
        <v>235801.0909090909</v>
      </c>
    </row>
    <row r="294">
      <c r="J294" t="n">
        <v>23253.81818181818</v>
      </c>
    </row>
    <row r="295">
      <c r="J295" t="n">
        <v>245709.8181818182</v>
      </c>
    </row>
    <row r="296">
      <c r="J296" t="n">
        <v>530.1818181818182</v>
      </c>
    </row>
    <row r="297">
      <c r="J297" t="n">
        <v>0</v>
      </c>
    </row>
    <row r="300">
      <c r="J300" t="n">
        <v>1727.812397236727</v>
      </c>
    </row>
    <row r="301">
      <c r="J301" t="n">
        <v>360.415786710974</v>
      </c>
    </row>
    <row r="302">
      <c r="J302" t="n">
        <v>725.3437523835552</v>
      </c>
    </row>
    <row r="303">
      <c r="J303" t="n">
        <v>151.6326313576955</v>
      </c>
    </row>
    <row r="304">
      <c r="J304" t="n">
        <v>1316.067596374415</v>
      </c>
    </row>
    <row r="305">
      <c r="J305" t="n">
        <v>359.5847636776126</v>
      </c>
    </row>
    <row r="306">
      <c r="J306" t="n">
        <v>13495.1258908405</v>
      </c>
    </row>
    <row r="307">
      <c r="J307" t="n">
        <v>9530.248071604761</v>
      </c>
    </row>
    <row r="308">
      <c r="J308" t="n">
        <v>383.5117880408444</v>
      </c>
    </row>
    <row r="309">
      <c r="J309" t="n">
        <v>334.3031078016474</v>
      </c>
    </row>
    <row r="310">
      <c r="J310" t="n">
        <v>386.7052553487929</v>
      </c>
    </row>
    <row r="311">
      <c r="J311" t="n">
        <v>91.02458050652551</v>
      </c>
    </row>
    <row r="312">
      <c r="J312" t="n">
        <v>328.0278745171883</v>
      </c>
    </row>
    <row r="313">
      <c r="J313" t="n">
        <v>251.7696005918393</v>
      </c>
    </row>
    <row r="314">
      <c r="J314" t="n">
        <v>13454.23599529908</v>
      </c>
    </row>
    <row r="315">
      <c r="J315" t="n">
        <v>12604.52746421412</v>
      </c>
    </row>
    <row r="316">
      <c r="J316" t="n">
        <v>1478.316162289015</v>
      </c>
    </row>
    <row r="317">
      <c r="J317" t="n">
        <v>359.1580659378183</v>
      </c>
    </row>
    <row r="318">
      <c r="J318" t="n">
        <v>606.4300484861642</v>
      </c>
    </row>
    <row r="319">
      <c r="J319" t="n">
        <v>122.1662914016104</v>
      </c>
    </row>
    <row r="320">
      <c r="J320" t="n">
        <v>1114.760760569107</v>
      </c>
    </row>
    <row r="321">
      <c r="J321" t="n">
        <v>353.2633066875013</v>
      </c>
    </row>
    <row r="322">
      <c r="J322" t="n">
        <v>13478.80562034746</v>
      </c>
    </row>
    <row r="323">
      <c r="J323" t="n">
        <v>11207.85745295034</v>
      </c>
    </row>
    <row r="326">
      <c r="J326" t="n">
        <v>1727.812397236727</v>
      </c>
    </row>
    <row r="327">
      <c r="J327" t="n">
        <v>360.415786710974</v>
      </c>
    </row>
    <row r="328">
      <c r="J328" t="n">
        <v>725.3437523835552</v>
      </c>
    </row>
    <row r="329">
      <c r="J329" t="n">
        <v>151.6326313576955</v>
      </c>
    </row>
    <row r="330">
      <c r="J330" t="n">
        <v>1316.067596374415</v>
      </c>
    </row>
    <row r="331">
      <c r="J331" t="n">
        <v>359.5847636776126</v>
      </c>
    </row>
    <row r="332">
      <c r="J332" t="n">
        <v>13716.47943541061</v>
      </c>
    </row>
    <row r="333">
      <c r="J333" t="n">
        <v>0</v>
      </c>
    </row>
    <row r="334">
      <c r="J334" t="n">
        <v>383.5117880408444</v>
      </c>
    </row>
    <row r="335">
      <c r="J335" t="n">
        <v>334.3031078016474</v>
      </c>
    </row>
    <row r="336">
      <c r="J336" t="n">
        <v>386.7052553487929</v>
      </c>
    </row>
    <row r="337">
      <c r="J337" t="n">
        <v>91.02458050652551</v>
      </c>
    </row>
    <row r="338">
      <c r="J338" t="n">
        <v>328.0278745171883</v>
      </c>
    </row>
    <row r="339">
      <c r="J339" t="n">
        <v>251.7696005918393</v>
      </c>
    </row>
    <row r="340">
      <c r="J340" t="n">
        <v>18043.7820563239</v>
      </c>
    </row>
    <row r="341">
      <c r="J341" t="n">
        <v>0</v>
      </c>
    </row>
    <row r="342">
      <c r="J342" t="n">
        <v>1478.316162289015</v>
      </c>
    </row>
    <row r="343">
      <c r="J343" t="n">
        <v>359.1580659378183</v>
      </c>
    </row>
    <row r="344">
      <c r="J344" t="n">
        <v>606.4300484861642</v>
      </c>
    </row>
    <row r="345">
      <c r="J345" t="n">
        <v>122.1662914016104</v>
      </c>
    </row>
    <row r="346">
      <c r="J346" t="n">
        <v>1114.760760569107</v>
      </c>
    </row>
    <row r="347">
      <c r="J347" t="n">
        <v>353.2633066875013</v>
      </c>
    </row>
    <row r="348">
      <c r="J348" t="n">
        <v>15363.70368411217</v>
      </c>
    </row>
    <row r="349">
      <c r="J349" t="n">
        <v>0</v>
      </c>
    </row>
    <row r="352">
      <c r="J352" t="n">
        <v>1085.985510004709</v>
      </c>
    </row>
    <row r="353">
      <c r="J353" t="n">
        <v>1204.667862932668</v>
      </c>
    </row>
    <row r="354">
      <c r="J354" t="n">
        <v>1289.330646175973</v>
      </c>
    </row>
    <row r="355">
      <c r="J355" t="n">
        <v>1402.047963157031</v>
      </c>
    </row>
    <row r="356">
      <c r="J356" t="n">
        <v>1485.766192776768</v>
      </c>
    </row>
    <row r="357">
      <c r="J357" t="n">
        <v>425.631455891944</v>
      </c>
    </row>
    <row r="358">
      <c r="J358" t="n">
        <v>465.4992077317251</v>
      </c>
    </row>
    <row r="359">
      <c r="J359" t="n">
        <v>501.0844020035545</v>
      </c>
    </row>
    <row r="360">
      <c r="J360" t="n">
        <v>570.9004785291854</v>
      </c>
    </row>
    <row r="361">
      <c r="J361" t="n">
        <v>613.6991973699364</v>
      </c>
    </row>
    <row r="362">
      <c r="J362" t="n">
        <v>806.0582788388349</v>
      </c>
    </row>
    <row r="363">
      <c r="J363" t="n">
        <v>886.3935767937323</v>
      </c>
    </row>
    <row r="364">
      <c r="J364" t="n">
        <v>949.4990753585525</v>
      </c>
    </row>
    <row r="365">
      <c r="J365" t="n">
        <v>1151.582624774453</v>
      </c>
    </row>
    <row r="366">
      <c r="J366" t="n">
        <v>1218.529404648713</v>
      </c>
    </row>
    <row r="367">
      <c r="J367" t="n">
        <v>360.9020032582097</v>
      </c>
    </row>
    <row r="368">
      <c r="J368" t="n">
        <v>396.6549119930893</v>
      </c>
    </row>
    <row r="369">
      <c r="J369" t="n">
        <v>429.7643699326678</v>
      </c>
    </row>
    <row r="370">
      <c r="J370" t="n">
        <v>462.7236988300919</v>
      </c>
    </row>
    <row r="371">
      <c r="J371" t="n">
        <v>500.2222008262607</v>
      </c>
    </row>
    <row r="374">
      <c r="J374" t="n">
        <v>0</v>
      </c>
    </row>
    <row r="375">
      <c r="J375" t="n">
        <v>0</v>
      </c>
    </row>
    <row r="376">
      <c r="J376" t="n">
        <v>0</v>
      </c>
    </row>
    <row r="377">
      <c r="J377" t="n">
        <v>0</v>
      </c>
    </row>
    <row r="378">
      <c r="J378" t="n">
        <v>0</v>
      </c>
    </row>
    <row r="379">
      <c r="J379" t="n">
        <v>0</v>
      </c>
    </row>
    <row r="380">
      <c r="J380" t="n">
        <v>0</v>
      </c>
    </row>
    <row r="381">
      <c r="J381" t="n">
        <v>0</v>
      </c>
    </row>
    <row r="382">
      <c r="J382" t="n">
        <v>0</v>
      </c>
    </row>
    <row r="383">
      <c r="J383" t="n">
        <v>0</v>
      </c>
    </row>
    <row r="384">
      <c r="J384" t="n">
        <v>0</v>
      </c>
    </row>
    <row r="385">
      <c r="J385" t="n">
        <v>0</v>
      </c>
    </row>
    <row r="386">
      <c r="J386" t="n">
        <v>0</v>
      </c>
    </row>
    <row r="387">
      <c r="J387" t="n">
        <v>0</v>
      </c>
    </row>
    <row r="388">
      <c r="J388" t="n">
        <v>0</v>
      </c>
    </row>
    <row r="389">
      <c r="J389" t="n">
        <v>0</v>
      </c>
    </row>
    <row r="390">
      <c r="J390" t="n">
        <v>0</v>
      </c>
    </row>
    <row r="391">
      <c r="J391" t="n">
        <v>0</v>
      </c>
    </row>
    <row r="392">
      <c r="J392" t="n">
        <v>0</v>
      </c>
    </row>
    <row r="393">
      <c r="J393" t="n">
        <v>0</v>
      </c>
    </row>
    <row r="396">
      <c r="J396" t="n">
        <v>0.2924981964835187</v>
      </c>
    </row>
    <row r="397">
      <c r="J397" t="n">
        <v>0</v>
      </c>
    </row>
    <row r="398">
      <c r="J398" t="n">
        <v>0</v>
      </c>
    </row>
    <row r="399">
      <c r="J399" t="n">
        <v>0</v>
      </c>
    </row>
    <row r="400">
      <c r="J400" t="n">
        <v>0</v>
      </c>
    </row>
    <row r="401">
      <c r="J401" t="n">
        <v>0.2727327603191386</v>
      </c>
    </row>
    <row r="402">
      <c r="J402" t="n">
        <v>0.1735193303101144</v>
      </c>
    </row>
    <row r="403">
      <c r="J403" t="n">
        <v>0.1266260303725024</v>
      </c>
    </row>
    <row r="404">
      <c r="J404" t="n">
        <v>0.08942550524155657</v>
      </c>
    </row>
    <row r="405">
      <c r="J405" t="n">
        <v>0.05093670045318704</v>
      </c>
    </row>
    <row r="406">
      <c r="J406" t="n">
        <v>0.2155864577203692</v>
      </c>
    </row>
    <row r="407">
      <c r="J407" t="n">
        <v>0.0980442138777165</v>
      </c>
    </row>
    <row r="408">
      <c r="J408" t="n">
        <v>0.07054874899609088</v>
      </c>
    </row>
    <row r="409">
      <c r="J409" t="n">
        <v>0.05297439119962418</v>
      </c>
    </row>
    <row r="410">
      <c r="J410" t="n">
        <v>0.02916583851547724</v>
      </c>
    </row>
    <row r="411">
      <c r="J411" t="n">
        <v>0</v>
      </c>
    </row>
    <row r="412">
      <c r="J412" t="n">
        <v>0</v>
      </c>
    </row>
    <row r="413">
      <c r="J413" t="n">
        <v>0</v>
      </c>
    </row>
    <row r="414">
      <c r="J414" t="n">
        <v>0</v>
      </c>
    </row>
    <row r="415">
      <c r="J415" t="n">
        <v>0</v>
      </c>
    </row>
    <row r="418">
      <c r="J418" t="n">
        <v>6.015783766847139</v>
      </c>
    </row>
    <row r="419">
      <c r="J419" t="n">
        <v>7.249695274826785</v>
      </c>
    </row>
    <row r="420">
      <c r="J420" t="n">
        <v>8.345428402784236</v>
      </c>
    </row>
    <row r="421">
      <c r="J421" t="n">
        <v>7.064032887578465</v>
      </c>
    </row>
    <row r="422">
      <c r="J422" t="n">
        <v>7.528006124187988</v>
      </c>
    </row>
    <row r="423">
      <c r="J423" t="n">
        <v>2.313907800199438</v>
      </c>
    </row>
    <row r="424">
      <c r="J424" t="n">
        <v>2.830060733376818</v>
      </c>
    </row>
    <row r="425">
      <c r="J425" t="n">
        <v>3.277680924556696</v>
      </c>
    </row>
    <row r="426">
      <c r="J426" t="n">
        <v>1.682198208167965</v>
      </c>
    </row>
    <row r="427">
      <c r="J427" t="n">
        <v>1.671098712809519</v>
      </c>
    </row>
    <row r="428">
      <c r="J428" t="n">
        <v>7.332156998166097</v>
      </c>
    </row>
    <row r="429">
      <c r="J429" t="n">
        <v>9.370050413021813</v>
      </c>
    </row>
    <row r="430">
      <c r="J430" t="n">
        <v>11.08825134577789</v>
      </c>
    </row>
    <row r="431">
      <c r="J431" t="n">
        <v>2.464912026170616</v>
      </c>
    </row>
    <row r="432">
      <c r="J432" t="n">
        <v>2.574450270340074</v>
      </c>
    </row>
    <row r="433">
      <c r="J433" t="n">
        <v>51.94880635957397</v>
      </c>
    </row>
    <row r="434">
      <c r="J434" t="n">
        <v>54.05893655250251</v>
      </c>
    </row>
    <row r="435">
      <c r="J435" t="n">
        <v>56.39651482936374</v>
      </c>
    </row>
    <row r="436">
      <c r="J436" t="n">
        <v>58.90066129166412</v>
      </c>
    </row>
    <row r="437">
      <c r="J437" t="n">
        <v>61.45045050126684</v>
      </c>
    </row>
    <row r="440">
      <c r="J440" t="n">
        <v>1092.29379196804</v>
      </c>
    </row>
    <row r="441">
      <c r="J441" t="n">
        <v>1211.917558207494</v>
      </c>
    </row>
    <row r="442">
      <c r="J442" t="n">
        <v>1297.676074578757</v>
      </c>
    </row>
    <row r="443">
      <c r="J443" t="n">
        <v>1409.111996044609</v>
      </c>
    </row>
    <row r="444">
      <c r="J444" t="n">
        <v>1493.294198900956</v>
      </c>
    </row>
    <row r="445">
      <c r="J445" t="n">
        <v>428.2180964524625</v>
      </c>
    </row>
    <row r="446">
      <c r="J446" t="n">
        <v>468.502787795412</v>
      </c>
    </row>
    <row r="447">
      <c r="J447" t="n">
        <v>504.4887089584838</v>
      </c>
    </row>
    <row r="448">
      <c r="J448" t="n">
        <v>572.672102242595</v>
      </c>
    </row>
    <row r="449">
      <c r="J449" t="n">
        <v>615.4212327831992</v>
      </c>
    </row>
    <row r="450">
      <c r="J450" t="n">
        <v>813.6060222947214</v>
      </c>
    </row>
    <row r="451">
      <c r="J451" t="n">
        <v>895.8616714206319</v>
      </c>
    </row>
    <row r="452">
      <c r="J452" t="n">
        <v>960.6578754533265</v>
      </c>
    </row>
    <row r="453">
      <c r="J453" t="n">
        <v>1154.100511191823</v>
      </c>
    </row>
    <row r="454">
      <c r="J454" t="n">
        <v>1221.133020757568</v>
      </c>
    </row>
    <row r="455">
      <c r="J455" t="n">
        <v>412.8508096177836</v>
      </c>
    </row>
    <row r="456">
      <c r="J456" t="n">
        <v>450.7138485455919</v>
      </c>
    </row>
    <row r="457">
      <c r="J457" t="n">
        <v>486.1608847620316</v>
      </c>
    </row>
    <row r="458">
      <c r="J458" t="n">
        <v>521.624360121756</v>
      </c>
    </row>
    <row r="459">
      <c r="J459" t="n">
        <v>561.6726513275275</v>
      </c>
    </row>
    <row r="462">
      <c r="J462" t="n">
        <v>0</v>
      </c>
    </row>
    <row r="463">
      <c r="J463" t="n">
        <v>0</v>
      </c>
    </row>
    <row r="464">
      <c r="J464" t="n">
        <v>0</v>
      </c>
    </row>
    <row r="465">
      <c r="J465" t="n">
        <v>0</v>
      </c>
    </row>
    <row r="466">
      <c r="J466" t="n">
        <v>0</v>
      </c>
    </row>
    <row r="467">
      <c r="J467" t="n">
        <v>0</v>
      </c>
    </row>
    <row r="468">
      <c r="J468" t="n">
        <v>0</v>
      </c>
    </row>
    <row r="469">
      <c r="J469" t="n">
        <v>0</v>
      </c>
    </row>
    <row r="470">
      <c r="J470" t="n">
        <v>0</v>
      </c>
    </row>
    <row r="471">
      <c r="J471" t="n">
        <v>0</v>
      </c>
    </row>
    <row r="472">
      <c r="J472" t="n">
        <v>0</v>
      </c>
    </row>
    <row r="473">
      <c r="J473" t="n">
        <v>0</v>
      </c>
    </row>
    <row r="474">
      <c r="J474" t="n">
        <v>0</v>
      </c>
    </row>
    <row r="475">
      <c r="J475" t="n">
        <v>0</v>
      </c>
    </row>
    <row r="476">
      <c r="J476" t="n">
        <v>0</v>
      </c>
    </row>
    <row r="477">
      <c r="J477" t="n">
        <v>0</v>
      </c>
    </row>
    <row r="478">
      <c r="J478" t="n">
        <v>0</v>
      </c>
    </row>
    <row r="479">
      <c r="J479" t="n">
        <v>0</v>
      </c>
    </row>
    <row r="480">
      <c r="J480" t="n">
        <v>0</v>
      </c>
    </row>
    <row r="481">
      <c r="J481" t="n">
        <v>0</v>
      </c>
    </row>
    <row r="484">
      <c r="J484" t="n">
        <v>224805.62015976</v>
      </c>
    </row>
    <row r="485">
      <c r="J485" t="n">
        <v>270959.7695271918</v>
      </c>
    </row>
    <row r="486">
      <c r="J486" t="n">
        <v>321765.3881628943</v>
      </c>
    </row>
    <row r="487">
      <c r="J487" t="n">
        <v>380752.1218137044</v>
      </c>
    </row>
    <row r="488">
      <c r="J488" t="n">
        <v>453586.574510605</v>
      </c>
    </row>
    <row r="489">
      <c r="J489" t="n">
        <v>14660647.78311438</v>
      </c>
    </row>
    <row r="490">
      <c r="J490" t="n">
        <v>17164227.35110528</v>
      </c>
    </row>
    <row r="491">
      <c r="J491" t="n">
        <v>19461870.88518468</v>
      </c>
    </row>
    <row r="492">
      <c r="J492" t="n">
        <v>22127553.03343229</v>
      </c>
    </row>
    <row r="493">
      <c r="J493" t="n">
        <v>25132764.94334215</v>
      </c>
    </row>
    <row r="494">
      <c r="J494" t="n">
        <v>7248709.290212647</v>
      </c>
    </row>
    <row r="495">
      <c r="J495" t="n">
        <v>8643546.639631225</v>
      </c>
    </row>
    <row r="496">
      <c r="J496" t="n">
        <v>10081367.50057576</v>
      </c>
    </row>
    <row r="497">
      <c r="J497" t="n">
        <v>11403198.26516599</v>
      </c>
    </row>
    <row r="498">
      <c r="J498" t="n">
        <v>13299677.56316647</v>
      </c>
    </row>
    <row r="499">
      <c r="J499" t="n">
        <v>2445.889378531284</v>
      </c>
    </row>
    <row r="500">
      <c r="J500" t="n">
        <v>2638.032899189408</v>
      </c>
    </row>
    <row r="501">
      <c r="J501" t="n">
        <v>2857.700736544111</v>
      </c>
    </row>
    <row r="502">
      <c r="J502" t="n">
        <v>3065.086682815708</v>
      </c>
    </row>
    <row r="503">
      <c r="J503" t="n">
        <v>3287.525237294331</v>
      </c>
    </row>
    <row r="506">
      <c r="J506" t="n">
        <v>0</v>
      </c>
    </row>
    <row r="507">
      <c r="J507" t="n">
        <v>0</v>
      </c>
    </row>
    <row r="508">
      <c r="J508" t="n">
        <v>0</v>
      </c>
    </row>
    <row r="509">
      <c r="J509" t="n">
        <v>0</v>
      </c>
    </row>
    <row r="510">
      <c r="J510" t="n">
        <v>0</v>
      </c>
    </row>
    <row r="511">
      <c r="J511" t="n">
        <v>0</v>
      </c>
    </row>
    <row r="512">
      <c r="J512" t="n">
        <v>0</v>
      </c>
    </row>
    <row r="513">
      <c r="J513" t="n">
        <v>0</v>
      </c>
    </row>
    <row r="514">
      <c r="J514" t="n">
        <v>0</v>
      </c>
    </row>
    <row r="515">
      <c r="J515" t="n">
        <v>0</v>
      </c>
    </row>
    <row r="516">
      <c r="J516" t="n">
        <v>0</v>
      </c>
    </row>
    <row r="517">
      <c r="J517" t="n">
        <v>0</v>
      </c>
    </row>
    <row r="518">
      <c r="J518" t="n">
        <v>0</v>
      </c>
    </row>
    <row r="519">
      <c r="J519" t="n">
        <v>0</v>
      </c>
    </row>
    <row r="520">
      <c r="J520" t="n">
        <v>0</v>
      </c>
    </row>
    <row r="521">
      <c r="J521" t="n">
        <v>0</v>
      </c>
    </row>
    <row r="522">
      <c r="J522" t="n">
        <v>0</v>
      </c>
    </row>
    <row r="523">
      <c r="J523" t="n">
        <v>0</v>
      </c>
    </row>
    <row r="524">
      <c r="J524" t="n">
        <v>0</v>
      </c>
    </row>
    <row r="525">
      <c r="J525" t="n">
        <v>0</v>
      </c>
    </row>
    <row r="526">
      <c r="J526" t="n">
        <v>0</v>
      </c>
    </row>
    <row r="527">
      <c r="J527" t="n">
        <v>0</v>
      </c>
    </row>
    <row r="528">
      <c r="J528" t="n">
        <v>0</v>
      </c>
    </row>
    <row r="529">
      <c r="J529" t="n">
        <v>0</v>
      </c>
    </row>
    <row r="530">
      <c r="J530" t="n">
        <v>0</v>
      </c>
    </row>
    <row r="531">
      <c r="J531" t="n">
        <v>0</v>
      </c>
    </row>
    <row r="532">
      <c r="J532" t="n">
        <v>0</v>
      </c>
    </row>
    <row r="533">
      <c r="J533" t="n">
        <v>0</v>
      </c>
    </row>
    <row r="534">
      <c r="J534" t="n">
        <v>0</v>
      </c>
    </row>
    <row r="535">
      <c r="J535" t="n">
        <v>0</v>
      </c>
    </row>
    <row r="536">
      <c r="J536" t="n">
        <v>0</v>
      </c>
    </row>
    <row r="537">
      <c r="J537" t="n">
        <v>0</v>
      </c>
    </row>
    <row r="538">
      <c r="J538" t="n">
        <v>0</v>
      </c>
    </row>
    <row r="539">
      <c r="J539" t="n">
        <v>0</v>
      </c>
    </row>
    <row r="540">
      <c r="J540" t="n">
        <v>0</v>
      </c>
    </row>
    <row r="541">
      <c r="J541" t="n">
        <v>0</v>
      </c>
    </row>
    <row r="542">
      <c r="J542" t="n">
        <v>0</v>
      </c>
    </row>
    <row r="543">
      <c r="J543" t="n">
        <v>0</v>
      </c>
    </row>
    <row r="544">
      <c r="J544" t="n">
        <v>0</v>
      </c>
    </row>
    <row r="545">
      <c r="J545" t="n">
        <v>0</v>
      </c>
    </row>
    <row r="548">
      <c r="J548" t="n">
        <v>0</v>
      </c>
    </row>
    <row r="549">
      <c r="J549" t="n">
        <v>0</v>
      </c>
    </row>
    <row r="550">
      <c r="J550" t="n">
        <v>0</v>
      </c>
    </row>
    <row r="551">
      <c r="J551" t="n">
        <v>0</v>
      </c>
    </row>
    <row r="552">
      <c r="J552" t="n">
        <v>0</v>
      </c>
    </row>
    <row r="553">
      <c r="J553" t="n">
        <v>0</v>
      </c>
    </row>
    <row r="554">
      <c r="J554" t="n">
        <v>0</v>
      </c>
    </row>
    <row r="555">
      <c r="J555" t="n">
        <v>0</v>
      </c>
    </row>
    <row r="556">
      <c r="J556" t="n">
        <v>0</v>
      </c>
    </row>
    <row r="557">
      <c r="J557" t="n">
        <v>0</v>
      </c>
    </row>
    <row r="558">
      <c r="J558" t="n">
        <v>0</v>
      </c>
    </row>
    <row r="559">
      <c r="J559" t="n">
        <v>0</v>
      </c>
    </row>
    <row r="560">
      <c r="J560" t="n">
        <v>0</v>
      </c>
    </row>
    <row r="561">
      <c r="J561" t="n">
        <v>0</v>
      </c>
    </row>
    <row r="562">
      <c r="J562" t="n">
        <v>0</v>
      </c>
    </row>
    <row r="563">
      <c r="J563" t="n">
        <v>0</v>
      </c>
    </row>
    <row r="564">
      <c r="J564" t="n">
        <v>0</v>
      </c>
    </row>
    <row r="565">
      <c r="J565" t="n">
        <v>0</v>
      </c>
    </row>
    <row r="566">
      <c r="J566" t="n">
        <v>0</v>
      </c>
    </row>
    <row r="567">
      <c r="J567" t="n">
        <v>0</v>
      </c>
    </row>
    <row r="568">
      <c r="J568" t="n">
        <v>0</v>
      </c>
    </row>
    <row r="569">
      <c r="J569" t="n">
        <v>0</v>
      </c>
    </row>
    <row r="570">
      <c r="J570" t="n">
        <v>0</v>
      </c>
    </row>
    <row r="571">
      <c r="J571" t="n">
        <v>0</v>
      </c>
    </row>
    <row r="572">
      <c r="J572" t="n">
        <v>0</v>
      </c>
    </row>
    <row r="573">
      <c r="J573" t="n">
        <v>0</v>
      </c>
    </row>
    <row r="574">
      <c r="J574" t="n">
        <v>0</v>
      </c>
    </row>
    <row r="575">
      <c r="J575" t="n">
        <v>0</v>
      </c>
    </row>
    <row r="576">
      <c r="J576" t="n">
        <v>0</v>
      </c>
    </row>
    <row r="577">
      <c r="J577" t="n">
        <v>0</v>
      </c>
    </row>
    <row r="578">
      <c r="J578" t="n">
        <v>0</v>
      </c>
    </row>
    <row r="579">
      <c r="J579" t="n">
        <v>0</v>
      </c>
    </row>
    <row r="580">
      <c r="J580" t="n">
        <v>0</v>
      </c>
    </row>
    <row r="581">
      <c r="J581" t="n">
        <v>0</v>
      </c>
    </row>
    <row r="582">
      <c r="J582" t="n">
        <v>0</v>
      </c>
    </row>
    <row r="583">
      <c r="J583" t="n">
        <v>0</v>
      </c>
    </row>
    <row r="584">
      <c r="J584" t="n">
        <v>0</v>
      </c>
    </row>
    <row r="585">
      <c r="J585" t="n">
        <v>0</v>
      </c>
    </row>
    <row r="586">
      <c r="J586" t="n">
        <v>0</v>
      </c>
    </row>
    <row r="587">
      <c r="J587" t="n">
        <v>0</v>
      </c>
    </row>
    <row r="590">
      <c r="J590" t="n">
        <v>0</v>
      </c>
    </row>
    <row r="591">
      <c r="J591" t="n">
        <v>0</v>
      </c>
    </row>
    <row r="592">
      <c r="J592" t="n">
        <v>0</v>
      </c>
    </row>
    <row r="593">
      <c r="J593" t="n">
        <v>0</v>
      </c>
    </row>
    <row r="594">
      <c r="J594" t="n">
        <v>0</v>
      </c>
    </row>
    <row r="595">
      <c r="J595" t="n">
        <v>0</v>
      </c>
    </row>
    <row r="596">
      <c r="J596" t="n">
        <v>0</v>
      </c>
    </row>
    <row r="597">
      <c r="J597" t="n">
        <v>0</v>
      </c>
    </row>
    <row r="598">
      <c r="J598" t="n">
        <v>0</v>
      </c>
    </row>
    <row r="599">
      <c r="J599" t="n">
        <v>0</v>
      </c>
    </row>
    <row r="600">
      <c r="J600" t="n">
        <v>0</v>
      </c>
    </row>
    <row r="601">
      <c r="J601" t="n">
        <v>0</v>
      </c>
    </row>
    <row r="602">
      <c r="J602" t="n">
        <v>0</v>
      </c>
    </row>
    <row r="603">
      <c r="J603" t="n">
        <v>0</v>
      </c>
    </row>
    <row r="604">
      <c r="J604" t="n">
        <v>0</v>
      </c>
    </row>
    <row r="605">
      <c r="J605" t="n">
        <v>0</v>
      </c>
    </row>
    <row r="606">
      <c r="J606" t="n">
        <v>0</v>
      </c>
    </row>
    <row r="607">
      <c r="J607" t="n">
        <v>0</v>
      </c>
    </row>
    <row r="608">
      <c r="J608" t="n">
        <v>0</v>
      </c>
    </row>
    <row r="609">
      <c r="J609" t="n">
        <v>0</v>
      </c>
    </row>
    <row r="610">
      <c r="J610" t="n">
        <v>0</v>
      </c>
    </row>
    <row r="611">
      <c r="J611" t="n">
        <v>0</v>
      </c>
    </row>
    <row r="612">
      <c r="J612" t="n">
        <v>0</v>
      </c>
    </row>
    <row r="613">
      <c r="J613" t="n">
        <v>0</v>
      </c>
    </row>
    <row r="614">
      <c r="J614" t="n">
        <v>0</v>
      </c>
    </row>
    <row r="615">
      <c r="J615" t="n">
        <v>0</v>
      </c>
    </row>
    <row r="616">
      <c r="J616" t="n">
        <v>0</v>
      </c>
    </row>
    <row r="617">
      <c r="J617" t="n">
        <v>0</v>
      </c>
    </row>
    <row r="618">
      <c r="J618" t="n">
        <v>0</v>
      </c>
    </row>
    <row r="619">
      <c r="J619" t="n">
        <v>0</v>
      </c>
    </row>
    <row r="620">
      <c r="J620" t="n">
        <v>0</v>
      </c>
    </row>
    <row r="621">
      <c r="J621" t="n">
        <v>0</v>
      </c>
    </row>
    <row r="622">
      <c r="J622" t="n">
        <v>0</v>
      </c>
    </row>
    <row r="623">
      <c r="J623" t="n">
        <v>0</v>
      </c>
    </row>
    <row r="624">
      <c r="J624" t="n">
        <v>0</v>
      </c>
    </row>
    <row r="625">
      <c r="J625" t="n">
        <v>0</v>
      </c>
    </row>
    <row r="626">
      <c r="J626" t="n">
        <v>0</v>
      </c>
    </row>
    <row r="627">
      <c r="J627" t="n">
        <v>0</v>
      </c>
    </row>
    <row r="628">
      <c r="J628" t="n">
        <v>0</v>
      </c>
    </row>
    <row r="629">
      <c r="J629" t="n">
        <v>0</v>
      </c>
    </row>
    <row r="632">
      <c r="J632" t="n">
        <v>0</v>
      </c>
    </row>
    <row r="633">
      <c r="J633" t="n">
        <v>0</v>
      </c>
    </row>
    <row r="634">
      <c r="J634" t="n">
        <v>0</v>
      </c>
    </row>
    <row r="635">
      <c r="J635" t="n">
        <v>0</v>
      </c>
    </row>
    <row r="636">
      <c r="J636" t="n">
        <v>0</v>
      </c>
    </row>
    <row r="637">
      <c r="J637" t="n">
        <v>0</v>
      </c>
    </row>
    <row r="638">
      <c r="J638" t="n">
        <v>0</v>
      </c>
    </row>
    <row r="639">
      <c r="J639" t="n">
        <v>0</v>
      </c>
    </row>
    <row r="640">
      <c r="J640" t="n">
        <v>0</v>
      </c>
    </row>
    <row r="641">
      <c r="J641" t="n">
        <v>0</v>
      </c>
    </row>
    <row r="642">
      <c r="J642" t="n">
        <v>0</v>
      </c>
    </row>
    <row r="643">
      <c r="J643" t="n">
        <v>0</v>
      </c>
    </row>
    <row r="644">
      <c r="J644" t="n">
        <v>0</v>
      </c>
    </row>
    <row r="645">
      <c r="J645" t="n">
        <v>0</v>
      </c>
    </row>
    <row r="646">
      <c r="J646" t="n">
        <v>0</v>
      </c>
    </row>
    <row r="647">
      <c r="J647" t="n">
        <v>0</v>
      </c>
    </row>
    <row r="648">
      <c r="J648" t="n">
        <v>0</v>
      </c>
    </row>
    <row r="649">
      <c r="J649" t="n">
        <v>0</v>
      </c>
    </row>
    <row r="650">
      <c r="J650" t="n">
        <v>0</v>
      </c>
    </row>
    <row r="651">
      <c r="J651" t="n">
        <v>0</v>
      </c>
    </row>
    <row r="652">
      <c r="J652" t="n">
        <v>0</v>
      </c>
    </row>
    <row r="653">
      <c r="J653" t="n">
        <v>0</v>
      </c>
    </row>
    <row r="654">
      <c r="J654" t="n">
        <v>0</v>
      </c>
    </row>
    <row r="655">
      <c r="J655" t="n">
        <v>0</v>
      </c>
    </row>
    <row r="656">
      <c r="J656" t="n">
        <v>0</v>
      </c>
    </row>
    <row r="657">
      <c r="J657" t="n">
        <v>0</v>
      </c>
    </row>
    <row r="658">
      <c r="J658" t="n">
        <v>0</v>
      </c>
    </row>
    <row r="659">
      <c r="J659" t="n">
        <v>0</v>
      </c>
    </row>
    <row r="660">
      <c r="J660" t="n">
        <v>0</v>
      </c>
    </row>
    <row r="661">
      <c r="J661" t="n">
        <v>0</v>
      </c>
    </row>
    <row r="662">
      <c r="J662" t="n">
        <v>0</v>
      </c>
    </row>
    <row r="663">
      <c r="J663" t="n">
        <v>0</v>
      </c>
    </row>
    <row r="664">
      <c r="J664" t="n">
        <v>0</v>
      </c>
    </row>
    <row r="665">
      <c r="J665" t="n">
        <v>0</v>
      </c>
    </row>
    <row r="666">
      <c r="J666" t="n">
        <v>0</v>
      </c>
    </row>
    <row r="667">
      <c r="J667" t="n">
        <v>0</v>
      </c>
    </row>
    <row r="668">
      <c r="J668" t="n">
        <v>0</v>
      </c>
    </row>
    <row r="669">
      <c r="J669" t="n">
        <v>0</v>
      </c>
    </row>
    <row r="670">
      <c r="J670" t="n">
        <v>0</v>
      </c>
    </row>
    <row r="671">
      <c r="J671" t="n">
        <v>0</v>
      </c>
    </row>
    <row r="674">
      <c r="J674" t="n">
        <v>0</v>
      </c>
    </row>
    <row r="675">
      <c r="J675" t="n">
        <v>0</v>
      </c>
    </row>
    <row r="676">
      <c r="J676" t="n">
        <v>0</v>
      </c>
    </row>
    <row r="677">
      <c r="J677" t="n">
        <v>0</v>
      </c>
    </row>
    <row r="678">
      <c r="J678" t="n">
        <v>0</v>
      </c>
    </row>
    <row r="679">
      <c r="J679" t="n">
        <v>0</v>
      </c>
    </row>
    <row r="680">
      <c r="J680" t="n">
        <v>0</v>
      </c>
    </row>
    <row r="681">
      <c r="J681" t="n">
        <v>0</v>
      </c>
    </row>
    <row r="682">
      <c r="J682" t="n">
        <v>0</v>
      </c>
    </row>
    <row r="683">
      <c r="J683" t="n">
        <v>0</v>
      </c>
    </row>
    <row r="684">
      <c r="J684" t="n">
        <v>0</v>
      </c>
    </row>
    <row r="685">
      <c r="J685" t="n">
        <v>0</v>
      </c>
    </row>
    <row r="686">
      <c r="J686" t="n">
        <v>0</v>
      </c>
    </row>
    <row r="687">
      <c r="J687" t="n">
        <v>0</v>
      </c>
    </row>
    <row r="688">
      <c r="J688" t="n">
        <v>0</v>
      </c>
    </row>
    <row r="689">
      <c r="J689" t="n">
        <v>0</v>
      </c>
    </row>
    <row r="690">
      <c r="J690" t="n">
        <v>0</v>
      </c>
    </row>
    <row r="691">
      <c r="J691" t="n">
        <v>0</v>
      </c>
    </row>
    <row r="692">
      <c r="J692" t="n">
        <v>0</v>
      </c>
    </row>
    <row r="693">
      <c r="J693" t="n">
        <v>0</v>
      </c>
    </row>
    <row r="694">
      <c r="J694" t="n">
        <v>0</v>
      </c>
    </row>
    <row r="695">
      <c r="J695" t="n">
        <v>0</v>
      </c>
    </row>
    <row r="696">
      <c r="J696" t="n">
        <v>0</v>
      </c>
    </row>
    <row r="697">
      <c r="J697" t="n">
        <v>0</v>
      </c>
    </row>
    <row r="700">
      <c r="J700" t="n">
        <v>0</v>
      </c>
    </row>
    <row r="701">
      <c r="J701" t="n">
        <v>0</v>
      </c>
    </row>
    <row r="702">
      <c r="J702" t="n">
        <v>0</v>
      </c>
    </row>
    <row r="703">
      <c r="J703" t="n">
        <v>0</v>
      </c>
    </row>
    <row r="704">
      <c r="J704" t="n">
        <v>0</v>
      </c>
    </row>
    <row r="705">
      <c r="J705" t="n">
        <v>0</v>
      </c>
    </row>
    <row r="706">
      <c r="J706" t="n">
        <v>0</v>
      </c>
    </row>
    <row r="707">
      <c r="J707" t="n">
        <v>0</v>
      </c>
    </row>
    <row r="708">
      <c r="J708" t="n">
        <v>0</v>
      </c>
    </row>
    <row r="709">
      <c r="J709" t="n">
        <v>0</v>
      </c>
    </row>
    <row r="710">
      <c r="J710" t="n">
        <v>0</v>
      </c>
    </row>
    <row r="711">
      <c r="J711" t="n">
        <v>0</v>
      </c>
    </row>
    <row r="712">
      <c r="J712" t="n">
        <v>0</v>
      </c>
    </row>
    <row r="713">
      <c r="J713" t="n">
        <v>0</v>
      </c>
    </row>
    <row r="714">
      <c r="J714" t="n">
        <v>0</v>
      </c>
    </row>
    <row r="715">
      <c r="J715" t="n">
        <v>0</v>
      </c>
    </row>
    <row r="716">
      <c r="J716" t="n">
        <v>0</v>
      </c>
    </row>
    <row r="717">
      <c r="J717" t="n">
        <v>0</v>
      </c>
    </row>
    <row r="718">
      <c r="J718" t="n">
        <v>0</v>
      </c>
    </row>
    <row r="719">
      <c r="J719" t="n">
        <v>0</v>
      </c>
    </row>
    <row r="720">
      <c r="J720" t="n">
        <v>0</v>
      </c>
    </row>
    <row r="721">
      <c r="J721" t="n">
        <v>0</v>
      </c>
    </row>
    <row r="722">
      <c r="J722" t="n">
        <v>0</v>
      </c>
    </row>
    <row r="723">
      <c r="J723" t="n">
        <v>0</v>
      </c>
    </row>
    <row r="726">
      <c r="J726" t="n">
        <v>0</v>
      </c>
    </row>
    <row r="727">
      <c r="J727" t="n">
        <v>0</v>
      </c>
    </row>
    <row r="728">
      <c r="J728" t="n">
        <v>0</v>
      </c>
    </row>
    <row r="729">
      <c r="J729" t="n">
        <v>0</v>
      </c>
    </row>
    <row r="730">
      <c r="J730" t="n">
        <v>0</v>
      </c>
    </row>
    <row r="731">
      <c r="J731" t="n">
        <v>0</v>
      </c>
    </row>
    <row r="732">
      <c r="J732" t="n">
        <v>0</v>
      </c>
    </row>
    <row r="733">
      <c r="J733" t="n">
        <v>0</v>
      </c>
    </row>
    <row r="734">
      <c r="J734" t="n">
        <v>0</v>
      </c>
    </row>
    <row r="735">
      <c r="J735" t="n">
        <v>0</v>
      </c>
    </row>
    <row r="736">
      <c r="J736" t="n">
        <v>0</v>
      </c>
    </row>
    <row r="737">
      <c r="J737" t="n">
        <v>0</v>
      </c>
    </row>
    <row r="738">
      <c r="J738" t="n">
        <v>0</v>
      </c>
    </row>
    <row r="739">
      <c r="J739" t="n">
        <v>0</v>
      </c>
    </row>
    <row r="740">
      <c r="J740" t="n">
        <v>0</v>
      </c>
    </row>
    <row r="741">
      <c r="J741" t="n">
        <v>0</v>
      </c>
    </row>
    <row r="742">
      <c r="J742" t="n">
        <v>0</v>
      </c>
    </row>
    <row r="743">
      <c r="J743" t="n">
        <v>0</v>
      </c>
    </row>
    <row r="744">
      <c r="J744" t="n">
        <v>0</v>
      </c>
    </row>
    <row r="745">
      <c r="J745" t="n">
        <v>0</v>
      </c>
    </row>
    <row r="746">
      <c r="J746" t="n">
        <v>0</v>
      </c>
    </row>
    <row r="747">
      <c r="J747" t="n">
        <v>0</v>
      </c>
    </row>
    <row r="748">
      <c r="J748" t="n">
        <v>0</v>
      </c>
    </row>
    <row r="749">
      <c r="J749" t="n">
        <v>0</v>
      </c>
    </row>
    <row r="752">
      <c r="J752" t="n">
        <v>0</v>
      </c>
    </row>
    <row r="753">
      <c r="J753" t="n">
        <v>0</v>
      </c>
    </row>
    <row r="754">
      <c r="J754" t="n">
        <v>0</v>
      </c>
    </row>
    <row r="755">
      <c r="J755" t="n">
        <v>0</v>
      </c>
    </row>
    <row r="756">
      <c r="J756" t="n">
        <v>0</v>
      </c>
    </row>
    <row r="757">
      <c r="J757" t="n">
        <v>0</v>
      </c>
    </row>
    <row r="758">
      <c r="J758" t="n">
        <v>0</v>
      </c>
    </row>
    <row r="759">
      <c r="J759" t="n">
        <v>0</v>
      </c>
    </row>
    <row r="760">
      <c r="J760" t="n">
        <v>0</v>
      </c>
    </row>
    <row r="761">
      <c r="J761" t="n">
        <v>0</v>
      </c>
    </row>
    <row r="762">
      <c r="J762" t="n">
        <v>0</v>
      </c>
    </row>
    <row r="763">
      <c r="J763" t="n">
        <v>0</v>
      </c>
    </row>
    <row r="764">
      <c r="J764" t="n">
        <v>0</v>
      </c>
    </row>
    <row r="765">
      <c r="J765" t="n">
        <v>0</v>
      </c>
    </row>
    <row r="766">
      <c r="J766" t="n">
        <v>0</v>
      </c>
    </row>
    <row r="767">
      <c r="J767" t="n">
        <v>0</v>
      </c>
    </row>
    <row r="768">
      <c r="J768" t="n">
        <v>0</v>
      </c>
    </row>
    <row r="769">
      <c r="J769" t="n">
        <v>0</v>
      </c>
    </row>
    <row r="770">
      <c r="J770" t="n">
        <v>0</v>
      </c>
    </row>
    <row r="771">
      <c r="J771" t="n">
        <v>0</v>
      </c>
    </row>
    <row r="772">
      <c r="J772" t="n">
        <v>0</v>
      </c>
    </row>
    <row r="773">
      <c r="J773" t="n">
        <v>0</v>
      </c>
    </row>
    <row r="774">
      <c r="J774" t="n">
        <v>0</v>
      </c>
    </row>
    <row r="775">
      <c r="J775" t="n">
        <v>0</v>
      </c>
    </row>
    <row r="778">
      <c r="J778" t="n">
        <v>196.6857992915607</v>
      </c>
    </row>
    <row r="779">
      <c r="J779" t="n">
        <v>134.2487504746197</v>
      </c>
    </row>
    <row r="780">
      <c r="J780" t="n">
        <v>105.6973677081512</v>
      </c>
    </row>
    <row r="781">
      <c r="J781" t="n">
        <v>114.1617315266949</v>
      </c>
    </row>
    <row r="782">
      <c r="J782" t="n">
        <v>128.772270656806</v>
      </c>
    </row>
    <row r="783">
      <c r="J783" t="n">
        <v>0</v>
      </c>
    </row>
    <row r="784">
      <c r="J784" t="n">
        <v>0</v>
      </c>
    </row>
    <row r="785">
      <c r="J785" t="n">
        <v>0</v>
      </c>
    </row>
    <row r="786">
      <c r="J786" t="n">
        <v>0</v>
      </c>
    </row>
    <row r="787">
      <c r="J787" t="n">
        <v>0</v>
      </c>
    </row>
    <row r="788">
      <c r="J788" t="n">
        <v>19884.94597369951</v>
      </c>
    </row>
    <row r="789">
      <c r="J789" t="n">
        <v>16664.9134369419</v>
      </c>
    </row>
    <row r="790">
      <c r="J790" t="n">
        <v>14712.1868159868</v>
      </c>
    </row>
    <row r="791">
      <c r="J791" t="n">
        <v>15593.51637027167</v>
      </c>
    </row>
    <row r="792">
      <c r="J792" t="n">
        <v>16255.00175456732</v>
      </c>
    </row>
    <row r="793">
      <c r="J793" t="n">
        <v>35.64100550935212</v>
      </c>
    </row>
    <row r="794">
      <c r="J794" t="n">
        <v>42.53321847955501</v>
      </c>
    </row>
    <row r="795">
      <c r="J795" t="n">
        <v>50.79848634776451</v>
      </c>
    </row>
    <row r="796">
      <c r="J796" t="n">
        <v>60.70382225629866</v>
      </c>
    </row>
    <row r="797">
      <c r="J797" t="n">
        <v>72.581258631465</v>
      </c>
    </row>
    <row r="798">
      <c r="J798" t="n">
        <v>13414.43341676763</v>
      </c>
    </row>
    <row r="799">
      <c r="J799" t="n">
        <v>8825.538469265746</v>
      </c>
    </row>
    <row r="800">
      <c r="J800" t="n">
        <v>6509.31133601743</v>
      </c>
    </row>
    <row r="801">
      <c r="J801" t="n">
        <v>6879.84881305995</v>
      </c>
    </row>
    <row r="802">
      <c r="J802" t="n">
        <v>7612.726547668645</v>
      </c>
    </row>
    <row r="803">
      <c r="J803" t="n">
        <v>1.738079616145711</v>
      </c>
    </row>
    <row r="804">
      <c r="J804" t="n">
        <v>2.050132830019781</v>
      </c>
    </row>
    <row r="805">
      <c r="J805" t="n">
        <v>2.424896841379159</v>
      </c>
    </row>
    <row r="806">
      <c r="J806" t="n">
        <v>2.874532402015615</v>
      </c>
    </row>
    <row r="807">
      <c r="J807" t="n">
        <v>3.414116911871694</v>
      </c>
    </row>
    <row r="808">
      <c r="J808" t="n">
        <v>512.3617752316416</v>
      </c>
    </row>
    <row r="809">
      <c r="J809" t="n">
        <v>490.670164042645</v>
      </c>
    </row>
    <row r="810">
      <c r="J810" t="n">
        <v>470.0395510618727</v>
      </c>
    </row>
    <row r="811">
      <c r="J811" t="n">
        <v>477.8899519531225</v>
      </c>
    </row>
    <row r="812">
      <c r="J812" t="n">
        <v>496.3270938358941</v>
      </c>
    </row>
    <row r="813">
      <c r="J813" t="n">
        <v>0</v>
      </c>
    </row>
    <row r="814">
      <c r="J814" t="n">
        <v>0</v>
      </c>
    </row>
    <row r="815">
      <c r="J815" t="n">
        <v>0</v>
      </c>
    </row>
    <row r="816">
      <c r="J816" t="n">
        <v>0</v>
      </c>
    </row>
    <row r="817">
      <c r="J817" t="n">
        <v>0</v>
      </c>
    </row>
    <row r="820">
      <c r="J820" t="n">
        <v>145638.7923873584</v>
      </c>
    </row>
    <row r="821">
      <c r="J821" t="n">
        <v>103772.6428209362</v>
      </c>
    </row>
    <row r="822">
      <c r="J822" t="n">
        <v>86631.18171264096</v>
      </c>
    </row>
    <row r="823">
      <c r="J823" t="n">
        <v>93827.92614283769</v>
      </c>
    </row>
    <row r="824">
      <c r="J824" t="n">
        <v>104228.8269950217</v>
      </c>
    </row>
    <row r="825">
      <c r="J825" t="n">
        <v>0</v>
      </c>
    </row>
    <row r="826">
      <c r="J826" t="n">
        <v>0</v>
      </c>
    </row>
    <row r="827">
      <c r="J827" t="n">
        <v>0</v>
      </c>
    </row>
    <row r="828">
      <c r="J828" t="n">
        <v>0</v>
      </c>
    </row>
    <row r="829">
      <c r="J829" t="n">
        <v>0</v>
      </c>
    </row>
    <row r="830">
      <c r="J830" t="n">
        <v>6205997.048207007</v>
      </c>
    </row>
    <row r="831">
      <c r="J831" t="n">
        <v>5543332.304029853</v>
      </c>
    </row>
    <row r="832">
      <c r="J832" t="n">
        <v>5270064.588256251</v>
      </c>
    </row>
    <row r="833">
      <c r="J833" t="n">
        <v>5517068.259756944</v>
      </c>
    </row>
    <row r="834">
      <c r="J834" t="n">
        <v>5730553.321464499</v>
      </c>
    </row>
    <row r="835">
      <c r="J835" t="n">
        <v>5398.406076558343</v>
      </c>
    </row>
    <row r="836">
      <c r="J836" t="n">
        <v>6443.402489931009</v>
      </c>
    </row>
    <row r="837">
      <c r="J837" t="n">
        <v>7695.825032608613</v>
      </c>
    </row>
    <row r="838">
      <c r="J838" t="n">
        <v>9196.044214679589</v>
      </c>
    </row>
    <row r="839">
      <c r="J839" t="n">
        <v>10994.18150506792</v>
      </c>
    </row>
    <row r="840">
      <c r="J840" t="n">
        <v>7684110.877907716</v>
      </c>
    </row>
    <row r="841">
      <c r="J841" t="n">
        <v>5562411.288230001</v>
      </c>
    </row>
    <row r="842">
      <c r="J842" t="n">
        <v>4570367.284825039</v>
      </c>
    </row>
    <row r="843">
      <c r="J843" t="n">
        <v>4833437.561238077</v>
      </c>
    </row>
    <row r="844">
      <c r="J844" t="n">
        <v>5317684.079838097</v>
      </c>
    </row>
    <row r="845">
      <c r="J845" t="n">
        <v>932.8622964732044</v>
      </c>
    </row>
    <row r="846">
      <c r="J846" t="n">
        <v>1105.321214956528</v>
      </c>
    </row>
    <row r="847">
      <c r="J847" t="n">
        <v>1311.914589598007</v>
      </c>
    </row>
    <row r="848">
      <c r="J848" t="n">
        <v>1559.303655562886</v>
      </c>
    </row>
    <row r="849">
      <c r="J849" t="n">
        <v>1855.66713262246</v>
      </c>
    </row>
    <row r="850">
      <c r="J850" t="n">
        <v>3944912.701344581</v>
      </c>
    </row>
    <row r="851">
      <c r="J851" t="n">
        <v>3623088.235708061</v>
      </c>
    </row>
    <row r="852">
      <c r="J852" t="n">
        <v>3562590.845584462</v>
      </c>
    </row>
    <row r="853">
      <c r="J853" t="n">
        <v>3687168.244493248</v>
      </c>
    </row>
    <row r="854">
      <c r="J854" t="n">
        <v>3882045.62940334</v>
      </c>
    </row>
    <row r="855">
      <c r="J855" t="n">
        <v>0</v>
      </c>
    </row>
    <row r="856">
      <c r="J856" t="n">
        <v>0</v>
      </c>
    </row>
    <row r="857">
      <c r="J857" t="n">
        <v>0</v>
      </c>
    </row>
    <row r="858">
      <c r="J858" t="n">
        <v>0</v>
      </c>
    </row>
    <row r="859">
      <c r="J859" t="n">
        <v>0</v>
      </c>
    </row>
    <row r="862">
      <c r="J862" t="n">
        <v>269723.6409524559</v>
      </c>
    </row>
    <row r="863">
      <c r="J863" t="n">
        <v>196654.523391371</v>
      </c>
    </row>
    <row r="864">
      <c r="J864" t="n">
        <v>172179.3772947311</v>
      </c>
    </row>
    <row r="865">
      <c r="J865" t="n">
        <v>187904.9597486588</v>
      </c>
    </row>
    <row r="866">
      <c r="J866" t="n">
        <v>205903.2821759058</v>
      </c>
    </row>
    <row r="867">
      <c r="J867" t="n">
        <v>0</v>
      </c>
    </row>
    <row r="868">
      <c r="J868" t="n">
        <v>0</v>
      </c>
    </row>
    <row r="869">
      <c r="J869" t="n">
        <v>0</v>
      </c>
    </row>
    <row r="870">
      <c r="J870" t="n">
        <v>0</v>
      </c>
    </row>
    <row r="871">
      <c r="J871" t="n">
        <v>0</v>
      </c>
    </row>
    <row r="872">
      <c r="J872" t="n">
        <v>12791269.83646771</v>
      </c>
    </row>
    <row r="873">
      <c r="J873" t="n">
        <v>12046605.69490327</v>
      </c>
    </row>
    <row r="874">
      <c r="J874" t="n">
        <v>12165417.90722589</v>
      </c>
    </row>
    <row r="875">
      <c r="J875" t="n">
        <v>13230080.23408243</v>
      </c>
    </row>
    <row r="876">
      <c r="J876" t="n">
        <v>13743686.63143773</v>
      </c>
    </row>
    <row r="877">
      <c r="J877" t="n">
        <v>19452.49965075544</v>
      </c>
    </row>
    <row r="878">
      <c r="J878" t="n">
        <v>23264.59187722144</v>
      </c>
    </row>
    <row r="879">
      <c r="J879" t="n">
        <v>27834.3279499902</v>
      </c>
    </row>
    <row r="880">
      <c r="J880" t="n">
        <v>33309.33404954076</v>
      </c>
    </row>
    <row r="881">
      <c r="J881" t="n">
        <v>39872.7111278108</v>
      </c>
    </row>
    <row r="882">
      <c r="J882" t="n">
        <v>13359382.34670128</v>
      </c>
    </row>
    <row r="883">
      <c r="J883" t="n">
        <v>10039235.33859303</v>
      </c>
    </row>
    <row r="884">
      <c r="J884" t="n">
        <v>9064538.377270594</v>
      </c>
    </row>
    <row r="885">
      <c r="J885" t="n">
        <v>9877916.797640223</v>
      </c>
    </row>
    <row r="886">
      <c r="J886" t="n">
        <v>10722382.60116998</v>
      </c>
    </row>
    <row r="887">
      <c r="J887" t="n">
        <v>3273.335212653451</v>
      </c>
    </row>
    <row r="888">
      <c r="J888" t="n">
        <v>3899.687997344424</v>
      </c>
    </row>
    <row r="889">
      <c r="J889" t="n">
        <v>4650.537574759426</v>
      </c>
    </row>
    <row r="890">
      <c r="J890" t="n">
        <v>5550.253528726756</v>
      </c>
    </row>
    <row r="891">
      <c r="J891" t="n">
        <v>6628.688781843214</v>
      </c>
    </row>
    <row r="892">
      <c r="J892" t="n">
        <v>7392174.690975851</v>
      </c>
    </row>
    <row r="893">
      <c r="J893" t="n">
        <v>7075556.368878279</v>
      </c>
    </row>
    <row r="894">
      <c r="J894" t="n">
        <v>7157401.838012865</v>
      </c>
    </row>
    <row r="895">
      <c r="J895" t="n">
        <v>7543524.621433667</v>
      </c>
    </row>
    <row r="896">
      <c r="J896" t="n">
        <v>8068064.829297808</v>
      </c>
    </row>
    <row r="897">
      <c r="J897" t="n">
        <v>0</v>
      </c>
    </row>
    <row r="898">
      <c r="J898" t="n">
        <v>0</v>
      </c>
    </row>
    <row r="899">
      <c r="J899" t="n">
        <v>0</v>
      </c>
    </row>
    <row r="900">
      <c r="J900" t="n">
        <v>0</v>
      </c>
    </row>
    <row r="901">
      <c r="J901" t="n">
        <v>0</v>
      </c>
    </row>
    <row r="904">
      <c r="J904" t="n">
        <v>98728.4571176115</v>
      </c>
    </row>
    <row r="905">
      <c r="J905" t="n">
        <v>66450.75929286589</v>
      </c>
    </row>
    <row r="906">
      <c r="J906" t="n">
        <v>57413.12173144659</v>
      </c>
    </row>
    <row r="907">
      <c r="J907" t="n">
        <v>65352.70141876202</v>
      </c>
    </row>
    <row r="908">
      <c r="J908" t="n">
        <v>67986.67649286261</v>
      </c>
    </row>
    <row r="909">
      <c r="J909" t="n">
        <v>0</v>
      </c>
    </row>
    <row r="910">
      <c r="J910" t="n">
        <v>0</v>
      </c>
    </row>
    <row r="911">
      <c r="J911" t="n">
        <v>0</v>
      </c>
    </row>
    <row r="912">
      <c r="J912" t="n">
        <v>0</v>
      </c>
    </row>
    <row r="913">
      <c r="J913" t="n">
        <v>0</v>
      </c>
    </row>
    <row r="914">
      <c r="J914" t="n">
        <v>5086557.827622192</v>
      </c>
    </row>
    <row r="915">
      <c r="J915" t="n">
        <v>4943300.932202241</v>
      </c>
    </row>
    <row r="916">
      <c r="J916" t="n">
        <v>5110719.982302828</v>
      </c>
    </row>
    <row r="917">
      <c r="J917" t="n">
        <v>5810587.659915082</v>
      </c>
    </row>
    <row r="918">
      <c r="J918" t="n">
        <v>5799965.674113141</v>
      </c>
    </row>
    <row r="919">
      <c r="J919" t="n">
        <v>0</v>
      </c>
    </row>
    <row r="920">
      <c r="J920" t="n">
        <v>0</v>
      </c>
    </row>
    <row r="921">
      <c r="J921" t="n">
        <v>0</v>
      </c>
    </row>
    <row r="922">
      <c r="J922" t="n">
        <v>0</v>
      </c>
    </row>
    <row r="923">
      <c r="J923" t="n">
        <v>0</v>
      </c>
    </row>
    <row r="924">
      <c r="J924" t="n">
        <v>4010297.361379685</v>
      </c>
    </row>
    <row r="925">
      <c r="J925" t="n">
        <v>2676476.677159038</v>
      </c>
    </row>
    <row r="926">
      <c r="J926" t="n">
        <v>2556775.660430698</v>
      </c>
    </row>
    <row r="927">
      <c r="J927" t="n">
        <v>2917369.010613383</v>
      </c>
    </row>
    <row r="928">
      <c r="J928" t="n">
        <v>2904625.830268312</v>
      </c>
    </row>
    <row r="929">
      <c r="J929" t="n">
        <v>0</v>
      </c>
    </row>
    <row r="930">
      <c r="J930" t="n">
        <v>0</v>
      </c>
    </row>
    <row r="931">
      <c r="J931" t="n">
        <v>0</v>
      </c>
    </row>
    <row r="932">
      <c r="J932" t="n">
        <v>0</v>
      </c>
    </row>
    <row r="933">
      <c r="J933" t="n">
        <v>0</v>
      </c>
    </row>
    <row r="934">
      <c r="J934" t="n">
        <v>0</v>
      </c>
    </row>
    <row r="935">
      <c r="J935" t="n">
        <v>0</v>
      </c>
    </row>
    <row r="936">
      <c r="J936" t="n">
        <v>0</v>
      </c>
    </row>
    <row r="937">
      <c r="J937" t="n">
        <v>0</v>
      </c>
    </row>
    <row r="938">
      <c r="J938" t="n">
        <v>0</v>
      </c>
    </row>
    <row r="939">
      <c r="J939" t="n">
        <v>0</v>
      </c>
    </row>
    <row r="940">
      <c r="J940" t="n">
        <v>0</v>
      </c>
    </row>
    <row r="941">
      <c r="J941" t="n">
        <v>0</v>
      </c>
    </row>
    <row r="942">
      <c r="J942" t="n">
        <v>0</v>
      </c>
    </row>
    <row r="943">
      <c r="J9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2026-08-17T08:40:17Z</dcterms:created>
  <dcterms:modified xsi:type="dcterms:W3CDTF">2026-09-11T05:36:05Z</dcterms:modified>
  <cp:lastModifiedBy>Ritesh Reddy, Penikalapati</cp:lastModifiedBy>
</cp:coreProperties>
</file>