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outputRpt\File1\"/>
    </mc:Choice>
  </mc:AlternateContent>
  <xr:revisionPtr revIDLastSave="0" documentId="13_ncr:1_{2D11F68D-CB26-481E-A4BE-87DC087340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  <sheet name="_CombineConfig" sheetId="2" state="hidden" r:id="rId2"/>
    <sheet name="Output| Specialty RPT" sheetId="3" state="hidden" r:id="rId3"/>
    <sheet name="RPT1" sheetId="4" state="hidden" r:id="rId4"/>
    <sheet name="RPT2" sheetId="5" state="hidden" r:id="rId5"/>
    <sheet name="RPT3" sheetId="6" state="hidden" r:id="rId6"/>
    <sheet name="RPT4" sheetId="7" state="hidden" r:id="rId7"/>
  </sheets>
  <definedNames>
    <definedName name="Combine">_CombineConfig!$A$1</definedName>
    <definedName name="rng_pasteID">_CombineConfig!$A$2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43" i="1" l="1"/>
  <c r="M943" i="1"/>
  <c r="L943" i="1"/>
  <c r="K943" i="1"/>
  <c r="G943" i="1" s="1"/>
  <c r="C943" i="1" s="1"/>
  <c r="N942" i="1"/>
  <c r="M942" i="1"/>
  <c r="L942" i="1"/>
  <c r="K942" i="1"/>
  <c r="G942" i="1"/>
  <c r="C942" i="1"/>
  <c r="N941" i="1"/>
  <c r="M941" i="1"/>
  <c r="G941" i="1" s="1"/>
  <c r="C941" i="1" s="1"/>
  <c r="L941" i="1"/>
  <c r="K941" i="1"/>
  <c r="N940" i="1"/>
  <c r="M940" i="1"/>
  <c r="L940" i="1"/>
  <c r="K940" i="1"/>
  <c r="G940" i="1"/>
  <c r="C940" i="1"/>
  <c r="N939" i="1"/>
  <c r="M939" i="1"/>
  <c r="G939" i="1" s="1"/>
  <c r="C939" i="1" s="1"/>
  <c r="L939" i="1"/>
  <c r="K939" i="1"/>
  <c r="N938" i="1"/>
  <c r="M938" i="1"/>
  <c r="L938" i="1"/>
  <c r="K938" i="1"/>
  <c r="G938" i="1"/>
  <c r="C938" i="1"/>
  <c r="N937" i="1"/>
  <c r="M937" i="1"/>
  <c r="G937" i="1" s="1"/>
  <c r="C937" i="1" s="1"/>
  <c r="L937" i="1"/>
  <c r="K937" i="1"/>
  <c r="N936" i="1"/>
  <c r="M936" i="1"/>
  <c r="L936" i="1"/>
  <c r="K936" i="1"/>
  <c r="G936" i="1"/>
  <c r="C936" i="1"/>
  <c r="N935" i="1"/>
  <c r="M935" i="1"/>
  <c r="G935" i="1" s="1"/>
  <c r="C935" i="1" s="1"/>
  <c r="L935" i="1"/>
  <c r="K935" i="1"/>
  <c r="N934" i="1"/>
  <c r="M934" i="1"/>
  <c r="L934" i="1"/>
  <c r="K934" i="1"/>
  <c r="G934" i="1" s="1"/>
  <c r="C934" i="1" s="1"/>
  <c r="N933" i="1"/>
  <c r="M933" i="1"/>
  <c r="L933" i="1"/>
  <c r="K933" i="1"/>
  <c r="G933" i="1" s="1"/>
  <c r="C933" i="1" s="1"/>
  <c r="N932" i="1"/>
  <c r="M932" i="1"/>
  <c r="L932" i="1"/>
  <c r="K932" i="1"/>
  <c r="G932" i="1" s="1"/>
  <c r="C932" i="1" s="1"/>
  <c r="N931" i="1"/>
  <c r="M931" i="1"/>
  <c r="L931" i="1"/>
  <c r="K931" i="1"/>
  <c r="G931" i="1" s="1"/>
  <c r="C931" i="1" s="1"/>
  <c r="N930" i="1"/>
  <c r="M930" i="1"/>
  <c r="L930" i="1"/>
  <c r="K930" i="1"/>
  <c r="G930" i="1" s="1"/>
  <c r="C930" i="1" s="1"/>
  <c r="N929" i="1"/>
  <c r="M929" i="1"/>
  <c r="L929" i="1"/>
  <c r="K929" i="1"/>
  <c r="G929" i="1" s="1"/>
  <c r="C929" i="1" s="1"/>
  <c r="N928" i="1"/>
  <c r="M928" i="1"/>
  <c r="L928" i="1"/>
  <c r="K928" i="1"/>
  <c r="G928" i="1"/>
  <c r="C928" i="1"/>
  <c r="N927" i="1"/>
  <c r="M927" i="1"/>
  <c r="L927" i="1"/>
  <c r="K927" i="1"/>
  <c r="G927" i="1" s="1"/>
  <c r="C927" i="1" s="1"/>
  <c r="N926" i="1"/>
  <c r="M926" i="1"/>
  <c r="L926" i="1"/>
  <c r="K926" i="1"/>
  <c r="G926" i="1"/>
  <c r="C926" i="1"/>
  <c r="N925" i="1"/>
  <c r="M925" i="1"/>
  <c r="L925" i="1"/>
  <c r="K925" i="1"/>
  <c r="G925" i="1" s="1"/>
  <c r="C925" i="1" s="1"/>
  <c r="N924" i="1"/>
  <c r="M924" i="1"/>
  <c r="L924" i="1"/>
  <c r="K924" i="1"/>
  <c r="G924" i="1" s="1"/>
  <c r="C924" i="1" s="1"/>
  <c r="N923" i="1"/>
  <c r="M923" i="1"/>
  <c r="L923" i="1"/>
  <c r="K923" i="1"/>
  <c r="G923" i="1" s="1"/>
  <c r="C923" i="1" s="1"/>
  <c r="N922" i="1"/>
  <c r="M922" i="1"/>
  <c r="L922" i="1"/>
  <c r="K922" i="1"/>
  <c r="G922" i="1" s="1"/>
  <c r="C922" i="1" s="1"/>
  <c r="N921" i="1"/>
  <c r="M921" i="1"/>
  <c r="L921" i="1"/>
  <c r="K921" i="1"/>
  <c r="G921" i="1" s="1"/>
  <c r="C921" i="1" s="1"/>
  <c r="N920" i="1"/>
  <c r="M920" i="1"/>
  <c r="L920" i="1"/>
  <c r="K920" i="1"/>
  <c r="G920" i="1"/>
  <c r="C920" i="1" s="1"/>
  <c r="N919" i="1"/>
  <c r="M919" i="1"/>
  <c r="L919" i="1"/>
  <c r="K919" i="1"/>
  <c r="G919" i="1" s="1"/>
  <c r="C919" i="1" s="1"/>
  <c r="N918" i="1"/>
  <c r="M918" i="1"/>
  <c r="L918" i="1"/>
  <c r="K918" i="1"/>
  <c r="G918" i="1" s="1"/>
  <c r="C918" i="1" s="1"/>
  <c r="N917" i="1"/>
  <c r="M917" i="1"/>
  <c r="L917" i="1"/>
  <c r="K917" i="1"/>
  <c r="G917" i="1" s="1"/>
  <c r="C917" i="1" s="1"/>
  <c r="N916" i="1"/>
  <c r="M916" i="1"/>
  <c r="L916" i="1"/>
  <c r="K916" i="1"/>
  <c r="G916" i="1"/>
  <c r="C916" i="1"/>
  <c r="N915" i="1"/>
  <c r="M915" i="1"/>
  <c r="L915" i="1"/>
  <c r="K915" i="1"/>
  <c r="G915" i="1" s="1"/>
  <c r="C915" i="1" s="1"/>
  <c r="N914" i="1"/>
  <c r="M914" i="1"/>
  <c r="L914" i="1"/>
  <c r="K914" i="1"/>
  <c r="G914" i="1" s="1"/>
  <c r="C914" i="1" s="1"/>
  <c r="N913" i="1"/>
  <c r="M913" i="1"/>
  <c r="L913" i="1"/>
  <c r="K913" i="1"/>
  <c r="G913" i="1" s="1"/>
  <c r="C913" i="1" s="1"/>
  <c r="N912" i="1"/>
  <c r="M912" i="1"/>
  <c r="L912" i="1"/>
  <c r="K912" i="1"/>
  <c r="G912" i="1" s="1"/>
  <c r="C912" i="1" s="1"/>
  <c r="N911" i="1"/>
  <c r="M911" i="1"/>
  <c r="L911" i="1"/>
  <c r="K911" i="1"/>
  <c r="G911" i="1" s="1"/>
  <c r="C911" i="1" s="1"/>
  <c r="N910" i="1"/>
  <c r="M910" i="1"/>
  <c r="L910" i="1"/>
  <c r="K910" i="1"/>
  <c r="G910" i="1" s="1"/>
  <c r="C910" i="1" s="1"/>
  <c r="N909" i="1"/>
  <c r="M909" i="1"/>
  <c r="L909" i="1"/>
  <c r="K909" i="1"/>
  <c r="G909" i="1" s="1"/>
  <c r="C909" i="1" s="1"/>
  <c r="N908" i="1"/>
  <c r="M908" i="1"/>
  <c r="L908" i="1"/>
  <c r="K908" i="1"/>
  <c r="G908" i="1"/>
  <c r="C908" i="1"/>
  <c r="N907" i="1"/>
  <c r="M907" i="1"/>
  <c r="L907" i="1"/>
  <c r="K907" i="1"/>
  <c r="G907" i="1" s="1"/>
  <c r="C907" i="1" s="1"/>
  <c r="N906" i="1"/>
  <c r="M906" i="1"/>
  <c r="L906" i="1"/>
  <c r="K906" i="1"/>
  <c r="G906" i="1" s="1"/>
  <c r="C906" i="1" s="1"/>
  <c r="N905" i="1"/>
  <c r="M905" i="1"/>
  <c r="L905" i="1"/>
  <c r="K905" i="1"/>
  <c r="G905" i="1" s="1"/>
  <c r="C905" i="1" s="1"/>
  <c r="N904" i="1"/>
  <c r="M904" i="1"/>
  <c r="L904" i="1"/>
  <c r="K904" i="1"/>
  <c r="G904" i="1" s="1"/>
  <c r="C904" i="1" s="1"/>
  <c r="N903" i="1"/>
  <c r="M903" i="1"/>
  <c r="L903" i="1"/>
  <c r="K903" i="1"/>
  <c r="N901" i="1"/>
  <c r="M901" i="1"/>
  <c r="L901" i="1"/>
  <c r="K901" i="1"/>
  <c r="G901" i="1"/>
  <c r="C901" i="1"/>
  <c r="N900" i="1"/>
  <c r="M900" i="1"/>
  <c r="L900" i="1"/>
  <c r="K900" i="1"/>
  <c r="G900" i="1" s="1"/>
  <c r="C900" i="1" s="1"/>
  <c r="N899" i="1"/>
  <c r="M899" i="1"/>
  <c r="L899" i="1"/>
  <c r="K899" i="1"/>
  <c r="G899" i="1"/>
  <c r="C899" i="1"/>
  <c r="N898" i="1"/>
  <c r="M898" i="1"/>
  <c r="L898" i="1"/>
  <c r="K898" i="1"/>
  <c r="G898" i="1" s="1"/>
  <c r="C898" i="1" s="1"/>
  <c r="N897" i="1"/>
  <c r="M897" i="1"/>
  <c r="L897" i="1"/>
  <c r="K897" i="1"/>
  <c r="G897" i="1"/>
  <c r="C897" i="1"/>
  <c r="N896" i="1"/>
  <c r="M896" i="1"/>
  <c r="L896" i="1"/>
  <c r="K896" i="1"/>
  <c r="G896" i="1" s="1"/>
  <c r="C896" i="1" s="1"/>
  <c r="N895" i="1"/>
  <c r="M895" i="1"/>
  <c r="L895" i="1"/>
  <c r="K895" i="1"/>
  <c r="G895" i="1"/>
  <c r="C895" i="1" s="1"/>
  <c r="N894" i="1"/>
  <c r="M894" i="1"/>
  <c r="L894" i="1"/>
  <c r="K894" i="1"/>
  <c r="N893" i="1"/>
  <c r="M893" i="1"/>
  <c r="L893" i="1"/>
  <c r="K893" i="1"/>
  <c r="G893" i="1"/>
  <c r="C893" i="1"/>
  <c r="N892" i="1"/>
  <c r="M892" i="1"/>
  <c r="L892" i="1"/>
  <c r="K892" i="1"/>
  <c r="N891" i="1"/>
  <c r="M891" i="1"/>
  <c r="L891" i="1"/>
  <c r="K891" i="1"/>
  <c r="G891" i="1"/>
  <c r="C891" i="1"/>
  <c r="N890" i="1"/>
  <c r="M890" i="1"/>
  <c r="L890" i="1"/>
  <c r="K890" i="1"/>
  <c r="G890" i="1" s="1"/>
  <c r="C890" i="1" s="1"/>
  <c r="N889" i="1"/>
  <c r="M889" i="1"/>
  <c r="L889" i="1"/>
  <c r="K889" i="1"/>
  <c r="G889" i="1"/>
  <c r="C889" i="1"/>
  <c r="N888" i="1"/>
  <c r="M888" i="1"/>
  <c r="L888" i="1"/>
  <c r="K888" i="1"/>
  <c r="N887" i="1"/>
  <c r="M887" i="1"/>
  <c r="L887" i="1"/>
  <c r="K887" i="1"/>
  <c r="G887" i="1"/>
  <c r="C887" i="1"/>
  <c r="N886" i="1"/>
  <c r="M886" i="1"/>
  <c r="L886" i="1"/>
  <c r="K886" i="1"/>
  <c r="G886" i="1" s="1"/>
  <c r="C886" i="1" s="1"/>
  <c r="N885" i="1"/>
  <c r="M885" i="1"/>
  <c r="L885" i="1"/>
  <c r="K885" i="1"/>
  <c r="G885" i="1"/>
  <c r="C885" i="1"/>
  <c r="N884" i="1"/>
  <c r="M884" i="1"/>
  <c r="L884" i="1"/>
  <c r="K884" i="1"/>
  <c r="G884" i="1" s="1"/>
  <c r="C884" i="1" s="1"/>
  <c r="N883" i="1"/>
  <c r="M883" i="1"/>
  <c r="L883" i="1"/>
  <c r="K883" i="1"/>
  <c r="G883" i="1"/>
  <c r="C883" i="1" s="1"/>
  <c r="N882" i="1"/>
  <c r="M882" i="1"/>
  <c r="L882" i="1"/>
  <c r="K882" i="1"/>
  <c r="N881" i="1"/>
  <c r="M881" i="1"/>
  <c r="L881" i="1"/>
  <c r="K881" i="1"/>
  <c r="G881" i="1"/>
  <c r="C881" i="1"/>
  <c r="N880" i="1"/>
  <c r="M880" i="1"/>
  <c r="L880" i="1"/>
  <c r="K880" i="1"/>
  <c r="N879" i="1"/>
  <c r="M879" i="1"/>
  <c r="L879" i="1"/>
  <c r="K879" i="1"/>
  <c r="G879" i="1"/>
  <c r="C879" i="1"/>
  <c r="N878" i="1"/>
  <c r="M878" i="1"/>
  <c r="L878" i="1"/>
  <c r="K878" i="1"/>
  <c r="G878" i="1" s="1"/>
  <c r="C878" i="1" s="1"/>
  <c r="N877" i="1"/>
  <c r="M877" i="1"/>
  <c r="L877" i="1"/>
  <c r="K877" i="1"/>
  <c r="G877" i="1"/>
  <c r="C877" i="1"/>
  <c r="N876" i="1"/>
  <c r="M876" i="1"/>
  <c r="L876" i="1"/>
  <c r="K876" i="1"/>
  <c r="N875" i="1"/>
  <c r="M875" i="1"/>
  <c r="L875" i="1"/>
  <c r="K875" i="1"/>
  <c r="G875" i="1"/>
  <c r="C875" i="1"/>
  <c r="N874" i="1"/>
  <c r="M874" i="1"/>
  <c r="L874" i="1"/>
  <c r="K874" i="1"/>
  <c r="G874" i="1" s="1"/>
  <c r="C874" i="1" s="1"/>
  <c r="N873" i="1"/>
  <c r="M873" i="1"/>
  <c r="L873" i="1"/>
  <c r="K873" i="1"/>
  <c r="G873" i="1"/>
  <c r="C873" i="1"/>
  <c r="N872" i="1"/>
  <c r="M872" i="1"/>
  <c r="L872" i="1"/>
  <c r="K872" i="1"/>
  <c r="G872" i="1" s="1"/>
  <c r="C872" i="1" s="1"/>
  <c r="N871" i="1"/>
  <c r="M871" i="1"/>
  <c r="L871" i="1"/>
  <c r="K871" i="1"/>
  <c r="G871" i="1"/>
  <c r="C871" i="1" s="1"/>
  <c r="N870" i="1"/>
  <c r="M870" i="1"/>
  <c r="L870" i="1"/>
  <c r="K870" i="1"/>
  <c r="N869" i="1"/>
  <c r="M869" i="1"/>
  <c r="L869" i="1"/>
  <c r="K869" i="1"/>
  <c r="G869" i="1"/>
  <c r="C869" i="1"/>
  <c r="N868" i="1"/>
  <c r="M868" i="1"/>
  <c r="L868" i="1"/>
  <c r="K868" i="1"/>
  <c r="N867" i="1"/>
  <c r="M867" i="1"/>
  <c r="L867" i="1"/>
  <c r="K867" i="1"/>
  <c r="G867" i="1"/>
  <c r="C867" i="1"/>
  <c r="N866" i="1"/>
  <c r="M866" i="1"/>
  <c r="L866" i="1"/>
  <c r="K866" i="1"/>
  <c r="G866" i="1" s="1"/>
  <c r="C866" i="1" s="1"/>
  <c r="N865" i="1"/>
  <c r="M865" i="1"/>
  <c r="L865" i="1"/>
  <c r="K865" i="1"/>
  <c r="G865" i="1"/>
  <c r="C865" i="1"/>
  <c r="N864" i="1"/>
  <c r="M864" i="1"/>
  <c r="L864" i="1"/>
  <c r="K864" i="1"/>
  <c r="N863" i="1"/>
  <c r="M863" i="1"/>
  <c r="L863" i="1"/>
  <c r="K863" i="1"/>
  <c r="G863" i="1"/>
  <c r="C863" i="1"/>
  <c r="N862" i="1"/>
  <c r="M862" i="1"/>
  <c r="L862" i="1"/>
  <c r="K862" i="1"/>
  <c r="G862" i="1" s="1"/>
  <c r="C862" i="1" s="1"/>
  <c r="N861" i="1"/>
  <c r="M861" i="1"/>
  <c r="L861" i="1"/>
  <c r="K861" i="1"/>
  <c r="N859" i="1"/>
  <c r="M859" i="1"/>
  <c r="L859" i="1"/>
  <c r="K859" i="1"/>
  <c r="N858" i="1"/>
  <c r="M858" i="1"/>
  <c r="L858" i="1"/>
  <c r="K858" i="1"/>
  <c r="G858" i="1" s="1"/>
  <c r="C858" i="1" s="1"/>
  <c r="N857" i="1"/>
  <c r="M857" i="1"/>
  <c r="L857" i="1"/>
  <c r="K857" i="1"/>
  <c r="G857" i="1" s="1"/>
  <c r="C857" i="1" s="1"/>
  <c r="N856" i="1"/>
  <c r="M856" i="1"/>
  <c r="L856" i="1"/>
  <c r="K856" i="1"/>
  <c r="G856" i="1" s="1"/>
  <c r="C856" i="1" s="1"/>
  <c r="N855" i="1"/>
  <c r="M855" i="1"/>
  <c r="L855" i="1"/>
  <c r="K855" i="1"/>
  <c r="G855" i="1" s="1"/>
  <c r="C855" i="1" s="1"/>
  <c r="N854" i="1"/>
  <c r="M854" i="1"/>
  <c r="L854" i="1"/>
  <c r="K854" i="1"/>
  <c r="G854" i="1" s="1"/>
  <c r="C854" i="1" s="1"/>
  <c r="N853" i="1"/>
  <c r="M853" i="1"/>
  <c r="L853" i="1"/>
  <c r="K853" i="1"/>
  <c r="G853" i="1" s="1"/>
  <c r="C853" i="1" s="1"/>
  <c r="N852" i="1"/>
  <c r="M852" i="1"/>
  <c r="L852" i="1"/>
  <c r="K852" i="1"/>
  <c r="G852" i="1" s="1"/>
  <c r="C852" i="1" s="1"/>
  <c r="N851" i="1"/>
  <c r="M851" i="1"/>
  <c r="L851" i="1"/>
  <c r="K851" i="1"/>
  <c r="G851" i="1" s="1"/>
  <c r="C851" i="1" s="1"/>
  <c r="N850" i="1"/>
  <c r="M850" i="1"/>
  <c r="L850" i="1"/>
  <c r="K850" i="1"/>
  <c r="G850" i="1" s="1"/>
  <c r="C850" i="1" s="1"/>
  <c r="N849" i="1"/>
  <c r="M849" i="1"/>
  <c r="L849" i="1"/>
  <c r="K849" i="1"/>
  <c r="G849" i="1" s="1"/>
  <c r="C849" i="1" s="1"/>
  <c r="N848" i="1"/>
  <c r="M848" i="1"/>
  <c r="L848" i="1"/>
  <c r="K848" i="1"/>
  <c r="G848" i="1" s="1"/>
  <c r="C848" i="1" s="1"/>
  <c r="N847" i="1"/>
  <c r="M847" i="1"/>
  <c r="L847" i="1"/>
  <c r="K847" i="1"/>
  <c r="G847" i="1" s="1"/>
  <c r="C847" i="1" s="1"/>
  <c r="N846" i="1"/>
  <c r="M846" i="1"/>
  <c r="L846" i="1"/>
  <c r="K846" i="1"/>
  <c r="G846" i="1" s="1"/>
  <c r="C846" i="1" s="1"/>
  <c r="N845" i="1"/>
  <c r="M845" i="1"/>
  <c r="L845" i="1"/>
  <c r="K845" i="1"/>
  <c r="G845" i="1" s="1"/>
  <c r="C845" i="1" s="1"/>
  <c r="N844" i="1"/>
  <c r="M844" i="1"/>
  <c r="L844" i="1"/>
  <c r="K844" i="1"/>
  <c r="G844" i="1" s="1"/>
  <c r="C844" i="1" s="1"/>
  <c r="N843" i="1"/>
  <c r="M843" i="1"/>
  <c r="L843" i="1"/>
  <c r="K843" i="1"/>
  <c r="G843" i="1" s="1"/>
  <c r="C843" i="1" s="1"/>
  <c r="N842" i="1"/>
  <c r="M842" i="1"/>
  <c r="L842" i="1"/>
  <c r="K842" i="1"/>
  <c r="G842" i="1" s="1"/>
  <c r="C842" i="1" s="1"/>
  <c r="N841" i="1"/>
  <c r="M841" i="1"/>
  <c r="L841" i="1"/>
  <c r="K841" i="1"/>
  <c r="N840" i="1"/>
  <c r="M840" i="1"/>
  <c r="L840" i="1"/>
  <c r="K840" i="1"/>
  <c r="G840" i="1" s="1"/>
  <c r="C840" i="1" s="1"/>
  <c r="N839" i="1"/>
  <c r="M839" i="1"/>
  <c r="L839" i="1"/>
  <c r="K839" i="1"/>
  <c r="G839" i="1" s="1"/>
  <c r="C839" i="1" s="1"/>
  <c r="N838" i="1"/>
  <c r="M838" i="1"/>
  <c r="L838" i="1"/>
  <c r="K838" i="1"/>
  <c r="G838" i="1" s="1"/>
  <c r="C838" i="1" s="1"/>
  <c r="N837" i="1"/>
  <c r="M837" i="1"/>
  <c r="L837" i="1"/>
  <c r="K837" i="1"/>
  <c r="G837" i="1" s="1"/>
  <c r="C837" i="1" s="1"/>
  <c r="N836" i="1"/>
  <c r="M836" i="1"/>
  <c r="L836" i="1"/>
  <c r="K836" i="1"/>
  <c r="G836" i="1" s="1"/>
  <c r="C836" i="1" s="1"/>
  <c r="N835" i="1"/>
  <c r="M835" i="1"/>
  <c r="L835" i="1"/>
  <c r="K835" i="1"/>
  <c r="G835" i="1" s="1"/>
  <c r="C835" i="1" s="1"/>
  <c r="N834" i="1"/>
  <c r="M834" i="1"/>
  <c r="L834" i="1"/>
  <c r="K834" i="1"/>
  <c r="G834" i="1" s="1"/>
  <c r="C834" i="1" s="1"/>
  <c r="N833" i="1"/>
  <c r="M833" i="1"/>
  <c r="L833" i="1"/>
  <c r="K833" i="1"/>
  <c r="G833" i="1" s="1"/>
  <c r="C833" i="1" s="1"/>
  <c r="N832" i="1"/>
  <c r="M832" i="1"/>
  <c r="L832" i="1"/>
  <c r="K832" i="1"/>
  <c r="G832" i="1" s="1"/>
  <c r="C832" i="1" s="1"/>
  <c r="N831" i="1"/>
  <c r="M831" i="1"/>
  <c r="L831" i="1"/>
  <c r="K831" i="1"/>
  <c r="G831" i="1" s="1"/>
  <c r="C831" i="1" s="1"/>
  <c r="N830" i="1"/>
  <c r="M830" i="1"/>
  <c r="L830" i="1"/>
  <c r="K830" i="1"/>
  <c r="G830" i="1" s="1"/>
  <c r="C830" i="1" s="1"/>
  <c r="N829" i="1"/>
  <c r="M829" i="1"/>
  <c r="L829" i="1"/>
  <c r="K829" i="1"/>
  <c r="G829" i="1" s="1"/>
  <c r="C829" i="1" s="1"/>
  <c r="N828" i="1"/>
  <c r="M828" i="1"/>
  <c r="L828" i="1"/>
  <c r="K828" i="1"/>
  <c r="G828" i="1" s="1"/>
  <c r="C828" i="1" s="1"/>
  <c r="N827" i="1"/>
  <c r="M827" i="1"/>
  <c r="L827" i="1"/>
  <c r="K827" i="1"/>
  <c r="G827" i="1" s="1"/>
  <c r="C827" i="1" s="1"/>
  <c r="N826" i="1"/>
  <c r="M826" i="1"/>
  <c r="L826" i="1"/>
  <c r="K826" i="1"/>
  <c r="G826" i="1" s="1"/>
  <c r="C826" i="1" s="1"/>
  <c r="N825" i="1"/>
  <c r="M825" i="1"/>
  <c r="L825" i="1"/>
  <c r="K825" i="1"/>
  <c r="G825" i="1" s="1"/>
  <c r="C825" i="1" s="1"/>
  <c r="N824" i="1"/>
  <c r="M824" i="1"/>
  <c r="L824" i="1"/>
  <c r="K824" i="1"/>
  <c r="G824" i="1" s="1"/>
  <c r="C824" i="1" s="1"/>
  <c r="N823" i="1"/>
  <c r="M823" i="1"/>
  <c r="L823" i="1"/>
  <c r="K823" i="1"/>
  <c r="G823" i="1" s="1"/>
  <c r="C823" i="1" s="1"/>
  <c r="N822" i="1"/>
  <c r="M822" i="1"/>
  <c r="L822" i="1"/>
  <c r="K822" i="1"/>
  <c r="G822" i="1" s="1"/>
  <c r="C822" i="1" s="1"/>
  <c r="N821" i="1"/>
  <c r="M821" i="1"/>
  <c r="L821" i="1"/>
  <c r="K821" i="1"/>
  <c r="G821" i="1" s="1"/>
  <c r="C821" i="1" s="1"/>
  <c r="N820" i="1"/>
  <c r="M820" i="1"/>
  <c r="L820" i="1"/>
  <c r="K820" i="1"/>
  <c r="G820" i="1" s="1"/>
  <c r="C820" i="1" s="1"/>
  <c r="N819" i="1"/>
  <c r="M819" i="1"/>
  <c r="L819" i="1"/>
  <c r="K819" i="1"/>
  <c r="N817" i="1"/>
  <c r="M817" i="1"/>
  <c r="L817" i="1"/>
  <c r="K817" i="1"/>
  <c r="G817" i="1" s="1"/>
  <c r="C817" i="1" s="1"/>
  <c r="N816" i="1"/>
  <c r="M816" i="1"/>
  <c r="L816" i="1"/>
  <c r="K816" i="1"/>
  <c r="G816" i="1" s="1"/>
  <c r="C816" i="1" s="1"/>
  <c r="N815" i="1"/>
  <c r="M815" i="1"/>
  <c r="L815" i="1"/>
  <c r="K815" i="1"/>
  <c r="G815" i="1" s="1"/>
  <c r="C815" i="1" s="1"/>
  <c r="N814" i="1"/>
  <c r="M814" i="1"/>
  <c r="L814" i="1"/>
  <c r="K814" i="1"/>
  <c r="G814" i="1" s="1"/>
  <c r="C814" i="1" s="1"/>
  <c r="N813" i="1"/>
  <c r="M813" i="1"/>
  <c r="L813" i="1"/>
  <c r="K813" i="1"/>
  <c r="G813" i="1" s="1"/>
  <c r="C813" i="1" s="1"/>
  <c r="N812" i="1"/>
  <c r="M812" i="1"/>
  <c r="L812" i="1"/>
  <c r="K812" i="1"/>
  <c r="G812" i="1" s="1"/>
  <c r="C812" i="1" s="1"/>
  <c r="N811" i="1"/>
  <c r="M811" i="1"/>
  <c r="L811" i="1"/>
  <c r="K811" i="1"/>
  <c r="G811" i="1" s="1"/>
  <c r="C811" i="1" s="1"/>
  <c r="N810" i="1"/>
  <c r="M810" i="1"/>
  <c r="L810" i="1"/>
  <c r="K810" i="1"/>
  <c r="G810" i="1"/>
  <c r="C810" i="1"/>
  <c r="N809" i="1"/>
  <c r="M809" i="1"/>
  <c r="L809" i="1"/>
  <c r="K809" i="1"/>
  <c r="G809" i="1" s="1"/>
  <c r="C809" i="1" s="1"/>
  <c r="N808" i="1"/>
  <c r="M808" i="1"/>
  <c r="L808" i="1"/>
  <c r="K808" i="1"/>
  <c r="G808" i="1" s="1"/>
  <c r="C808" i="1" s="1"/>
  <c r="N807" i="1"/>
  <c r="M807" i="1"/>
  <c r="L807" i="1"/>
  <c r="K807" i="1"/>
  <c r="G807" i="1" s="1"/>
  <c r="C807" i="1" s="1"/>
  <c r="N806" i="1"/>
  <c r="M806" i="1"/>
  <c r="L806" i="1"/>
  <c r="K806" i="1"/>
  <c r="G806" i="1" s="1"/>
  <c r="C806" i="1" s="1"/>
  <c r="N805" i="1"/>
  <c r="M805" i="1"/>
  <c r="L805" i="1"/>
  <c r="K805" i="1"/>
  <c r="G805" i="1" s="1"/>
  <c r="C805" i="1" s="1"/>
  <c r="N804" i="1"/>
  <c r="M804" i="1"/>
  <c r="L804" i="1"/>
  <c r="K804" i="1"/>
  <c r="G804" i="1" s="1"/>
  <c r="C804" i="1" s="1"/>
  <c r="N803" i="1"/>
  <c r="M803" i="1"/>
  <c r="L803" i="1"/>
  <c r="K803" i="1"/>
  <c r="G803" i="1" s="1"/>
  <c r="C803" i="1" s="1"/>
  <c r="N802" i="1"/>
  <c r="M802" i="1"/>
  <c r="L802" i="1"/>
  <c r="K802" i="1"/>
  <c r="G802" i="1" s="1"/>
  <c r="C802" i="1" s="1"/>
  <c r="N801" i="1"/>
  <c r="M801" i="1"/>
  <c r="L801" i="1"/>
  <c r="K801" i="1"/>
  <c r="G801" i="1" s="1"/>
  <c r="C801" i="1" s="1"/>
  <c r="N800" i="1"/>
  <c r="M800" i="1"/>
  <c r="L800" i="1"/>
  <c r="K800" i="1"/>
  <c r="G800" i="1" s="1"/>
  <c r="C800" i="1" s="1"/>
  <c r="N799" i="1"/>
  <c r="M799" i="1"/>
  <c r="L799" i="1"/>
  <c r="K799" i="1"/>
  <c r="G799" i="1" s="1"/>
  <c r="C799" i="1" s="1"/>
  <c r="N798" i="1"/>
  <c r="M798" i="1"/>
  <c r="L798" i="1"/>
  <c r="K798" i="1"/>
  <c r="G798" i="1"/>
  <c r="C798" i="1"/>
  <c r="N797" i="1"/>
  <c r="M797" i="1"/>
  <c r="L797" i="1"/>
  <c r="K797" i="1"/>
  <c r="G797" i="1" s="1"/>
  <c r="C797" i="1" s="1"/>
  <c r="N796" i="1"/>
  <c r="M796" i="1"/>
  <c r="L796" i="1"/>
  <c r="K796" i="1"/>
  <c r="G796" i="1" s="1"/>
  <c r="C796" i="1" s="1"/>
  <c r="N795" i="1"/>
  <c r="M795" i="1"/>
  <c r="L795" i="1"/>
  <c r="K795" i="1"/>
  <c r="G795" i="1" s="1"/>
  <c r="C795" i="1" s="1"/>
  <c r="N794" i="1"/>
  <c r="M794" i="1"/>
  <c r="L794" i="1"/>
  <c r="K794" i="1"/>
  <c r="G794" i="1"/>
  <c r="C794" i="1"/>
  <c r="N793" i="1"/>
  <c r="M793" i="1"/>
  <c r="L793" i="1"/>
  <c r="K793" i="1"/>
  <c r="G793" i="1" s="1"/>
  <c r="C793" i="1" s="1"/>
  <c r="N792" i="1"/>
  <c r="M792" i="1"/>
  <c r="L792" i="1"/>
  <c r="K792" i="1"/>
  <c r="G792" i="1" s="1"/>
  <c r="C792" i="1" s="1"/>
  <c r="N791" i="1"/>
  <c r="M791" i="1"/>
  <c r="L791" i="1"/>
  <c r="K791" i="1"/>
  <c r="G791" i="1" s="1"/>
  <c r="C791" i="1" s="1"/>
  <c r="N790" i="1"/>
  <c r="M790" i="1"/>
  <c r="L790" i="1"/>
  <c r="K790" i="1"/>
  <c r="G790" i="1" s="1"/>
  <c r="C790" i="1" s="1"/>
  <c r="N789" i="1"/>
  <c r="M789" i="1"/>
  <c r="L789" i="1"/>
  <c r="K789" i="1"/>
  <c r="G789" i="1" s="1"/>
  <c r="C789" i="1" s="1"/>
  <c r="N788" i="1"/>
  <c r="M788" i="1"/>
  <c r="L788" i="1"/>
  <c r="K788" i="1"/>
  <c r="G788" i="1" s="1"/>
  <c r="C788" i="1" s="1"/>
  <c r="N787" i="1"/>
  <c r="M787" i="1"/>
  <c r="L787" i="1"/>
  <c r="K787" i="1"/>
  <c r="G787" i="1" s="1"/>
  <c r="C787" i="1" s="1"/>
  <c r="N786" i="1"/>
  <c r="M786" i="1"/>
  <c r="L786" i="1"/>
  <c r="K786" i="1"/>
  <c r="G786" i="1"/>
  <c r="C786" i="1"/>
  <c r="N785" i="1"/>
  <c r="M785" i="1"/>
  <c r="L785" i="1"/>
  <c r="K785" i="1"/>
  <c r="G785" i="1" s="1"/>
  <c r="C785" i="1" s="1"/>
  <c r="N784" i="1"/>
  <c r="M784" i="1"/>
  <c r="L784" i="1"/>
  <c r="K784" i="1"/>
  <c r="G784" i="1" s="1"/>
  <c r="C784" i="1" s="1"/>
  <c r="N783" i="1"/>
  <c r="M783" i="1"/>
  <c r="L783" i="1"/>
  <c r="K783" i="1"/>
  <c r="G783" i="1" s="1"/>
  <c r="C783" i="1" s="1"/>
  <c r="N782" i="1"/>
  <c r="M782" i="1"/>
  <c r="L782" i="1"/>
  <c r="K782" i="1"/>
  <c r="G782" i="1"/>
  <c r="C782" i="1"/>
  <c r="N781" i="1"/>
  <c r="M781" i="1"/>
  <c r="L781" i="1"/>
  <c r="K781" i="1"/>
  <c r="G781" i="1" s="1"/>
  <c r="C781" i="1" s="1"/>
  <c r="N780" i="1"/>
  <c r="M780" i="1"/>
  <c r="L780" i="1"/>
  <c r="K780" i="1"/>
  <c r="G780" i="1" s="1"/>
  <c r="C780" i="1" s="1"/>
  <c r="N779" i="1"/>
  <c r="M779" i="1"/>
  <c r="L779" i="1"/>
  <c r="K779" i="1"/>
  <c r="G779" i="1" s="1"/>
  <c r="C779" i="1" s="1"/>
  <c r="N778" i="1"/>
  <c r="M778" i="1"/>
  <c r="L778" i="1"/>
  <c r="K778" i="1"/>
  <c r="G778" i="1" s="1"/>
  <c r="C778" i="1" s="1"/>
  <c r="N777" i="1"/>
  <c r="M777" i="1"/>
  <c r="L777" i="1"/>
  <c r="K777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G773" i="1"/>
  <c r="C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G761" i="1"/>
  <c r="C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3" i="1"/>
  <c r="M723" i="1"/>
  <c r="L723" i="1"/>
  <c r="K723" i="1"/>
  <c r="G723" i="1" s="1"/>
  <c r="C723" i="1" s="1"/>
  <c r="N722" i="1"/>
  <c r="M722" i="1"/>
  <c r="L722" i="1"/>
  <c r="K722" i="1"/>
  <c r="G722" i="1" s="1"/>
  <c r="N721" i="1"/>
  <c r="M721" i="1"/>
  <c r="L721" i="1"/>
  <c r="K721" i="1"/>
  <c r="G721" i="1" s="1"/>
  <c r="C721" i="1" s="1"/>
  <c r="N720" i="1"/>
  <c r="M720" i="1"/>
  <c r="L720" i="1"/>
  <c r="K720" i="1"/>
  <c r="G720" i="1"/>
  <c r="G772" i="1" s="1"/>
  <c r="C772" i="1" s="1"/>
  <c r="C720" i="1"/>
  <c r="N719" i="1"/>
  <c r="M719" i="1"/>
  <c r="L719" i="1"/>
  <c r="K719" i="1"/>
  <c r="G719" i="1" s="1"/>
  <c r="C719" i="1" s="1"/>
  <c r="N718" i="1"/>
  <c r="M718" i="1"/>
  <c r="L718" i="1"/>
  <c r="K718" i="1"/>
  <c r="G718" i="1" s="1"/>
  <c r="N717" i="1"/>
  <c r="M717" i="1"/>
  <c r="L717" i="1"/>
  <c r="K717" i="1"/>
  <c r="G717" i="1" s="1"/>
  <c r="C717" i="1" s="1"/>
  <c r="N716" i="1"/>
  <c r="M716" i="1"/>
  <c r="L716" i="1"/>
  <c r="K716" i="1"/>
  <c r="G716" i="1"/>
  <c r="G768" i="1" s="1"/>
  <c r="C768" i="1" s="1"/>
  <c r="C716" i="1"/>
  <c r="N715" i="1"/>
  <c r="M715" i="1"/>
  <c r="L715" i="1"/>
  <c r="K715" i="1"/>
  <c r="G715" i="1" s="1"/>
  <c r="C715" i="1" s="1"/>
  <c r="N714" i="1"/>
  <c r="M714" i="1"/>
  <c r="L714" i="1"/>
  <c r="K714" i="1"/>
  <c r="G714" i="1" s="1"/>
  <c r="N713" i="1"/>
  <c r="M713" i="1"/>
  <c r="L713" i="1"/>
  <c r="K713" i="1"/>
  <c r="G713" i="1" s="1"/>
  <c r="C713" i="1" s="1"/>
  <c r="N712" i="1"/>
  <c r="M712" i="1"/>
  <c r="L712" i="1"/>
  <c r="K712" i="1"/>
  <c r="G712" i="1" s="1"/>
  <c r="N711" i="1"/>
  <c r="M711" i="1"/>
  <c r="L711" i="1"/>
  <c r="K711" i="1"/>
  <c r="G711" i="1" s="1"/>
  <c r="C711" i="1" s="1"/>
  <c r="N710" i="1"/>
  <c r="M710" i="1"/>
  <c r="L710" i="1"/>
  <c r="K710" i="1"/>
  <c r="G710" i="1" s="1"/>
  <c r="N709" i="1"/>
  <c r="M709" i="1"/>
  <c r="L709" i="1"/>
  <c r="K709" i="1"/>
  <c r="G709" i="1" s="1"/>
  <c r="C709" i="1" s="1"/>
  <c r="N708" i="1"/>
  <c r="M708" i="1"/>
  <c r="L708" i="1"/>
  <c r="K708" i="1"/>
  <c r="G708" i="1"/>
  <c r="G760" i="1" s="1"/>
  <c r="C760" i="1" s="1"/>
  <c r="C708" i="1"/>
  <c r="N707" i="1"/>
  <c r="M707" i="1"/>
  <c r="L707" i="1"/>
  <c r="K707" i="1"/>
  <c r="G707" i="1" s="1"/>
  <c r="C707" i="1" s="1"/>
  <c r="N706" i="1"/>
  <c r="M706" i="1"/>
  <c r="L706" i="1"/>
  <c r="K706" i="1"/>
  <c r="G706" i="1" s="1"/>
  <c r="N705" i="1"/>
  <c r="M705" i="1"/>
  <c r="L705" i="1"/>
  <c r="K705" i="1"/>
  <c r="G705" i="1" s="1"/>
  <c r="C705" i="1" s="1"/>
  <c r="N704" i="1"/>
  <c r="M704" i="1"/>
  <c r="L704" i="1"/>
  <c r="K704" i="1"/>
  <c r="G704" i="1"/>
  <c r="G756" i="1" s="1"/>
  <c r="C756" i="1" s="1"/>
  <c r="C704" i="1"/>
  <c r="N703" i="1"/>
  <c r="M703" i="1"/>
  <c r="L703" i="1"/>
  <c r="K703" i="1"/>
  <c r="G703" i="1" s="1"/>
  <c r="C703" i="1" s="1"/>
  <c r="N702" i="1"/>
  <c r="M702" i="1"/>
  <c r="L702" i="1"/>
  <c r="K702" i="1"/>
  <c r="G702" i="1" s="1"/>
  <c r="N701" i="1"/>
  <c r="M701" i="1"/>
  <c r="L701" i="1"/>
  <c r="K701" i="1"/>
  <c r="G701" i="1" s="1"/>
  <c r="C701" i="1" s="1"/>
  <c r="N700" i="1"/>
  <c r="M700" i="1"/>
  <c r="L700" i="1"/>
  <c r="K700" i="1"/>
  <c r="G700" i="1" s="1"/>
  <c r="N699" i="1"/>
  <c r="M699" i="1"/>
  <c r="L699" i="1"/>
  <c r="K699" i="1"/>
  <c r="N697" i="1"/>
  <c r="M697" i="1"/>
  <c r="L697" i="1"/>
  <c r="K697" i="1"/>
  <c r="G697" i="1"/>
  <c r="G749" i="1" s="1"/>
  <c r="C749" i="1" s="1"/>
  <c r="C697" i="1"/>
  <c r="N696" i="1"/>
  <c r="M696" i="1"/>
  <c r="L696" i="1"/>
  <c r="K696" i="1"/>
  <c r="N695" i="1"/>
  <c r="M695" i="1"/>
  <c r="L695" i="1"/>
  <c r="K695" i="1"/>
  <c r="G695" i="1"/>
  <c r="G747" i="1" s="1"/>
  <c r="C747" i="1" s="1"/>
  <c r="C695" i="1"/>
  <c r="N694" i="1"/>
  <c r="M694" i="1"/>
  <c r="L694" i="1"/>
  <c r="K694" i="1"/>
  <c r="G694" i="1" s="1"/>
  <c r="N693" i="1"/>
  <c r="M693" i="1"/>
  <c r="L693" i="1"/>
  <c r="K693" i="1"/>
  <c r="G693" i="1"/>
  <c r="G745" i="1" s="1"/>
  <c r="C745" i="1" s="1"/>
  <c r="C693" i="1"/>
  <c r="N692" i="1"/>
  <c r="M692" i="1"/>
  <c r="L692" i="1"/>
  <c r="K692" i="1"/>
  <c r="N691" i="1"/>
  <c r="M691" i="1"/>
  <c r="L691" i="1"/>
  <c r="K691" i="1"/>
  <c r="G691" i="1"/>
  <c r="G743" i="1" s="1"/>
  <c r="C743" i="1" s="1"/>
  <c r="C691" i="1"/>
  <c r="N690" i="1"/>
  <c r="M690" i="1"/>
  <c r="L690" i="1"/>
  <c r="K690" i="1"/>
  <c r="G690" i="1" s="1"/>
  <c r="N689" i="1"/>
  <c r="M689" i="1"/>
  <c r="L689" i="1"/>
  <c r="K689" i="1"/>
  <c r="G689" i="1"/>
  <c r="G741" i="1" s="1"/>
  <c r="C741" i="1" s="1"/>
  <c r="C689" i="1"/>
  <c r="N688" i="1"/>
  <c r="M688" i="1"/>
  <c r="L688" i="1"/>
  <c r="K688" i="1"/>
  <c r="N687" i="1"/>
  <c r="M687" i="1"/>
  <c r="L687" i="1"/>
  <c r="K687" i="1"/>
  <c r="G687" i="1"/>
  <c r="G739" i="1" s="1"/>
  <c r="C739" i="1" s="1"/>
  <c r="C687" i="1"/>
  <c r="N686" i="1"/>
  <c r="M686" i="1"/>
  <c r="L686" i="1"/>
  <c r="K686" i="1"/>
  <c r="G686" i="1" s="1"/>
  <c r="N685" i="1"/>
  <c r="M685" i="1"/>
  <c r="L685" i="1"/>
  <c r="K685" i="1"/>
  <c r="G685" i="1"/>
  <c r="G737" i="1" s="1"/>
  <c r="C737" i="1" s="1"/>
  <c r="C685" i="1"/>
  <c r="N684" i="1"/>
  <c r="M684" i="1"/>
  <c r="L684" i="1"/>
  <c r="K684" i="1"/>
  <c r="N683" i="1"/>
  <c r="M683" i="1"/>
  <c r="L683" i="1"/>
  <c r="K683" i="1"/>
  <c r="G683" i="1"/>
  <c r="G735" i="1" s="1"/>
  <c r="C735" i="1" s="1"/>
  <c r="C683" i="1"/>
  <c r="N682" i="1"/>
  <c r="M682" i="1"/>
  <c r="L682" i="1"/>
  <c r="K682" i="1"/>
  <c r="G682" i="1" s="1"/>
  <c r="N681" i="1"/>
  <c r="M681" i="1"/>
  <c r="L681" i="1"/>
  <c r="K681" i="1"/>
  <c r="G681" i="1"/>
  <c r="G733" i="1" s="1"/>
  <c r="C733" i="1" s="1"/>
  <c r="C681" i="1"/>
  <c r="N680" i="1"/>
  <c r="M680" i="1"/>
  <c r="L680" i="1"/>
  <c r="K680" i="1"/>
  <c r="N679" i="1"/>
  <c r="M679" i="1"/>
  <c r="L679" i="1"/>
  <c r="K679" i="1"/>
  <c r="G679" i="1"/>
  <c r="G731" i="1" s="1"/>
  <c r="C731" i="1" s="1"/>
  <c r="C679" i="1"/>
  <c r="N678" i="1"/>
  <c r="M678" i="1"/>
  <c r="L678" i="1"/>
  <c r="K678" i="1"/>
  <c r="G678" i="1" s="1"/>
  <c r="N677" i="1"/>
  <c r="M677" i="1"/>
  <c r="L677" i="1"/>
  <c r="K677" i="1"/>
  <c r="G677" i="1"/>
  <c r="G729" i="1" s="1"/>
  <c r="C729" i="1" s="1"/>
  <c r="C677" i="1"/>
  <c r="N676" i="1"/>
  <c r="M676" i="1"/>
  <c r="L676" i="1"/>
  <c r="K676" i="1"/>
  <c r="N675" i="1"/>
  <c r="M675" i="1"/>
  <c r="L675" i="1"/>
  <c r="K675" i="1"/>
  <c r="G675" i="1"/>
  <c r="G727" i="1" s="1"/>
  <c r="C727" i="1" s="1"/>
  <c r="C675" i="1"/>
  <c r="N674" i="1"/>
  <c r="M674" i="1"/>
  <c r="L674" i="1"/>
  <c r="K674" i="1"/>
  <c r="G674" i="1" s="1"/>
  <c r="N673" i="1"/>
  <c r="M673" i="1"/>
  <c r="L673" i="1"/>
  <c r="K673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G620" i="1"/>
  <c r="C620" i="1" s="1"/>
  <c r="N619" i="1"/>
  <c r="M619" i="1"/>
  <c r="L619" i="1"/>
  <c r="K619" i="1"/>
  <c r="N618" i="1"/>
  <c r="M618" i="1"/>
  <c r="L618" i="1"/>
  <c r="K618" i="1"/>
  <c r="G618" i="1"/>
  <c r="C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G612" i="1"/>
  <c r="C612" i="1" s="1"/>
  <c r="N611" i="1"/>
  <c r="M611" i="1"/>
  <c r="L611" i="1"/>
  <c r="K611" i="1"/>
  <c r="N610" i="1"/>
  <c r="M610" i="1"/>
  <c r="L610" i="1"/>
  <c r="K610" i="1"/>
  <c r="G610" i="1"/>
  <c r="C610" i="1"/>
  <c r="N609" i="1"/>
  <c r="M609" i="1"/>
  <c r="L609" i="1"/>
  <c r="K609" i="1"/>
  <c r="N608" i="1"/>
  <c r="M608" i="1"/>
  <c r="L608" i="1"/>
  <c r="K608" i="1"/>
  <c r="G608" i="1"/>
  <c r="C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G596" i="1"/>
  <c r="C596" i="1" s="1"/>
  <c r="N595" i="1"/>
  <c r="M595" i="1"/>
  <c r="L595" i="1"/>
  <c r="K595" i="1"/>
  <c r="N594" i="1"/>
  <c r="M594" i="1"/>
  <c r="L594" i="1"/>
  <c r="K594" i="1"/>
  <c r="G594" i="1"/>
  <c r="C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7" i="1"/>
  <c r="M587" i="1"/>
  <c r="G587" i="1" s="1"/>
  <c r="L587" i="1"/>
  <c r="K587" i="1"/>
  <c r="N586" i="1"/>
  <c r="M586" i="1"/>
  <c r="L586" i="1"/>
  <c r="K586" i="1"/>
  <c r="G586" i="1" s="1"/>
  <c r="N585" i="1"/>
  <c r="M585" i="1"/>
  <c r="L585" i="1"/>
  <c r="K585" i="1"/>
  <c r="G585" i="1" s="1"/>
  <c r="N584" i="1"/>
  <c r="M584" i="1"/>
  <c r="L584" i="1"/>
  <c r="K584" i="1"/>
  <c r="N583" i="1"/>
  <c r="M583" i="1"/>
  <c r="L583" i="1"/>
  <c r="K583" i="1"/>
  <c r="G583" i="1" s="1"/>
  <c r="N582" i="1"/>
  <c r="M582" i="1"/>
  <c r="L582" i="1"/>
  <c r="K582" i="1"/>
  <c r="G582" i="1" s="1"/>
  <c r="N581" i="1"/>
  <c r="M581" i="1"/>
  <c r="L581" i="1"/>
  <c r="K581" i="1"/>
  <c r="G581" i="1" s="1"/>
  <c r="N580" i="1"/>
  <c r="M580" i="1"/>
  <c r="L580" i="1"/>
  <c r="K580" i="1"/>
  <c r="N579" i="1"/>
  <c r="M579" i="1"/>
  <c r="G579" i="1" s="1"/>
  <c r="L579" i="1"/>
  <c r="K579" i="1"/>
  <c r="N578" i="1"/>
  <c r="M578" i="1"/>
  <c r="L578" i="1"/>
  <c r="K578" i="1"/>
  <c r="G578" i="1" s="1"/>
  <c r="N577" i="1"/>
  <c r="M577" i="1"/>
  <c r="L577" i="1"/>
  <c r="K577" i="1"/>
  <c r="G577" i="1" s="1"/>
  <c r="N576" i="1"/>
  <c r="M576" i="1"/>
  <c r="L576" i="1"/>
  <c r="K576" i="1"/>
  <c r="N575" i="1"/>
  <c r="M575" i="1"/>
  <c r="L575" i="1"/>
  <c r="K575" i="1"/>
  <c r="G575" i="1" s="1"/>
  <c r="N574" i="1"/>
  <c r="M574" i="1"/>
  <c r="L574" i="1"/>
  <c r="K574" i="1"/>
  <c r="G574" i="1" s="1"/>
  <c r="N573" i="1"/>
  <c r="M573" i="1"/>
  <c r="L573" i="1"/>
  <c r="K573" i="1"/>
  <c r="G573" i="1" s="1"/>
  <c r="N572" i="1"/>
  <c r="M572" i="1"/>
  <c r="L572" i="1"/>
  <c r="K572" i="1"/>
  <c r="N571" i="1"/>
  <c r="M571" i="1"/>
  <c r="L571" i="1"/>
  <c r="K571" i="1"/>
  <c r="G571" i="1" s="1"/>
  <c r="N570" i="1"/>
  <c r="M570" i="1"/>
  <c r="L570" i="1"/>
  <c r="K570" i="1"/>
  <c r="G570" i="1" s="1"/>
  <c r="N569" i="1"/>
  <c r="M569" i="1"/>
  <c r="L569" i="1"/>
  <c r="K569" i="1"/>
  <c r="G569" i="1" s="1"/>
  <c r="N568" i="1"/>
  <c r="M568" i="1"/>
  <c r="L568" i="1"/>
  <c r="K568" i="1"/>
  <c r="N567" i="1"/>
  <c r="M567" i="1"/>
  <c r="L567" i="1"/>
  <c r="K567" i="1"/>
  <c r="G567" i="1" s="1"/>
  <c r="N566" i="1"/>
  <c r="M566" i="1"/>
  <c r="L566" i="1"/>
  <c r="K566" i="1"/>
  <c r="G566" i="1" s="1"/>
  <c r="N565" i="1"/>
  <c r="M565" i="1"/>
  <c r="L565" i="1"/>
  <c r="K565" i="1"/>
  <c r="G565" i="1" s="1"/>
  <c r="N564" i="1"/>
  <c r="M564" i="1"/>
  <c r="L564" i="1"/>
  <c r="K564" i="1"/>
  <c r="N563" i="1"/>
  <c r="M563" i="1"/>
  <c r="L563" i="1"/>
  <c r="K563" i="1"/>
  <c r="G563" i="1" s="1"/>
  <c r="N562" i="1"/>
  <c r="M562" i="1"/>
  <c r="L562" i="1"/>
  <c r="K562" i="1"/>
  <c r="G562" i="1" s="1"/>
  <c r="N561" i="1"/>
  <c r="M561" i="1"/>
  <c r="L561" i="1"/>
  <c r="K561" i="1"/>
  <c r="G561" i="1" s="1"/>
  <c r="N560" i="1"/>
  <c r="M560" i="1"/>
  <c r="L560" i="1"/>
  <c r="K560" i="1"/>
  <c r="N559" i="1"/>
  <c r="M559" i="1"/>
  <c r="L559" i="1"/>
  <c r="K559" i="1"/>
  <c r="G559" i="1" s="1"/>
  <c r="N558" i="1"/>
  <c r="M558" i="1"/>
  <c r="L558" i="1"/>
  <c r="K558" i="1"/>
  <c r="G558" i="1" s="1"/>
  <c r="N557" i="1"/>
  <c r="M557" i="1"/>
  <c r="L557" i="1"/>
  <c r="K557" i="1"/>
  <c r="G557" i="1" s="1"/>
  <c r="N556" i="1"/>
  <c r="M556" i="1"/>
  <c r="L556" i="1"/>
  <c r="K556" i="1"/>
  <c r="N555" i="1"/>
  <c r="M555" i="1"/>
  <c r="L555" i="1"/>
  <c r="K555" i="1"/>
  <c r="G555" i="1" s="1"/>
  <c r="N554" i="1"/>
  <c r="M554" i="1"/>
  <c r="L554" i="1"/>
  <c r="K554" i="1"/>
  <c r="G554" i="1" s="1"/>
  <c r="N553" i="1"/>
  <c r="M553" i="1"/>
  <c r="L553" i="1"/>
  <c r="K553" i="1"/>
  <c r="G553" i="1" s="1"/>
  <c r="N552" i="1"/>
  <c r="M552" i="1"/>
  <c r="L552" i="1"/>
  <c r="K552" i="1"/>
  <c r="N551" i="1"/>
  <c r="M551" i="1"/>
  <c r="L551" i="1"/>
  <c r="K551" i="1"/>
  <c r="G551" i="1" s="1"/>
  <c r="N550" i="1"/>
  <c r="M550" i="1"/>
  <c r="L550" i="1"/>
  <c r="K550" i="1"/>
  <c r="G550" i="1" s="1"/>
  <c r="N549" i="1"/>
  <c r="M549" i="1"/>
  <c r="L549" i="1"/>
  <c r="K549" i="1"/>
  <c r="G549" i="1" s="1"/>
  <c r="N548" i="1"/>
  <c r="M548" i="1"/>
  <c r="L548" i="1"/>
  <c r="K548" i="1"/>
  <c r="N547" i="1"/>
  <c r="M547" i="1"/>
  <c r="L547" i="1"/>
  <c r="K547" i="1"/>
  <c r="N545" i="1"/>
  <c r="M545" i="1"/>
  <c r="L545" i="1"/>
  <c r="K545" i="1"/>
  <c r="N544" i="1"/>
  <c r="M544" i="1"/>
  <c r="L544" i="1"/>
  <c r="K544" i="1"/>
  <c r="G544" i="1" s="1"/>
  <c r="G628" i="1" s="1"/>
  <c r="C628" i="1" s="1"/>
  <c r="C544" i="1"/>
  <c r="N543" i="1"/>
  <c r="M543" i="1"/>
  <c r="L543" i="1"/>
  <c r="K543" i="1"/>
  <c r="G543" i="1" s="1"/>
  <c r="G627" i="1" s="1"/>
  <c r="C627" i="1" s="1"/>
  <c r="N542" i="1"/>
  <c r="M542" i="1"/>
  <c r="L542" i="1"/>
  <c r="K542" i="1"/>
  <c r="G542" i="1" s="1"/>
  <c r="G626" i="1" s="1"/>
  <c r="C626" i="1" s="1"/>
  <c r="C542" i="1"/>
  <c r="N541" i="1"/>
  <c r="M541" i="1"/>
  <c r="L541" i="1"/>
  <c r="K541" i="1"/>
  <c r="N540" i="1"/>
  <c r="M540" i="1"/>
  <c r="L540" i="1"/>
  <c r="K540" i="1"/>
  <c r="G540" i="1" s="1"/>
  <c r="G624" i="1" s="1"/>
  <c r="C624" i="1" s="1"/>
  <c r="C540" i="1"/>
  <c r="N539" i="1"/>
  <c r="M539" i="1"/>
  <c r="L539" i="1"/>
  <c r="K539" i="1"/>
  <c r="G539" i="1" s="1"/>
  <c r="G623" i="1" s="1"/>
  <c r="C623" i="1" s="1"/>
  <c r="N538" i="1"/>
  <c r="M538" i="1"/>
  <c r="L538" i="1"/>
  <c r="K538" i="1"/>
  <c r="G538" i="1" s="1"/>
  <c r="G622" i="1" s="1"/>
  <c r="C622" i="1" s="1"/>
  <c r="C538" i="1"/>
  <c r="N537" i="1"/>
  <c r="M537" i="1"/>
  <c r="L537" i="1"/>
  <c r="K537" i="1"/>
  <c r="N536" i="1"/>
  <c r="M536" i="1"/>
  <c r="L536" i="1"/>
  <c r="K536" i="1"/>
  <c r="G536" i="1" s="1"/>
  <c r="C536" i="1"/>
  <c r="N535" i="1"/>
  <c r="M535" i="1"/>
  <c r="L535" i="1"/>
  <c r="K535" i="1"/>
  <c r="G535" i="1" s="1"/>
  <c r="G619" i="1" s="1"/>
  <c r="C619" i="1" s="1"/>
  <c r="N534" i="1"/>
  <c r="M534" i="1"/>
  <c r="L534" i="1"/>
  <c r="K534" i="1"/>
  <c r="G534" i="1" s="1"/>
  <c r="C534" i="1"/>
  <c r="N533" i="1"/>
  <c r="M533" i="1"/>
  <c r="L533" i="1"/>
  <c r="K533" i="1"/>
  <c r="N532" i="1"/>
  <c r="M532" i="1"/>
  <c r="L532" i="1"/>
  <c r="K532" i="1"/>
  <c r="G532" i="1" s="1"/>
  <c r="G616" i="1" s="1"/>
  <c r="C616" i="1" s="1"/>
  <c r="C532" i="1"/>
  <c r="N531" i="1"/>
  <c r="M531" i="1"/>
  <c r="L531" i="1"/>
  <c r="K531" i="1"/>
  <c r="G531" i="1" s="1"/>
  <c r="G615" i="1" s="1"/>
  <c r="C615" i="1" s="1"/>
  <c r="N530" i="1"/>
  <c r="M530" i="1"/>
  <c r="L530" i="1"/>
  <c r="K530" i="1"/>
  <c r="G530" i="1" s="1"/>
  <c r="G614" i="1" s="1"/>
  <c r="C614" i="1" s="1"/>
  <c r="C530" i="1"/>
  <c r="N529" i="1"/>
  <c r="M529" i="1"/>
  <c r="L529" i="1"/>
  <c r="K529" i="1"/>
  <c r="N528" i="1"/>
  <c r="M528" i="1"/>
  <c r="L528" i="1"/>
  <c r="K528" i="1"/>
  <c r="G528" i="1" s="1"/>
  <c r="C528" i="1"/>
  <c r="N527" i="1"/>
  <c r="M527" i="1"/>
  <c r="L527" i="1"/>
  <c r="K527" i="1"/>
  <c r="G527" i="1" s="1"/>
  <c r="G611" i="1" s="1"/>
  <c r="C611" i="1" s="1"/>
  <c r="N526" i="1"/>
  <c r="M526" i="1"/>
  <c r="L526" i="1"/>
  <c r="K526" i="1"/>
  <c r="G526" i="1" s="1"/>
  <c r="C526" i="1"/>
  <c r="N525" i="1"/>
  <c r="M525" i="1"/>
  <c r="L525" i="1"/>
  <c r="K525" i="1"/>
  <c r="N524" i="1"/>
  <c r="M524" i="1"/>
  <c r="L524" i="1"/>
  <c r="K524" i="1"/>
  <c r="G524" i="1" s="1"/>
  <c r="C524" i="1"/>
  <c r="N523" i="1"/>
  <c r="M523" i="1"/>
  <c r="L523" i="1"/>
  <c r="K523" i="1"/>
  <c r="G523" i="1" s="1"/>
  <c r="G607" i="1" s="1"/>
  <c r="C607" i="1" s="1"/>
  <c r="N522" i="1"/>
  <c r="M522" i="1"/>
  <c r="L522" i="1"/>
  <c r="K522" i="1"/>
  <c r="G522" i="1" s="1"/>
  <c r="G606" i="1" s="1"/>
  <c r="C606" i="1" s="1"/>
  <c r="C522" i="1"/>
  <c r="N521" i="1"/>
  <c r="M521" i="1"/>
  <c r="L521" i="1"/>
  <c r="K521" i="1"/>
  <c r="N520" i="1"/>
  <c r="M520" i="1"/>
  <c r="L520" i="1"/>
  <c r="K520" i="1"/>
  <c r="G520" i="1" s="1"/>
  <c r="G604" i="1" s="1"/>
  <c r="C604" i="1" s="1"/>
  <c r="C520" i="1"/>
  <c r="N519" i="1"/>
  <c r="M519" i="1"/>
  <c r="L519" i="1"/>
  <c r="K519" i="1"/>
  <c r="G519" i="1" s="1"/>
  <c r="G603" i="1" s="1"/>
  <c r="C603" i="1" s="1"/>
  <c r="N518" i="1"/>
  <c r="M518" i="1"/>
  <c r="L518" i="1"/>
  <c r="K518" i="1"/>
  <c r="G518" i="1" s="1"/>
  <c r="G602" i="1" s="1"/>
  <c r="C602" i="1" s="1"/>
  <c r="C518" i="1"/>
  <c r="N517" i="1"/>
  <c r="M517" i="1"/>
  <c r="L517" i="1"/>
  <c r="K517" i="1"/>
  <c r="N516" i="1"/>
  <c r="M516" i="1"/>
  <c r="L516" i="1"/>
  <c r="K516" i="1"/>
  <c r="G516" i="1" s="1"/>
  <c r="G600" i="1" s="1"/>
  <c r="C600" i="1" s="1"/>
  <c r="C516" i="1"/>
  <c r="N515" i="1"/>
  <c r="M515" i="1"/>
  <c r="L515" i="1"/>
  <c r="K515" i="1"/>
  <c r="G515" i="1" s="1"/>
  <c r="G599" i="1" s="1"/>
  <c r="C599" i="1" s="1"/>
  <c r="N514" i="1"/>
  <c r="M514" i="1"/>
  <c r="L514" i="1"/>
  <c r="K514" i="1"/>
  <c r="G514" i="1" s="1"/>
  <c r="G598" i="1" s="1"/>
  <c r="C598" i="1" s="1"/>
  <c r="C514" i="1"/>
  <c r="N513" i="1"/>
  <c r="M513" i="1"/>
  <c r="L513" i="1"/>
  <c r="K513" i="1"/>
  <c r="N512" i="1"/>
  <c r="M512" i="1"/>
  <c r="L512" i="1"/>
  <c r="K512" i="1"/>
  <c r="G512" i="1" s="1"/>
  <c r="C512" i="1"/>
  <c r="N511" i="1"/>
  <c r="M511" i="1"/>
  <c r="L511" i="1"/>
  <c r="K511" i="1"/>
  <c r="G511" i="1" s="1"/>
  <c r="G595" i="1" s="1"/>
  <c r="C595" i="1" s="1"/>
  <c r="N510" i="1"/>
  <c r="M510" i="1"/>
  <c r="L510" i="1"/>
  <c r="K510" i="1"/>
  <c r="G510" i="1" s="1"/>
  <c r="C510" i="1"/>
  <c r="N509" i="1"/>
  <c r="M509" i="1"/>
  <c r="L509" i="1"/>
  <c r="K509" i="1"/>
  <c r="N508" i="1"/>
  <c r="M508" i="1"/>
  <c r="L508" i="1"/>
  <c r="K508" i="1"/>
  <c r="G508" i="1" s="1"/>
  <c r="G592" i="1" s="1"/>
  <c r="C592" i="1" s="1"/>
  <c r="C508" i="1"/>
  <c r="N507" i="1"/>
  <c r="M507" i="1"/>
  <c r="L507" i="1"/>
  <c r="K507" i="1"/>
  <c r="G507" i="1" s="1"/>
  <c r="G591" i="1" s="1"/>
  <c r="C591" i="1" s="1"/>
  <c r="N506" i="1"/>
  <c r="M506" i="1"/>
  <c r="L506" i="1"/>
  <c r="K506" i="1"/>
  <c r="G506" i="1" s="1"/>
  <c r="G590" i="1" s="1"/>
  <c r="C590" i="1" s="1"/>
  <c r="C506" i="1"/>
  <c r="N505" i="1"/>
  <c r="M505" i="1"/>
  <c r="L505" i="1"/>
  <c r="K505" i="1"/>
  <c r="N503" i="1"/>
  <c r="M503" i="1"/>
  <c r="L503" i="1"/>
  <c r="K503" i="1"/>
  <c r="N502" i="1"/>
  <c r="M502" i="1"/>
  <c r="L502" i="1"/>
  <c r="K502" i="1"/>
  <c r="G502" i="1"/>
  <c r="C502" i="1" s="1"/>
  <c r="N501" i="1"/>
  <c r="M501" i="1"/>
  <c r="L501" i="1"/>
  <c r="K501" i="1"/>
  <c r="N500" i="1"/>
  <c r="M500" i="1"/>
  <c r="L500" i="1"/>
  <c r="K500" i="1"/>
  <c r="G500" i="1" s="1"/>
  <c r="C500" i="1" s="1"/>
  <c r="N499" i="1"/>
  <c r="M499" i="1"/>
  <c r="L499" i="1"/>
  <c r="K499" i="1"/>
  <c r="G499" i="1" s="1"/>
  <c r="C499" i="1" s="1"/>
  <c r="N498" i="1"/>
  <c r="M498" i="1"/>
  <c r="L498" i="1"/>
  <c r="G498" i="1" s="1"/>
  <c r="C498" i="1" s="1"/>
  <c r="K498" i="1"/>
  <c r="N497" i="1"/>
  <c r="M497" i="1"/>
  <c r="L497" i="1"/>
  <c r="K497" i="1"/>
  <c r="G497" i="1" s="1"/>
  <c r="C497" i="1"/>
  <c r="N496" i="1"/>
  <c r="M496" i="1"/>
  <c r="L496" i="1"/>
  <c r="K496" i="1"/>
  <c r="G496" i="1" s="1"/>
  <c r="C496" i="1" s="1"/>
  <c r="N495" i="1"/>
  <c r="M495" i="1"/>
  <c r="L495" i="1"/>
  <c r="K495" i="1"/>
  <c r="N494" i="1"/>
  <c r="M494" i="1"/>
  <c r="L494" i="1"/>
  <c r="K494" i="1"/>
  <c r="G494" i="1"/>
  <c r="C494" i="1" s="1"/>
  <c r="N493" i="1"/>
  <c r="M493" i="1"/>
  <c r="L493" i="1"/>
  <c r="K493" i="1"/>
  <c r="N492" i="1"/>
  <c r="M492" i="1"/>
  <c r="G492" i="1" s="1"/>
  <c r="C492" i="1" s="1"/>
  <c r="L492" i="1"/>
  <c r="K492" i="1"/>
  <c r="N491" i="1"/>
  <c r="M491" i="1"/>
  <c r="L491" i="1"/>
  <c r="K491" i="1"/>
  <c r="G491" i="1" s="1"/>
  <c r="C491" i="1" s="1"/>
  <c r="N490" i="1"/>
  <c r="M490" i="1"/>
  <c r="L490" i="1"/>
  <c r="G490" i="1" s="1"/>
  <c r="C490" i="1" s="1"/>
  <c r="K490" i="1"/>
  <c r="N489" i="1"/>
  <c r="M489" i="1"/>
  <c r="L489" i="1"/>
  <c r="K489" i="1"/>
  <c r="G489" i="1" s="1"/>
  <c r="C489" i="1"/>
  <c r="N488" i="1"/>
  <c r="M488" i="1"/>
  <c r="L488" i="1"/>
  <c r="K488" i="1"/>
  <c r="G488" i="1" s="1"/>
  <c r="C488" i="1" s="1"/>
  <c r="N487" i="1"/>
  <c r="M487" i="1"/>
  <c r="L487" i="1"/>
  <c r="K487" i="1"/>
  <c r="N486" i="1"/>
  <c r="M486" i="1"/>
  <c r="L486" i="1"/>
  <c r="K486" i="1"/>
  <c r="G486" i="1"/>
  <c r="C486" i="1" s="1"/>
  <c r="N485" i="1"/>
  <c r="M485" i="1"/>
  <c r="L485" i="1"/>
  <c r="K485" i="1"/>
  <c r="N484" i="1"/>
  <c r="M484" i="1"/>
  <c r="L484" i="1"/>
  <c r="K484" i="1"/>
  <c r="G484" i="1" s="1"/>
  <c r="C484" i="1" s="1"/>
  <c r="N483" i="1"/>
  <c r="M483" i="1"/>
  <c r="L483" i="1"/>
  <c r="K483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7" i="1"/>
  <c r="M297" i="1"/>
  <c r="L297" i="1"/>
  <c r="K297" i="1"/>
  <c r="G297" i="1" s="1"/>
  <c r="N296" i="1"/>
  <c r="M296" i="1"/>
  <c r="L296" i="1"/>
  <c r="K296" i="1"/>
  <c r="G296" i="1"/>
  <c r="C296" i="1" s="1"/>
  <c r="N295" i="1"/>
  <c r="M295" i="1"/>
  <c r="L295" i="1"/>
  <c r="K295" i="1"/>
  <c r="G295" i="1" s="1"/>
  <c r="N294" i="1"/>
  <c r="M294" i="1"/>
  <c r="L294" i="1"/>
  <c r="K294" i="1"/>
  <c r="G294" i="1"/>
  <c r="C294" i="1" s="1"/>
  <c r="N293" i="1"/>
  <c r="M293" i="1"/>
  <c r="L293" i="1"/>
  <c r="K293" i="1"/>
  <c r="G293" i="1" s="1"/>
  <c r="N292" i="1"/>
  <c r="M292" i="1"/>
  <c r="L292" i="1"/>
  <c r="K292" i="1"/>
  <c r="G292" i="1"/>
  <c r="C292" i="1" s="1"/>
  <c r="N291" i="1"/>
  <c r="M291" i="1"/>
  <c r="L291" i="1"/>
  <c r="K291" i="1"/>
  <c r="G291" i="1" s="1"/>
  <c r="N290" i="1"/>
  <c r="M290" i="1"/>
  <c r="L290" i="1"/>
  <c r="K290" i="1"/>
  <c r="G290" i="1"/>
  <c r="C290" i="1" s="1"/>
  <c r="N289" i="1"/>
  <c r="M289" i="1"/>
  <c r="L289" i="1"/>
  <c r="K289" i="1"/>
  <c r="G289" i="1" s="1"/>
  <c r="N288" i="1"/>
  <c r="M288" i="1"/>
  <c r="L288" i="1"/>
  <c r="K288" i="1"/>
  <c r="G288" i="1"/>
  <c r="C288" i="1" s="1"/>
  <c r="N287" i="1"/>
  <c r="M287" i="1"/>
  <c r="L287" i="1"/>
  <c r="K287" i="1"/>
  <c r="G287" i="1" s="1"/>
  <c r="N286" i="1"/>
  <c r="M286" i="1"/>
  <c r="L286" i="1"/>
  <c r="K286" i="1"/>
  <c r="G286" i="1"/>
  <c r="C286" i="1" s="1"/>
  <c r="N285" i="1"/>
  <c r="M285" i="1"/>
  <c r="L285" i="1"/>
  <c r="K285" i="1"/>
  <c r="G285" i="1" s="1"/>
  <c r="N284" i="1"/>
  <c r="M284" i="1"/>
  <c r="L284" i="1"/>
  <c r="K284" i="1"/>
  <c r="G284" i="1"/>
  <c r="C284" i="1" s="1"/>
  <c r="N283" i="1"/>
  <c r="M283" i="1"/>
  <c r="L283" i="1"/>
  <c r="K283" i="1"/>
  <c r="G283" i="1" s="1"/>
  <c r="N282" i="1"/>
  <c r="M282" i="1"/>
  <c r="L282" i="1"/>
  <c r="K282" i="1"/>
  <c r="G282" i="1"/>
  <c r="C282" i="1" s="1"/>
  <c r="N281" i="1"/>
  <c r="M281" i="1"/>
  <c r="L281" i="1"/>
  <c r="K281" i="1"/>
  <c r="G281" i="1" s="1"/>
  <c r="N280" i="1"/>
  <c r="M280" i="1"/>
  <c r="L280" i="1"/>
  <c r="K280" i="1"/>
  <c r="G280" i="1" s="1"/>
  <c r="N279" i="1"/>
  <c r="M279" i="1"/>
  <c r="L279" i="1"/>
  <c r="K279" i="1"/>
  <c r="G279" i="1" s="1"/>
  <c r="N278" i="1"/>
  <c r="M278" i="1"/>
  <c r="L278" i="1"/>
  <c r="K278" i="1"/>
  <c r="G278" i="1" s="1"/>
  <c r="N277" i="1"/>
  <c r="M277" i="1"/>
  <c r="L277" i="1"/>
  <c r="K277" i="1"/>
  <c r="G277" i="1" s="1"/>
  <c r="N276" i="1"/>
  <c r="M276" i="1"/>
  <c r="L276" i="1"/>
  <c r="K276" i="1"/>
  <c r="G276" i="1" s="1"/>
  <c r="N275" i="1"/>
  <c r="M275" i="1"/>
  <c r="L275" i="1"/>
  <c r="K275" i="1"/>
  <c r="G275" i="1" s="1"/>
  <c r="N274" i="1"/>
  <c r="M274" i="1"/>
  <c r="L274" i="1"/>
  <c r="K274" i="1"/>
  <c r="G274" i="1" s="1"/>
  <c r="N273" i="1"/>
  <c r="M273" i="1"/>
  <c r="L273" i="1"/>
  <c r="K273" i="1"/>
  <c r="N271" i="1"/>
  <c r="M271" i="1"/>
  <c r="L271" i="1"/>
  <c r="G271" i="1" s="1"/>
  <c r="K271" i="1"/>
  <c r="N270" i="1"/>
  <c r="M270" i="1"/>
  <c r="L270" i="1"/>
  <c r="K270" i="1"/>
  <c r="G270" i="1"/>
  <c r="C270" i="1"/>
  <c r="N269" i="1"/>
  <c r="M269" i="1"/>
  <c r="L269" i="1"/>
  <c r="G269" i="1" s="1"/>
  <c r="K269" i="1"/>
  <c r="N268" i="1"/>
  <c r="M268" i="1"/>
  <c r="L268" i="1"/>
  <c r="K268" i="1"/>
  <c r="G268" i="1"/>
  <c r="C268" i="1"/>
  <c r="N267" i="1"/>
  <c r="M267" i="1"/>
  <c r="L267" i="1"/>
  <c r="G267" i="1" s="1"/>
  <c r="K267" i="1"/>
  <c r="N266" i="1"/>
  <c r="M266" i="1"/>
  <c r="L266" i="1"/>
  <c r="K266" i="1"/>
  <c r="G266" i="1"/>
  <c r="C266" i="1"/>
  <c r="N265" i="1"/>
  <c r="M265" i="1"/>
  <c r="L265" i="1"/>
  <c r="G265" i="1" s="1"/>
  <c r="K265" i="1"/>
  <c r="N264" i="1"/>
  <c r="M264" i="1"/>
  <c r="L264" i="1"/>
  <c r="K264" i="1"/>
  <c r="G264" i="1"/>
  <c r="G316" i="1" s="1"/>
  <c r="C316" i="1" s="1"/>
  <c r="C264" i="1"/>
  <c r="N263" i="1"/>
  <c r="M263" i="1"/>
  <c r="L263" i="1"/>
  <c r="G263" i="1" s="1"/>
  <c r="K263" i="1"/>
  <c r="N262" i="1"/>
  <c r="M262" i="1"/>
  <c r="L262" i="1"/>
  <c r="K262" i="1"/>
  <c r="G262" i="1"/>
  <c r="G314" i="1" s="1"/>
  <c r="C314" i="1" s="1"/>
  <c r="C262" i="1"/>
  <c r="N261" i="1"/>
  <c r="M261" i="1"/>
  <c r="L261" i="1"/>
  <c r="G261" i="1" s="1"/>
  <c r="K261" i="1"/>
  <c r="N260" i="1"/>
  <c r="M260" i="1"/>
  <c r="L260" i="1"/>
  <c r="K260" i="1"/>
  <c r="G260" i="1"/>
  <c r="G312" i="1" s="1"/>
  <c r="C312" i="1" s="1"/>
  <c r="C260" i="1"/>
  <c r="N259" i="1"/>
  <c r="M259" i="1"/>
  <c r="L259" i="1"/>
  <c r="G259" i="1" s="1"/>
  <c r="K259" i="1"/>
  <c r="N258" i="1"/>
  <c r="M258" i="1"/>
  <c r="L258" i="1"/>
  <c r="K258" i="1"/>
  <c r="G258" i="1"/>
  <c r="C258" i="1"/>
  <c r="N257" i="1"/>
  <c r="M257" i="1"/>
  <c r="L257" i="1"/>
  <c r="G257" i="1" s="1"/>
  <c r="K257" i="1"/>
  <c r="N256" i="1"/>
  <c r="M256" i="1"/>
  <c r="L256" i="1"/>
  <c r="K256" i="1"/>
  <c r="G256" i="1"/>
  <c r="C256" i="1"/>
  <c r="N255" i="1"/>
  <c r="M255" i="1"/>
  <c r="L255" i="1"/>
  <c r="G255" i="1" s="1"/>
  <c r="K255" i="1"/>
  <c r="N254" i="1"/>
  <c r="M254" i="1"/>
  <c r="L254" i="1"/>
  <c r="K254" i="1"/>
  <c r="G254" i="1"/>
  <c r="C254" i="1"/>
  <c r="N253" i="1"/>
  <c r="M253" i="1"/>
  <c r="L253" i="1"/>
  <c r="G253" i="1" s="1"/>
  <c r="K253" i="1"/>
  <c r="N252" i="1"/>
  <c r="M252" i="1"/>
  <c r="L252" i="1"/>
  <c r="K252" i="1"/>
  <c r="G252" i="1"/>
  <c r="G304" i="1" s="1"/>
  <c r="C304" i="1" s="1"/>
  <c r="C252" i="1"/>
  <c r="N251" i="1"/>
  <c r="M251" i="1"/>
  <c r="L251" i="1"/>
  <c r="G251" i="1" s="1"/>
  <c r="K251" i="1"/>
  <c r="N250" i="1"/>
  <c r="M250" i="1"/>
  <c r="L250" i="1"/>
  <c r="K250" i="1"/>
  <c r="G250" i="1"/>
  <c r="G302" i="1" s="1"/>
  <c r="C302" i="1" s="1"/>
  <c r="C250" i="1"/>
  <c r="N249" i="1"/>
  <c r="M249" i="1"/>
  <c r="L249" i="1"/>
  <c r="G249" i="1" s="1"/>
  <c r="K249" i="1"/>
  <c r="N248" i="1"/>
  <c r="G248" i="1" s="1"/>
  <c r="M248" i="1"/>
  <c r="L248" i="1"/>
  <c r="K248" i="1"/>
  <c r="C248" i="1"/>
  <c r="N247" i="1"/>
  <c r="M247" i="1"/>
  <c r="L247" i="1"/>
  <c r="K247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1" i="1"/>
  <c r="M161" i="1"/>
  <c r="L161" i="1"/>
  <c r="K161" i="1"/>
  <c r="N160" i="1"/>
  <c r="M160" i="1"/>
  <c r="L160" i="1"/>
  <c r="K160" i="1"/>
  <c r="G160" i="1" s="1"/>
  <c r="N159" i="1"/>
  <c r="M159" i="1"/>
  <c r="L159" i="1"/>
  <c r="K159" i="1"/>
  <c r="N158" i="1"/>
  <c r="M158" i="1"/>
  <c r="L158" i="1"/>
  <c r="K158" i="1"/>
  <c r="G158" i="1"/>
  <c r="G242" i="1" s="1"/>
  <c r="C242" i="1" s="1"/>
  <c r="N157" i="1"/>
  <c r="M157" i="1"/>
  <c r="L157" i="1"/>
  <c r="G157" i="1" s="1"/>
  <c r="G241" i="1" s="1"/>
  <c r="C241" i="1" s="1"/>
  <c r="K157" i="1"/>
  <c r="N156" i="1"/>
  <c r="M156" i="1"/>
  <c r="L156" i="1"/>
  <c r="K156" i="1"/>
  <c r="G156" i="1" s="1"/>
  <c r="N155" i="1"/>
  <c r="M155" i="1"/>
  <c r="L155" i="1"/>
  <c r="K155" i="1"/>
  <c r="N154" i="1"/>
  <c r="M154" i="1"/>
  <c r="L154" i="1"/>
  <c r="K154" i="1"/>
  <c r="G154" i="1"/>
  <c r="C154" i="1" s="1"/>
  <c r="N153" i="1"/>
  <c r="M153" i="1"/>
  <c r="L153" i="1"/>
  <c r="K153" i="1"/>
  <c r="N152" i="1"/>
  <c r="M152" i="1"/>
  <c r="L152" i="1"/>
  <c r="K152" i="1"/>
  <c r="G152" i="1"/>
  <c r="C152" i="1"/>
  <c r="N151" i="1"/>
  <c r="M151" i="1"/>
  <c r="L151" i="1"/>
  <c r="K151" i="1"/>
  <c r="N150" i="1"/>
  <c r="M150" i="1"/>
  <c r="L150" i="1"/>
  <c r="K150" i="1"/>
  <c r="G150" i="1" s="1"/>
  <c r="N149" i="1"/>
  <c r="M149" i="1"/>
  <c r="L149" i="1"/>
  <c r="G149" i="1" s="1"/>
  <c r="G233" i="1" s="1"/>
  <c r="C233" i="1" s="1"/>
  <c r="K149" i="1"/>
  <c r="N148" i="1"/>
  <c r="M148" i="1"/>
  <c r="L148" i="1"/>
  <c r="K148" i="1"/>
  <c r="G148" i="1" s="1"/>
  <c r="N147" i="1"/>
  <c r="M147" i="1"/>
  <c r="L147" i="1"/>
  <c r="K147" i="1"/>
  <c r="N146" i="1"/>
  <c r="G146" i="1" s="1"/>
  <c r="M146" i="1"/>
  <c r="L146" i="1"/>
  <c r="K146" i="1"/>
  <c r="N145" i="1"/>
  <c r="M145" i="1"/>
  <c r="L145" i="1"/>
  <c r="K145" i="1"/>
  <c r="N144" i="1"/>
  <c r="M144" i="1"/>
  <c r="L144" i="1"/>
  <c r="K144" i="1"/>
  <c r="G144" i="1" s="1"/>
  <c r="N143" i="1"/>
  <c r="M143" i="1"/>
  <c r="L143" i="1"/>
  <c r="K143" i="1"/>
  <c r="G143" i="1" s="1"/>
  <c r="C143" i="1" s="1"/>
  <c r="N142" i="1"/>
  <c r="G142" i="1" s="1"/>
  <c r="M142" i="1"/>
  <c r="L142" i="1"/>
  <c r="K142" i="1"/>
  <c r="N141" i="1"/>
  <c r="M141" i="1"/>
  <c r="L141" i="1"/>
  <c r="K141" i="1"/>
  <c r="N140" i="1"/>
  <c r="M140" i="1"/>
  <c r="L140" i="1"/>
  <c r="K140" i="1"/>
  <c r="G140" i="1" s="1"/>
  <c r="N139" i="1"/>
  <c r="M139" i="1"/>
  <c r="L139" i="1"/>
  <c r="K139" i="1"/>
  <c r="N138" i="1"/>
  <c r="M138" i="1"/>
  <c r="L138" i="1"/>
  <c r="K138" i="1"/>
  <c r="G138" i="1"/>
  <c r="G222" i="1" s="1"/>
  <c r="C222" i="1" s="1"/>
  <c r="N137" i="1"/>
  <c r="M137" i="1"/>
  <c r="L137" i="1"/>
  <c r="K137" i="1"/>
  <c r="N136" i="1"/>
  <c r="M136" i="1"/>
  <c r="L136" i="1"/>
  <c r="K136" i="1"/>
  <c r="G136" i="1" s="1"/>
  <c r="N135" i="1"/>
  <c r="M135" i="1"/>
  <c r="L135" i="1"/>
  <c r="K135" i="1"/>
  <c r="N134" i="1"/>
  <c r="M134" i="1"/>
  <c r="L134" i="1"/>
  <c r="K134" i="1"/>
  <c r="G134" i="1"/>
  <c r="N133" i="1"/>
  <c r="M133" i="1"/>
  <c r="L133" i="1"/>
  <c r="K133" i="1"/>
  <c r="N132" i="1"/>
  <c r="M132" i="1"/>
  <c r="L132" i="1"/>
  <c r="K132" i="1"/>
  <c r="G132" i="1" s="1"/>
  <c r="N131" i="1"/>
  <c r="M131" i="1"/>
  <c r="L131" i="1"/>
  <c r="K131" i="1"/>
  <c r="N130" i="1"/>
  <c r="M130" i="1"/>
  <c r="L130" i="1"/>
  <c r="K130" i="1"/>
  <c r="G130" i="1" s="1"/>
  <c r="N129" i="1"/>
  <c r="M129" i="1"/>
  <c r="L129" i="1"/>
  <c r="K129" i="1"/>
  <c r="N128" i="1"/>
  <c r="G128" i="1" s="1"/>
  <c r="M128" i="1"/>
  <c r="L128" i="1"/>
  <c r="K128" i="1"/>
  <c r="N127" i="1"/>
  <c r="M127" i="1"/>
  <c r="L127" i="1"/>
  <c r="K127" i="1"/>
  <c r="G127" i="1" s="1"/>
  <c r="N126" i="1"/>
  <c r="M126" i="1"/>
  <c r="G126" i="1" s="1"/>
  <c r="L126" i="1"/>
  <c r="K126" i="1"/>
  <c r="N125" i="1"/>
  <c r="M125" i="1"/>
  <c r="L125" i="1"/>
  <c r="K125" i="1"/>
  <c r="G125" i="1" s="1"/>
  <c r="N124" i="1"/>
  <c r="M124" i="1"/>
  <c r="G124" i="1" s="1"/>
  <c r="L124" i="1"/>
  <c r="K124" i="1"/>
  <c r="N123" i="1"/>
  <c r="M123" i="1"/>
  <c r="L123" i="1"/>
  <c r="K123" i="1"/>
  <c r="G123" i="1" s="1"/>
  <c r="N122" i="1"/>
  <c r="M122" i="1"/>
  <c r="G122" i="1" s="1"/>
  <c r="L122" i="1"/>
  <c r="K122" i="1"/>
  <c r="N121" i="1"/>
  <c r="M121" i="1"/>
  <c r="L121" i="1"/>
  <c r="K121" i="1"/>
  <c r="N119" i="1"/>
  <c r="M119" i="1"/>
  <c r="L119" i="1"/>
  <c r="K119" i="1"/>
  <c r="G119" i="1" s="1"/>
  <c r="N118" i="1"/>
  <c r="M118" i="1"/>
  <c r="L118" i="1"/>
  <c r="K118" i="1"/>
  <c r="G118" i="1" s="1"/>
  <c r="N117" i="1"/>
  <c r="M117" i="1"/>
  <c r="L117" i="1"/>
  <c r="K117" i="1"/>
  <c r="G117" i="1" s="1"/>
  <c r="N116" i="1"/>
  <c r="M116" i="1"/>
  <c r="L116" i="1"/>
  <c r="K116" i="1"/>
  <c r="G116" i="1" s="1"/>
  <c r="N115" i="1"/>
  <c r="M115" i="1"/>
  <c r="L115" i="1"/>
  <c r="K115" i="1"/>
  <c r="G115" i="1" s="1"/>
  <c r="N114" i="1"/>
  <c r="M114" i="1"/>
  <c r="L114" i="1"/>
  <c r="K114" i="1"/>
  <c r="G114" i="1" s="1"/>
  <c r="N113" i="1"/>
  <c r="M113" i="1"/>
  <c r="L113" i="1"/>
  <c r="K113" i="1"/>
  <c r="G113" i="1" s="1"/>
  <c r="N112" i="1"/>
  <c r="M112" i="1"/>
  <c r="L112" i="1"/>
  <c r="K112" i="1"/>
  <c r="G112" i="1" s="1"/>
  <c r="N111" i="1"/>
  <c r="M111" i="1"/>
  <c r="L111" i="1"/>
  <c r="K111" i="1"/>
  <c r="G111" i="1" s="1"/>
  <c r="N110" i="1"/>
  <c r="M110" i="1"/>
  <c r="L110" i="1"/>
  <c r="K110" i="1"/>
  <c r="G110" i="1" s="1"/>
  <c r="N109" i="1"/>
  <c r="M109" i="1"/>
  <c r="L109" i="1"/>
  <c r="K109" i="1"/>
  <c r="G109" i="1" s="1"/>
  <c r="N108" i="1"/>
  <c r="M108" i="1"/>
  <c r="L108" i="1"/>
  <c r="K108" i="1"/>
  <c r="G108" i="1" s="1"/>
  <c r="N107" i="1"/>
  <c r="M107" i="1"/>
  <c r="L107" i="1"/>
  <c r="K107" i="1"/>
  <c r="G107" i="1" s="1"/>
  <c r="N106" i="1"/>
  <c r="M106" i="1"/>
  <c r="L106" i="1"/>
  <c r="K106" i="1"/>
  <c r="G106" i="1" s="1"/>
  <c r="N105" i="1"/>
  <c r="M105" i="1"/>
  <c r="L105" i="1"/>
  <c r="K105" i="1"/>
  <c r="G105" i="1" s="1"/>
  <c r="N104" i="1"/>
  <c r="M104" i="1"/>
  <c r="L104" i="1"/>
  <c r="K104" i="1"/>
  <c r="G104" i="1" s="1"/>
  <c r="N103" i="1"/>
  <c r="M103" i="1"/>
  <c r="L103" i="1"/>
  <c r="K103" i="1"/>
  <c r="G103" i="1" s="1"/>
  <c r="N102" i="1"/>
  <c r="M102" i="1"/>
  <c r="L102" i="1"/>
  <c r="K102" i="1"/>
  <c r="G102" i="1" s="1"/>
  <c r="N101" i="1"/>
  <c r="M101" i="1"/>
  <c r="L101" i="1"/>
  <c r="K101" i="1"/>
  <c r="G101" i="1" s="1"/>
  <c r="N100" i="1"/>
  <c r="M100" i="1"/>
  <c r="L100" i="1"/>
  <c r="K100" i="1"/>
  <c r="G100" i="1" s="1"/>
  <c r="N99" i="1"/>
  <c r="M99" i="1"/>
  <c r="L99" i="1"/>
  <c r="K99" i="1"/>
  <c r="G99" i="1" s="1"/>
  <c r="N98" i="1"/>
  <c r="M98" i="1"/>
  <c r="L98" i="1"/>
  <c r="K98" i="1"/>
  <c r="G98" i="1" s="1"/>
  <c r="N97" i="1"/>
  <c r="M97" i="1"/>
  <c r="L97" i="1"/>
  <c r="K97" i="1"/>
  <c r="G97" i="1" s="1"/>
  <c r="N96" i="1"/>
  <c r="M96" i="1"/>
  <c r="L96" i="1"/>
  <c r="K96" i="1"/>
  <c r="G96" i="1" s="1"/>
  <c r="N95" i="1"/>
  <c r="M95" i="1"/>
  <c r="L95" i="1"/>
  <c r="K95" i="1"/>
  <c r="G95" i="1" s="1"/>
  <c r="N94" i="1"/>
  <c r="M94" i="1"/>
  <c r="L94" i="1"/>
  <c r="K94" i="1"/>
  <c r="G94" i="1" s="1"/>
  <c r="N93" i="1"/>
  <c r="M93" i="1"/>
  <c r="L93" i="1"/>
  <c r="K93" i="1"/>
  <c r="G93" i="1" s="1"/>
  <c r="N92" i="1"/>
  <c r="M92" i="1"/>
  <c r="L92" i="1"/>
  <c r="K92" i="1"/>
  <c r="G92" i="1" s="1"/>
  <c r="N91" i="1"/>
  <c r="M91" i="1"/>
  <c r="L91" i="1"/>
  <c r="K91" i="1"/>
  <c r="G91" i="1" s="1"/>
  <c r="N90" i="1"/>
  <c r="M90" i="1"/>
  <c r="L90" i="1"/>
  <c r="K90" i="1"/>
  <c r="G90" i="1" s="1"/>
  <c r="N89" i="1"/>
  <c r="M89" i="1"/>
  <c r="L89" i="1"/>
  <c r="K89" i="1"/>
  <c r="G89" i="1" s="1"/>
  <c r="N88" i="1"/>
  <c r="M88" i="1"/>
  <c r="L88" i="1"/>
  <c r="K88" i="1"/>
  <c r="G88" i="1" s="1"/>
  <c r="N87" i="1"/>
  <c r="M87" i="1"/>
  <c r="L87" i="1"/>
  <c r="K87" i="1"/>
  <c r="G87" i="1" s="1"/>
  <c r="N86" i="1"/>
  <c r="M86" i="1"/>
  <c r="L86" i="1"/>
  <c r="K86" i="1"/>
  <c r="G86" i="1" s="1"/>
  <c r="N85" i="1"/>
  <c r="M85" i="1"/>
  <c r="L85" i="1"/>
  <c r="K85" i="1"/>
  <c r="G85" i="1" s="1"/>
  <c r="N84" i="1"/>
  <c r="M84" i="1"/>
  <c r="L84" i="1"/>
  <c r="K84" i="1"/>
  <c r="G84" i="1" s="1"/>
  <c r="N83" i="1"/>
  <c r="M83" i="1"/>
  <c r="L83" i="1"/>
  <c r="K83" i="1"/>
  <c r="G83" i="1" s="1"/>
  <c r="N82" i="1"/>
  <c r="M82" i="1"/>
  <c r="L82" i="1"/>
  <c r="K82" i="1"/>
  <c r="G82" i="1" s="1"/>
  <c r="N81" i="1"/>
  <c r="M81" i="1"/>
  <c r="L81" i="1"/>
  <c r="K81" i="1"/>
  <c r="G81" i="1" s="1"/>
  <c r="N79" i="1"/>
  <c r="M79" i="1"/>
  <c r="L79" i="1"/>
  <c r="K79" i="1"/>
  <c r="N77" i="1"/>
  <c r="M77" i="1"/>
  <c r="L77" i="1"/>
  <c r="K77" i="1"/>
  <c r="G77" i="1" s="1"/>
  <c r="C77" i="1" s="1"/>
  <c r="N76" i="1"/>
  <c r="M76" i="1"/>
  <c r="G76" i="1" s="1"/>
  <c r="C76" i="1" s="1"/>
  <c r="L76" i="1"/>
  <c r="K76" i="1"/>
  <c r="N75" i="1"/>
  <c r="M75" i="1"/>
  <c r="L75" i="1"/>
  <c r="K75" i="1"/>
  <c r="G75" i="1" s="1"/>
  <c r="C75" i="1" s="1"/>
  <c r="N74" i="1"/>
  <c r="M74" i="1"/>
  <c r="G74" i="1" s="1"/>
  <c r="C74" i="1" s="1"/>
  <c r="L74" i="1"/>
  <c r="K74" i="1"/>
  <c r="N73" i="1"/>
  <c r="M73" i="1"/>
  <c r="L73" i="1"/>
  <c r="K73" i="1"/>
  <c r="G73" i="1" s="1"/>
  <c r="C73" i="1" s="1"/>
  <c r="N72" i="1"/>
  <c r="M72" i="1"/>
  <c r="G72" i="1" s="1"/>
  <c r="C72" i="1" s="1"/>
  <c r="L72" i="1"/>
  <c r="K72" i="1"/>
  <c r="N71" i="1"/>
  <c r="M71" i="1"/>
  <c r="L71" i="1"/>
  <c r="K71" i="1"/>
  <c r="G71" i="1" s="1"/>
  <c r="C71" i="1" s="1"/>
  <c r="N70" i="1"/>
  <c r="M70" i="1"/>
  <c r="G70" i="1" s="1"/>
  <c r="C70" i="1" s="1"/>
  <c r="L70" i="1"/>
  <c r="K70" i="1"/>
  <c r="N69" i="1"/>
  <c r="M69" i="1"/>
  <c r="L69" i="1"/>
  <c r="K69" i="1"/>
  <c r="G69" i="1" s="1"/>
  <c r="C69" i="1" s="1"/>
  <c r="N68" i="1"/>
  <c r="M68" i="1"/>
  <c r="G68" i="1" s="1"/>
  <c r="C68" i="1" s="1"/>
  <c r="L68" i="1"/>
  <c r="K68" i="1"/>
  <c r="N67" i="1"/>
  <c r="M67" i="1"/>
  <c r="L67" i="1"/>
  <c r="K67" i="1"/>
  <c r="G67" i="1" s="1"/>
  <c r="C67" i="1" s="1"/>
  <c r="N66" i="1"/>
  <c r="M66" i="1"/>
  <c r="G66" i="1" s="1"/>
  <c r="C66" i="1" s="1"/>
  <c r="L66" i="1"/>
  <c r="K66" i="1"/>
  <c r="N65" i="1"/>
  <c r="M65" i="1"/>
  <c r="L65" i="1"/>
  <c r="K65" i="1"/>
  <c r="G65" i="1" s="1"/>
  <c r="C65" i="1" s="1"/>
  <c r="N64" i="1"/>
  <c r="M64" i="1"/>
  <c r="G64" i="1" s="1"/>
  <c r="C64" i="1" s="1"/>
  <c r="L64" i="1"/>
  <c r="K64" i="1"/>
  <c r="N63" i="1"/>
  <c r="M63" i="1"/>
  <c r="L63" i="1"/>
  <c r="K63" i="1"/>
  <c r="G63" i="1" s="1"/>
  <c r="C63" i="1" s="1"/>
  <c r="N62" i="1"/>
  <c r="M62" i="1"/>
  <c r="G62" i="1" s="1"/>
  <c r="C62" i="1" s="1"/>
  <c r="L62" i="1"/>
  <c r="K62" i="1"/>
  <c r="N61" i="1"/>
  <c r="M61" i="1"/>
  <c r="L61" i="1"/>
  <c r="K61" i="1"/>
  <c r="G61" i="1" s="1"/>
  <c r="C61" i="1" s="1"/>
  <c r="N60" i="1"/>
  <c r="M60" i="1"/>
  <c r="G60" i="1" s="1"/>
  <c r="C60" i="1" s="1"/>
  <c r="L60" i="1"/>
  <c r="K60" i="1"/>
  <c r="N59" i="1"/>
  <c r="M59" i="1"/>
  <c r="L59" i="1"/>
  <c r="K59" i="1"/>
  <c r="G59" i="1" s="1"/>
  <c r="C59" i="1" s="1"/>
  <c r="N58" i="1"/>
  <c r="M58" i="1"/>
  <c r="G58" i="1" s="1"/>
  <c r="C58" i="1" s="1"/>
  <c r="L58" i="1"/>
  <c r="K58" i="1"/>
  <c r="N57" i="1"/>
  <c r="M57" i="1"/>
  <c r="L57" i="1"/>
  <c r="K57" i="1"/>
  <c r="G57" i="1" s="1"/>
  <c r="C57" i="1" s="1"/>
  <c r="N56" i="1"/>
  <c r="M56" i="1"/>
  <c r="G56" i="1" s="1"/>
  <c r="C56" i="1" s="1"/>
  <c r="L56" i="1"/>
  <c r="K56" i="1"/>
  <c r="N55" i="1"/>
  <c r="M55" i="1"/>
  <c r="L55" i="1"/>
  <c r="K55" i="1"/>
  <c r="G55" i="1" s="1"/>
  <c r="C55" i="1" s="1"/>
  <c r="N54" i="1"/>
  <c r="M54" i="1"/>
  <c r="G54" i="1" s="1"/>
  <c r="C54" i="1" s="1"/>
  <c r="L54" i="1"/>
  <c r="K54" i="1"/>
  <c r="N53" i="1"/>
  <c r="M53" i="1"/>
  <c r="L53" i="1"/>
  <c r="K53" i="1"/>
  <c r="G53" i="1" s="1"/>
  <c r="C53" i="1" s="1"/>
  <c r="N52" i="1"/>
  <c r="M52" i="1"/>
  <c r="L52" i="1"/>
  <c r="K52" i="1"/>
  <c r="N51" i="1"/>
  <c r="M51" i="1"/>
  <c r="L51" i="1"/>
  <c r="K51" i="1"/>
  <c r="G51" i="1" s="1"/>
  <c r="C51" i="1" s="1"/>
  <c r="N50" i="1"/>
  <c r="M50" i="1"/>
  <c r="G50" i="1" s="1"/>
  <c r="C50" i="1" s="1"/>
  <c r="L50" i="1"/>
  <c r="K50" i="1"/>
  <c r="N49" i="1"/>
  <c r="M49" i="1"/>
  <c r="L49" i="1"/>
  <c r="K49" i="1"/>
  <c r="G49" i="1" s="1"/>
  <c r="C49" i="1" s="1"/>
  <c r="N48" i="1"/>
  <c r="M48" i="1"/>
  <c r="G48" i="1" s="1"/>
  <c r="C48" i="1" s="1"/>
  <c r="L48" i="1"/>
  <c r="K48" i="1"/>
  <c r="N47" i="1"/>
  <c r="M47" i="1"/>
  <c r="L47" i="1"/>
  <c r="K47" i="1"/>
  <c r="G47" i="1" s="1"/>
  <c r="C47" i="1" s="1"/>
  <c r="N46" i="1"/>
  <c r="M46" i="1"/>
  <c r="G46" i="1" s="1"/>
  <c r="C46" i="1" s="1"/>
  <c r="L46" i="1"/>
  <c r="K46" i="1"/>
  <c r="N45" i="1"/>
  <c r="M45" i="1"/>
  <c r="L45" i="1"/>
  <c r="K45" i="1"/>
  <c r="G45" i="1" s="1"/>
  <c r="C45" i="1" s="1"/>
  <c r="N44" i="1"/>
  <c r="M44" i="1"/>
  <c r="G44" i="1" s="1"/>
  <c r="C44" i="1" s="1"/>
  <c r="L44" i="1"/>
  <c r="K44" i="1"/>
  <c r="N43" i="1"/>
  <c r="M43" i="1"/>
  <c r="L43" i="1"/>
  <c r="K43" i="1"/>
  <c r="G43" i="1" s="1"/>
  <c r="C43" i="1" s="1"/>
  <c r="N42" i="1"/>
  <c r="M42" i="1"/>
  <c r="G42" i="1" s="1"/>
  <c r="C42" i="1" s="1"/>
  <c r="L42" i="1"/>
  <c r="K42" i="1"/>
  <c r="N41" i="1"/>
  <c r="M41" i="1"/>
  <c r="L41" i="1"/>
  <c r="K41" i="1"/>
  <c r="G41" i="1" s="1"/>
  <c r="C41" i="1" s="1"/>
  <c r="N40" i="1"/>
  <c r="M40" i="1"/>
  <c r="G40" i="1" s="1"/>
  <c r="C40" i="1" s="1"/>
  <c r="L40" i="1"/>
  <c r="K40" i="1"/>
  <c r="N39" i="1"/>
  <c r="M39" i="1"/>
  <c r="L39" i="1"/>
  <c r="K39" i="1"/>
  <c r="G39" i="1" s="1"/>
  <c r="C39" i="1" s="1"/>
  <c r="N38" i="1"/>
  <c r="M38" i="1"/>
  <c r="G38" i="1" s="1"/>
  <c r="C38" i="1" s="1"/>
  <c r="L38" i="1"/>
  <c r="K38" i="1"/>
  <c r="N37" i="1"/>
  <c r="M37" i="1"/>
  <c r="L37" i="1"/>
  <c r="K37" i="1"/>
  <c r="G37" i="1" s="1"/>
  <c r="C37" i="1" s="1"/>
  <c r="N36" i="1"/>
  <c r="M36" i="1"/>
  <c r="G36" i="1" s="1"/>
  <c r="C36" i="1" s="1"/>
  <c r="L36" i="1"/>
  <c r="K36" i="1"/>
  <c r="N35" i="1"/>
  <c r="M35" i="1"/>
  <c r="L35" i="1"/>
  <c r="K35" i="1"/>
  <c r="G35" i="1" s="1"/>
  <c r="C35" i="1" s="1"/>
  <c r="N34" i="1"/>
  <c r="M34" i="1"/>
  <c r="G34" i="1" s="1"/>
  <c r="C34" i="1" s="1"/>
  <c r="L34" i="1"/>
  <c r="K34" i="1"/>
  <c r="N33" i="1"/>
  <c r="M33" i="1"/>
  <c r="L33" i="1"/>
  <c r="K33" i="1"/>
  <c r="G33" i="1" s="1"/>
  <c r="C33" i="1" s="1"/>
  <c r="N32" i="1"/>
  <c r="M32" i="1"/>
  <c r="G32" i="1" s="1"/>
  <c r="C32" i="1" s="1"/>
  <c r="L32" i="1"/>
  <c r="K32" i="1"/>
  <c r="N31" i="1"/>
  <c r="M31" i="1"/>
  <c r="L31" i="1"/>
  <c r="K31" i="1"/>
  <c r="G31" i="1" s="1"/>
  <c r="C31" i="1" s="1"/>
  <c r="N30" i="1"/>
  <c r="M30" i="1"/>
  <c r="G30" i="1" s="1"/>
  <c r="C30" i="1" s="1"/>
  <c r="L30" i="1"/>
  <c r="K30" i="1"/>
  <c r="N29" i="1"/>
  <c r="M29" i="1"/>
  <c r="L29" i="1"/>
  <c r="K29" i="1"/>
  <c r="G29" i="1" s="1"/>
  <c r="C29" i="1" s="1"/>
  <c r="N28" i="1"/>
  <c r="M28" i="1"/>
  <c r="G28" i="1" s="1"/>
  <c r="C28" i="1" s="1"/>
  <c r="L28" i="1"/>
  <c r="K28" i="1"/>
  <c r="N27" i="1"/>
  <c r="M27" i="1"/>
  <c r="L27" i="1"/>
  <c r="K27" i="1"/>
  <c r="G27" i="1" s="1"/>
  <c r="C27" i="1" s="1"/>
  <c r="N26" i="1"/>
  <c r="M26" i="1"/>
  <c r="G26" i="1" s="1"/>
  <c r="C26" i="1" s="1"/>
  <c r="L26" i="1"/>
  <c r="K26" i="1"/>
  <c r="N25" i="1"/>
  <c r="M25" i="1"/>
  <c r="L25" i="1"/>
  <c r="K25" i="1"/>
  <c r="G25" i="1" s="1"/>
  <c r="C25" i="1" s="1"/>
  <c r="N24" i="1"/>
  <c r="M24" i="1"/>
  <c r="G24" i="1" s="1"/>
  <c r="C24" i="1" s="1"/>
  <c r="L24" i="1"/>
  <c r="K24" i="1"/>
  <c r="N23" i="1"/>
  <c r="M23" i="1"/>
  <c r="L23" i="1"/>
  <c r="K23" i="1"/>
  <c r="G23" i="1" s="1"/>
  <c r="C23" i="1" s="1"/>
  <c r="N22" i="1"/>
  <c r="M22" i="1"/>
  <c r="G22" i="1" s="1"/>
  <c r="C22" i="1" s="1"/>
  <c r="L22" i="1"/>
  <c r="K22" i="1"/>
  <c r="N21" i="1"/>
  <c r="M21" i="1"/>
  <c r="L21" i="1"/>
  <c r="K21" i="1"/>
  <c r="G21" i="1" s="1"/>
  <c r="C21" i="1" s="1"/>
  <c r="N20" i="1"/>
  <c r="M20" i="1"/>
  <c r="G20" i="1" s="1"/>
  <c r="C20" i="1" s="1"/>
  <c r="L20" i="1"/>
  <c r="K20" i="1"/>
  <c r="N19" i="1"/>
  <c r="M19" i="1"/>
  <c r="L19" i="1"/>
  <c r="K19" i="1"/>
  <c r="G19" i="1" s="1"/>
  <c r="C19" i="1" s="1"/>
  <c r="N18" i="1"/>
  <c r="M18" i="1"/>
  <c r="G18" i="1" s="1"/>
  <c r="C18" i="1" s="1"/>
  <c r="L18" i="1"/>
  <c r="K18" i="1"/>
  <c r="N17" i="1"/>
  <c r="M17" i="1"/>
  <c r="L17" i="1"/>
  <c r="K17" i="1"/>
  <c r="G17" i="1" s="1"/>
  <c r="C17" i="1" s="1"/>
  <c r="N16" i="1"/>
  <c r="M16" i="1"/>
  <c r="G16" i="1" s="1"/>
  <c r="C16" i="1" s="1"/>
  <c r="L16" i="1"/>
  <c r="K16" i="1"/>
  <c r="N15" i="1"/>
  <c r="M15" i="1"/>
  <c r="L15" i="1"/>
  <c r="K15" i="1"/>
  <c r="G15" i="1" s="1"/>
  <c r="C15" i="1" s="1"/>
  <c r="N14" i="1"/>
  <c r="M14" i="1"/>
  <c r="G14" i="1" s="1"/>
  <c r="C14" i="1" s="1"/>
  <c r="L14" i="1"/>
  <c r="K14" i="1"/>
  <c r="N13" i="1"/>
  <c r="M13" i="1"/>
  <c r="L13" i="1"/>
  <c r="K13" i="1"/>
  <c r="G13" i="1" s="1"/>
  <c r="C13" i="1" s="1"/>
  <c r="N12" i="1"/>
  <c r="M12" i="1"/>
  <c r="G12" i="1" s="1"/>
  <c r="C12" i="1" s="1"/>
  <c r="L12" i="1"/>
  <c r="K12" i="1"/>
  <c r="N11" i="1"/>
  <c r="M11" i="1"/>
  <c r="L11" i="1"/>
  <c r="K11" i="1"/>
  <c r="G11" i="1" s="1"/>
  <c r="C11" i="1" s="1"/>
  <c r="N10" i="1"/>
  <c r="M10" i="1"/>
  <c r="G10" i="1" s="1"/>
  <c r="C10" i="1" s="1"/>
  <c r="L10" i="1"/>
  <c r="K10" i="1"/>
  <c r="N9" i="1"/>
  <c r="M9" i="1"/>
  <c r="L9" i="1"/>
  <c r="K9" i="1"/>
  <c r="G9" i="1"/>
  <c r="C9" i="1"/>
  <c r="N8" i="1"/>
  <c r="M8" i="1"/>
  <c r="L8" i="1"/>
  <c r="K8" i="1"/>
  <c r="G8" i="1"/>
  <c r="C8" i="1" s="1"/>
  <c r="N7" i="1"/>
  <c r="M7" i="1"/>
  <c r="L7" i="1"/>
  <c r="K7" i="1"/>
  <c r="N6" i="1"/>
  <c r="M6" i="1"/>
  <c r="L6" i="1"/>
  <c r="K6" i="1"/>
  <c r="G244" i="1" l="1"/>
  <c r="C244" i="1" s="1"/>
  <c r="C160" i="1"/>
  <c r="G212" i="1"/>
  <c r="C212" i="1" s="1"/>
  <c r="C128" i="1"/>
  <c r="G167" i="1"/>
  <c r="C167" i="1" s="1"/>
  <c r="C83" i="1"/>
  <c r="G170" i="1"/>
  <c r="C170" i="1" s="1"/>
  <c r="C86" i="1"/>
  <c r="C89" i="1"/>
  <c r="G173" i="1"/>
  <c r="C173" i="1" s="1"/>
  <c r="C92" i="1"/>
  <c r="G176" i="1"/>
  <c r="C176" i="1" s="1"/>
  <c r="C98" i="1"/>
  <c r="G182" i="1"/>
  <c r="C182" i="1" s="1"/>
  <c r="G185" i="1"/>
  <c r="C185" i="1" s="1"/>
  <c r="C101" i="1"/>
  <c r="C104" i="1"/>
  <c r="G188" i="1"/>
  <c r="C188" i="1" s="1"/>
  <c r="G191" i="1"/>
  <c r="C191" i="1" s="1"/>
  <c r="C107" i="1"/>
  <c r="G194" i="1"/>
  <c r="C194" i="1" s="1"/>
  <c r="C110" i="1"/>
  <c r="C113" i="1"/>
  <c r="G197" i="1"/>
  <c r="C197" i="1" s="1"/>
  <c r="C116" i="1"/>
  <c r="G200" i="1"/>
  <c r="C200" i="1" s="1"/>
  <c r="C119" i="1"/>
  <c r="G203" i="1"/>
  <c r="C203" i="1" s="1"/>
  <c r="G353" i="1"/>
  <c r="G397" i="1"/>
  <c r="C397" i="1" s="1"/>
  <c r="G375" i="1"/>
  <c r="C375" i="1" s="1"/>
  <c r="G207" i="1"/>
  <c r="C207" i="1" s="1"/>
  <c r="G419" i="1"/>
  <c r="C419" i="1" s="1"/>
  <c r="C123" i="1"/>
  <c r="G357" i="1"/>
  <c r="G216" i="1"/>
  <c r="C216" i="1" s="1"/>
  <c r="G401" i="1"/>
  <c r="C401" i="1" s="1"/>
  <c r="G379" i="1"/>
  <c r="C379" i="1" s="1"/>
  <c r="G423" i="1"/>
  <c r="C423" i="1" s="1"/>
  <c r="C132" i="1"/>
  <c r="G164" i="1"/>
  <c r="C164" i="1" s="1"/>
  <c r="C95" i="1"/>
  <c r="G179" i="1"/>
  <c r="C179" i="1" s="1"/>
  <c r="G410" i="1"/>
  <c r="C410" i="1" s="1"/>
  <c r="G230" i="1"/>
  <c r="C230" i="1" s="1"/>
  <c r="C146" i="1"/>
  <c r="G210" i="1"/>
  <c r="C210" i="1" s="1"/>
  <c r="C126" i="1"/>
  <c r="G408" i="1"/>
  <c r="C408" i="1" s="1"/>
  <c r="G386" i="1"/>
  <c r="C386" i="1" s="1"/>
  <c r="G228" i="1"/>
  <c r="C228" i="1" s="1"/>
  <c r="G430" i="1"/>
  <c r="C430" i="1" s="1"/>
  <c r="G364" i="1"/>
  <c r="C144" i="1"/>
  <c r="G234" i="1"/>
  <c r="C234" i="1" s="1"/>
  <c r="C150" i="1"/>
  <c r="G384" i="1"/>
  <c r="C384" i="1" s="1"/>
  <c r="G226" i="1"/>
  <c r="C226" i="1" s="1"/>
  <c r="C142" i="1"/>
  <c r="G165" i="1"/>
  <c r="C165" i="1" s="1"/>
  <c r="C81" i="1"/>
  <c r="G171" i="1"/>
  <c r="C171" i="1" s="1"/>
  <c r="C87" i="1"/>
  <c r="C90" i="1"/>
  <c r="G174" i="1"/>
  <c r="C174" i="1" s="1"/>
  <c r="C93" i="1"/>
  <c r="G177" i="1"/>
  <c r="C177" i="1" s="1"/>
  <c r="G183" i="1"/>
  <c r="C183" i="1" s="1"/>
  <c r="C99" i="1"/>
  <c r="C102" i="1"/>
  <c r="G186" i="1"/>
  <c r="C186" i="1" s="1"/>
  <c r="G189" i="1"/>
  <c r="C189" i="1" s="1"/>
  <c r="C105" i="1"/>
  <c r="G192" i="1"/>
  <c r="C192" i="1" s="1"/>
  <c r="C108" i="1"/>
  <c r="G195" i="1"/>
  <c r="C195" i="1" s="1"/>
  <c r="C111" i="1"/>
  <c r="C114" i="1"/>
  <c r="G198" i="1"/>
  <c r="C198" i="1" s="1"/>
  <c r="C117" i="1"/>
  <c r="G201" i="1"/>
  <c r="C201" i="1" s="1"/>
  <c r="G211" i="1"/>
  <c r="C211" i="1" s="1"/>
  <c r="C127" i="1"/>
  <c r="G214" i="1"/>
  <c r="C214" i="1" s="1"/>
  <c r="C130" i="1"/>
  <c r="G224" i="1"/>
  <c r="C224" i="1" s="1"/>
  <c r="C140" i="1"/>
  <c r="G168" i="1"/>
  <c r="C168" i="1" s="1"/>
  <c r="C84" i="1"/>
  <c r="C96" i="1"/>
  <c r="G180" i="1"/>
  <c r="C180" i="1" s="1"/>
  <c r="G361" i="1"/>
  <c r="G220" i="1"/>
  <c r="C220" i="1" s="1"/>
  <c r="G383" i="1"/>
  <c r="C383" i="1" s="1"/>
  <c r="G405" i="1"/>
  <c r="C405" i="1" s="1"/>
  <c r="G427" i="1"/>
  <c r="C427" i="1" s="1"/>
  <c r="C136" i="1"/>
  <c r="G437" i="1"/>
  <c r="C437" i="1" s="1"/>
  <c r="G371" i="1"/>
  <c r="G415" i="1"/>
  <c r="C415" i="1" s="1"/>
  <c r="G240" i="1"/>
  <c r="C240" i="1" s="1"/>
  <c r="G393" i="1"/>
  <c r="C393" i="1" s="1"/>
  <c r="C156" i="1"/>
  <c r="G232" i="1"/>
  <c r="C232" i="1" s="1"/>
  <c r="C148" i="1"/>
  <c r="G206" i="1"/>
  <c r="C206" i="1" s="1"/>
  <c r="G52" i="1"/>
  <c r="C52" i="1" s="1"/>
  <c r="C122" i="1"/>
  <c r="G398" i="1"/>
  <c r="C398" i="1" s="1"/>
  <c r="G376" i="1"/>
  <c r="C376" i="1" s="1"/>
  <c r="G208" i="1"/>
  <c r="C208" i="1" s="1"/>
  <c r="G420" i="1"/>
  <c r="C420" i="1" s="1"/>
  <c r="G354" i="1"/>
  <c r="C124" i="1"/>
  <c r="C82" i="1"/>
  <c r="G166" i="1"/>
  <c r="C166" i="1" s="1"/>
  <c r="G169" i="1"/>
  <c r="C169" i="1" s="1"/>
  <c r="C85" i="1"/>
  <c r="C88" i="1"/>
  <c r="G172" i="1"/>
  <c r="C172" i="1" s="1"/>
  <c r="C91" i="1"/>
  <c r="G175" i="1"/>
  <c r="C175" i="1" s="1"/>
  <c r="C94" i="1"/>
  <c r="G178" i="1"/>
  <c r="C178" i="1" s="1"/>
  <c r="G181" i="1"/>
  <c r="C181" i="1" s="1"/>
  <c r="C97" i="1"/>
  <c r="C100" i="1"/>
  <c r="G184" i="1"/>
  <c r="C184" i="1" s="1"/>
  <c r="G187" i="1"/>
  <c r="C187" i="1" s="1"/>
  <c r="C103" i="1"/>
  <c r="C106" i="1"/>
  <c r="G190" i="1"/>
  <c r="C190" i="1" s="1"/>
  <c r="G193" i="1"/>
  <c r="C193" i="1" s="1"/>
  <c r="C109" i="1"/>
  <c r="C112" i="1"/>
  <c r="G196" i="1"/>
  <c r="C196" i="1" s="1"/>
  <c r="C115" i="1"/>
  <c r="G199" i="1"/>
  <c r="C199" i="1" s="1"/>
  <c r="C118" i="1"/>
  <c r="G202" i="1"/>
  <c r="C202" i="1" s="1"/>
  <c r="G399" i="1"/>
  <c r="C399" i="1" s="1"/>
  <c r="G209" i="1"/>
  <c r="C209" i="1" s="1"/>
  <c r="C125" i="1"/>
  <c r="G218" i="1"/>
  <c r="C218" i="1" s="1"/>
  <c r="C275" i="1"/>
  <c r="G327" i="1"/>
  <c r="C327" i="1" s="1"/>
  <c r="C278" i="1"/>
  <c r="G330" i="1"/>
  <c r="C330" i="1" s="1"/>
  <c r="C281" i="1"/>
  <c r="G333" i="1"/>
  <c r="C333" i="1" s="1"/>
  <c r="C289" i="1"/>
  <c r="G341" i="1"/>
  <c r="C341" i="1" s="1"/>
  <c r="C297" i="1"/>
  <c r="G349" i="1"/>
  <c r="C349" i="1" s="1"/>
  <c r="G754" i="1"/>
  <c r="C754" i="1" s="1"/>
  <c r="C702" i="1"/>
  <c r="G762" i="1"/>
  <c r="C762" i="1" s="1"/>
  <c r="C710" i="1"/>
  <c r="G145" i="1"/>
  <c r="G147" i="1"/>
  <c r="C259" i="1"/>
  <c r="G311" i="1"/>
  <c r="C311" i="1" s="1"/>
  <c r="C271" i="1"/>
  <c r="G323" i="1"/>
  <c r="C323" i="1" s="1"/>
  <c r="G635" i="1"/>
  <c r="C635" i="1" s="1"/>
  <c r="C551" i="1"/>
  <c r="G641" i="1"/>
  <c r="C641" i="1" s="1"/>
  <c r="C557" i="1"/>
  <c r="G647" i="1"/>
  <c r="C647" i="1" s="1"/>
  <c r="C563" i="1"/>
  <c r="G653" i="1"/>
  <c r="C653" i="1" s="1"/>
  <c r="C569" i="1"/>
  <c r="G659" i="1"/>
  <c r="C659" i="1" s="1"/>
  <c r="C575" i="1"/>
  <c r="G665" i="1"/>
  <c r="C665" i="1" s="1"/>
  <c r="C581" i="1"/>
  <c r="G363" i="1"/>
  <c r="G385" i="1"/>
  <c r="C385" i="1" s="1"/>
  <c r="G227" i="1"/>
  <c r="C227" i="1" s="1"/>
  <c r="G429" i="1"/>
  <c r="C429" i="1" s="1"/>
  <c r="G407" i="1"/>
  <c r="C407" i="1" s="1"/>
  <c r="G238" i="1"/>
  <c r="C238" i="1" s="1"/>
  <c r="G141" i="1"/>
  <c r="G433" i="1"/>
  <c r="C433" i="1" s="1"/>
  <c r="G411" i="1"/>
  <c r="C411" i="1" s="1"/>
  <c r="G367" i="1"/>
  <c r="G236" i="1"/>
  <c r="C236" i="1" s="1"/>
  <c r="G389" i="1"/>
  <c r="C389" i="1" s="1"/>
  <c r="C257" i="1"/>
  <c r="G309" i="1"/>
  <c r="C309" i="1" s="1"/>
  <c r="C269" i="1"/>
  <c r="G321" i="1"/>
  <c r="C321" i="1" s="1"/>
  <c r="C287" i="1"/>
  <c r="G339" i="1"/>
  <c r="C339" i="1" s="1"/>
  <c r="C295" i="1"/>
  <c r="G347" i="1"/>
  <c r="C347" i="1" s="1"/>
  <c r="G671" i="1"/>
  <c r="C671" i="1" s="1"/>
  <c r="C587" i="1"/>
  <c r="G139" i="1"/>
  <c r="C276" i="1"/>
  <c r="G328" i="1"/>
  <c r="C328" i="1" s="1"/>
  <c r="C279" i="1"/>
  <c r="G331" i="1"/>
  <c r="C331" i="1" s="1"/>
  <c r="G752" i="1"/>
  <c r="C752" i="1" s="1"/>
  <c r="C700" i="1"/>
  <c r="G766" i="1"/>
  <c r="C766" i="1" s="1"/>
  <c r="C714" i="1"/>
  <c r="G774" i="1"/>
  <c r="C774" i="1" s="1"/>
  <c r="C722" i="1"/>
  <c r="G137" i="1"/>
  <c r="C255" i="1"/>
  <c r="G307" i="1"/>
  <c r="C307" i="1" s="1"/>
  <c r="C267" i="1"/>
  <c r="G319" i="1"/>
  <c r="C319" i="1" s="1"/>
  <c r="G633" i="1"/>
  <c r="C633" i="1" s="1"/>
  <c r="C549" i="1"/>
  <c r="G639" i="1"/>
  <c r="C639" i="1" s="1"/>
  <c r="C555" i="1"/>
  <c r="G645" i="1"/>
  <c r="C645" i="1" s="1"/>
  <c r="C561" i="1"/>
  <c r="G651" i="1"/>
  <c r="C651" i="1" s="1"/>
  <c r="C567" i="1"/>
  <c r="G657" i="1"/>
  <c r="C657" i="1" s="1"/>
  <c r="C573" i="1"/>
  <c r="G669" i="1"/>
  <c r="C669" i="1" s="1"/>
  <c r="C585" i="1"/>
  <c r="G135" i="1"/>
  <c r="C157" i="1"/>
  <c r="G161" i="1"/>
  <c r="C285" i="1"/>
  <c r="G337" i="1"/>
  <c r="C337" i="1" s="1"/>
  <c r="C293" i="1"/>
  <c r="G345" i="1"/>
  <c r="C345" i="1" s="1"/>
  <c r="G758" i="1"/>
  <c r="C758" i="1" s="1"/>
  <c r="C706" i="1"/>
  <c r="G133" i="1"/>
  <c r="G159" i="1"/>
  <c r="C253" i="1"/>
  <c r="G305" i="1"/>
  <c r="C305" i="1" s="1"/>
  <c r="G310" i="1"/>
  <c r="C310" i="1" s="1"/>
  <c r="C265" i="1"/>
  <c r="G317" i="1"/>
  <c r="C317" i="1" s="1"/>
  <c r="G322" i="1"/>
  <c r="C322" i="1" s="1"/>
  <c r="G663" i="1"/>
  <c r="C663" i="1" s="1"/>
  <c r="C579" i="1"/>
  <c r="G131" i="1"/>
  <c r="C274" i="1"/>
  <c r="G326" i="1"/>
  <c r="C326" i="1" s="1"/>
  <c r="C277" i="1"/>
  <c r="G329" i="1"/>
  <c r="C329" i="1" s="1"/>
  <c r="C280" i="1"/>
  <c r="G332" i="1"/>
  <c r="C332" i="1" s="1"/>
  <c r="G764" i="1"/>
  <c r="C764" i="1" s="1"/>
  <c r="C712" i="1"/>
  <c r="G129" i="1"/>
  <c r="C138" i="1"/>
  <c r="G155" i="1"/>
  <c r="G300" i="1"/>
  <c r="C300" i="1" s="1"/>
  <c r="C251" i="1"/>
  <c r="G303" i="1"/>
  <c r="C303" i="1" s="1"/>
  <c r="G308" i="1"/>
  <c r="C308" i="1" s="1"/>
  <c r="C263" i="1"/>
  <c r="G315" i="1"/>
  <c r="C315" i="1" s="1"/>
  <c r="G320" i="1"/>
  <c r="C320" i="1" s="1"/>
  <c r="C283" i="1"/>
  <c r="G335" i="1"/>
  <c r="C335" i="1" s="1"/>
  <c r="C291" i="1"/>
  <c r="G343" i="1"/>
  <c r="C343" i="1" s="1"/>
  <c r="G637" i="1"/>
  <c r="C637" i="1" s="1"/>
  <c r="C553" i="1"/>
  <c r="G643" i="1"/>
  <c r="C643" i="1" s="1"/>
  <c r="C559" i="1"/>
  <c r="G649" i="1"/>
  <c r="C649" i="1" s="1"/>
  <c r="C565" i="1"/>
  <c r="G655" i="1"/>
  <c r="C655" i="1" s="1"/>
  <c r="C571" i="1"/>
  <c r="G661" i="1"/>
  <c r="C661" i="1" s="1"/>
  <c r="C577" i="1"/>
  <c r="G667" i="1"/>
  <c r="C667" i="1" s="1"/>
  <c r="C583" i="1"/>
  <c r="C149" i="1"/>
  <c r="G153" i="1"/>
  <c r="G770" i="1"/>
  <c r="C770" i="1" s="1"/>
  <c r="C718" i="1"/>
  <c r="C134" i="1"/>
  <c r="G151" i="1"/>
  <c r="C158" i="1"/>
  <c r="C249" i="1"/>
  <c r="G301" i="1"/>
  <c r="C301" i="1" s="1"/>
  <c r="G306" i="1"/>
  <c r="C306" i="1" s="1"/>
  <c r="C261" i="1"/>
  <c r="G313" i="1"/>
  <c r="C313" i="1" s="1"/>
  <c r="G318" i="1"/>
  <c r="C318" i="1" s="1"/>
  <c r="G334" i="1"/>
  <c r="C334" i="1" s="1"/>
  <c r="G336" i="1"/>
  <c r="C336" i="1" s="1"/>
  <c r="G338" i="1"/>
  <c r="C338" i="1" s="1"/>
  <c r="G340" i="1"/>
  <c r="C340" i="1" s="1"/>
  <c r="G342" i="1"/>
  <c r="C342" i="1" s="1"/>
  <c r="G344" i="1"/>
  <c r="C344" i="1" s="1"/>
  <c r="G346" i="1"/>
  <c r="C346" i="1" s="1"/>
  <c r="G348" i="1"/>
  <c r="C348" i="1" s="1"/>
  <c r="C550" i="1"/>
  <c r="G634" i="1"/>
  <c r="C634" i="1" s="1"/>
  <c r="C562" i="1"/>
  <c r="G646" i="1"/>
  <c r="C646" i="1" s="1"/>
  <c r="C574" i="1"/>
  <c r="G658" i="1"/>
  <c r="C658" i="1" s="1"/>
  <c r="C586" i="1"/>
  <c r="G670" i="1"/>
  <c r="C670" i="1" s="1"/>
  <c r="C678" i="1"/>
  <c r="G730" i="1"/>
  <c r="C730" i="1" s="1"/>
  <c r="C690" i="1"/>
  <c r="G742" i="1"/>
  <c r="C742" i="1" s="1"/>
  <c r="G487" i="1"/>
  <c r="C487" i="1" s="1"/>
  <c r="G513" i="1"/>
  <c r="G525" i="1"/>
  <c r="G537" i="1"/>
  <c r="G548" i="1"/>
  <c r="G560" i="1"/>
  <c r="G572" i="1"/>
  <c r="G432" i="1" s="1"/>
  <c r="C432" i="1" s="1"/>
  <c r="G584" i="1"/>
  <c r="G676" i="1"/>
  <c r="G688" i="1"/>
  <c r="G864" i="1"/>
  <c r="C864" i="1" s="1"/>
  <c r="G876" i="1"/>
  <c r="C876" i="1" s="1"/>
  <c r="G888" i="1"/>
  <c r="C888" i="1" s="1"/>
  <c r="G485" i="1"/>
  <c r="C485" i="1" s="1"/>
  <c r="C511" i="1"/>
  <c r="C523" i="1"/>
  <c r="C535" i="1"/>
  <c r="G759" i="1"/>
  <c r="C759" i="1" s="1"/>
  <c r="G771" i="1"/>
  <c r="C771" i="1" s="1"/>
  <c r="C558" i="1"/>
  <c r="G642" i="1"/>
  <c r="C642" i="1" s="1"/>
  <c r="C570" i="1"/>
  <c r="G654" i="1"/>
  <c r="C654" i="1" s="1"/>
  <c r="C582" i="1"/>
  <c r="G666" i="1"/>
  <c r="C666" i="1" s="1"/>
  <c r="C674" i="1"/>
  <c r="G726" i="1"/>
  <c r="C726" i="1" s="1"/>
  <c r="C686" i="1"/>
  <c r="G738" i="1"/>
  <c r="C738" i="1" s="1"/>
  <c r="G757" i="1"/>
  <c r="C757" i="1" s="1"/>
  <c r="G769" i="1"/>
  <c r="C769" i="1" s="1"/>
  <c r="G503" i="1"/>
  <c r="C503" i="1" s="1"/>
  <c r="G509" i="1"/>
  <c r="G521" i="1"/>
  <c r="G533" i="1"/>
  <c r="G545" i="1"/>
  <c r="G556" i="1"/>
  <c r="G355" i="1" s="1"/>
  <c r="G568" i="1"/>
  <c r="G580" i="1"/>
  <c r="G684" i="1"/>
  <c r="G696" i="1"/>
  <c r="G501" i="1"/>
  <c r="C501" i="1" s="1"/>
  <c r="C507" i="1"/>
  <c r="C519" i="1"/>
  <c r="C531" i="1"/>
  <c r="C543" i="1"/>
  <c r="G755" i="1"/>
  <c r="C755" i="1" s="1"/>
  <c r="G767" i="1"/>
  <c r="C767" i="1" s="1"/>
  <c r="C554" i="1"/>
  <c r="G638" i="1"/>
  <c r="C638" i="1" s="1"/>
  <c r="C566" i="1"/>
  <c r="G650" i="1"/>
  <c r="C650" i="1" s="1"/>
  <c r="C578" i="1"/>
  <c r="G662" i="1"/>
  <c r="C662" i="1" s="1"/>
  <c r="C682" i="1"/>
  <c r="G734" i="1"/>
  <c r="C734" i="1" s="1"/>
  <c r="C694" i="1"/>
  <c r="G746" i="1"/>
  <c r="C746" i="1" s="1"/>
  <c r="G841" i="1"/>
  <c r="C841" i="1" s="1"/>
  <c r="G859" i="1"/>
  <c r="C859" i="1" s="1"/>
  <c r="G870" i="1"/>
  <c r="C870" i="1" s="1"/>
  <c r="G882" i="1"/>
  <c r="C882" i="1" s="1"/>
  <c r="G894" i="1"/>
  <c r="C894" i="1" s="1"/>
  <c r="G753" i="1"/>
  <c r="C753" i="1" s="1"/>
  <c r="G765" i="1"/>
  <c r="C765" i="1" s="1"/>
  <c r="G495" i="1"/>
  <c r="C495" i="1" s="1"/>
  <c r="G517" i="1"/>
  <c r="G529" i="1"/>
  <c r="G541" i="1"/>
  <c r="G552" i="1"/>
  <c r="G564" i="1"/>
  <c r="G576" i="1"/>
  <c r="G680" i="1"/>
  <c r="G692" i="1"/>
  <c r="G868" i="1"/>
  <c r="C868" i="1" s="1"/>
  <c r="G880" i="1"/>
  <c r="C880" i="1" s="1"/>
  <c r="G892" i="1"/>
  <c r="C892" i="1" s="1"/>
  <c r="G493" i="1"/>
  <c r="C493" i="1" s="1"/>
  <c r="C515" i="1"/>
  <c r="C527" i="1"/>
  <c r="C539" i="1"/>
  <c r="G763" i="1"/>
  <c r="C763" i="1" s="1"/>
  <c r="G775" i="1"/>
  <c r="C775" i="1" s="1"/>
  <c r="C355" i="1" l="1"/>
  <c r="G445" i="1"/>
  <c r="C357" i="1"/>
  <c r="C696" i="1"/>
  <c r="G748" i="1"/>
  <c r="C748" i="1" s="1"/>
  <c r="C548" i="1"/>
  <c r="G632" i="1"/>
  <c r="C632" i="1" s="1"/>
  <c r="G412" i="1"/>
  <c r="C412" i="1" s="1"/>
  <c r="G390" i="1"/>
  <c r="C390" i="1" s="1"/>
  <c r="G434" i="1"/>
  <c r="C434" i="1" s="1"/>
  <c r="G368" i="1"/>
  <c r="G237" i="1"/>
  <c r="C237" i="1" s="1"/>
  <c r="C153" i="1"/>
  <c r="G215" i="1"/>
  <c r="C215" i="1" s="1"/>
  <c r="C131" i="1"/>
  <c r="G221" i="1"/>
  <c r="C221" i="1" s="1"/>
  <c r="C137" i="1"/>
  <c r="G406" i="1"/>
  <c r="C406" i="1" s="1"/>
  <c r="G356" i="1"/>
  <c r="C684" i="1"/>
  <c r="G736" i="1"/>
  <c r="C736" i="1" s="1"/>
  <c r="G621" i="1"/>
  <c r="C621" i="1" s="1"/>
  <c r="C537" i="1"/>
  <c r="G414" i="1"/>
  <c r="C414" i="1" s="1"/>
  <c r="G392" i="1"/>
  <c r="C392" i="1" s="1"/>
  <c r="G436" i="1"/>
  <c r="C436" i="1" s="1"/>
  <c r="G370" i="1"/>
  <c r="G239" i="1"/>
  <c r="C239" i="1" s="1"/>
  <c r="C155" i="1"/>
  <c r="G455" i="1"/>
  <c r="C367" i="1"/>
  <c r="G425" i="1"/>
  <c r="C425" i="1" s="1"/>
  <c r="G352" i="1"/>
  <c r="G459" i="1"/>
  <c r="C371" i="1"/>
  <c r="G422" i="1"/>
  <c r="C422" i="1" s="1"/>
  <c r="C580" i="1"/>
  <c r="G664" i="1"/>
  <c r="C664" i="1" s="1"/>
  <c r="G609" i="1"/>
  <c r="C609" i="1" s="1"/>
  <c r="C525" i="1"/>
  <c r="G381" i="1"/>
  <c r="C381" i="1" s="1"/>
  <c r="G418" i="1"/>
  <c r="C418" i="1" s="1"/>
  <c r="G223" i="1"/>
  <c r="C223" i="1" s="1"/>
  <c r="C139" i="1"/>
  <c r="C692" i="1"/>
  <c r="G744" i="1"/>
  <c r="C744" i="1" s="1"/>
  <c r="C568" i="1"/>
  <c r="G652" i="1"/>
  <c r="C652" i="1" s="1"/>
  <c r="G597" i="1"/>
  <c r="C597" i="1" s="1"/>
  <c r="C513" i="1"/>
  <c r="G213" i="1"/>
  <c r="C213" i="1" s="1"/>
  <c r="C129" i="1"/>
  <c r="G403" i="1"/>
  <c r="C403" i="1" s="1"/>
  <c r="G378" i="1"/>
  <c r="C378" i="1" s="1"/>
  <c r="C680" i="1"/>
  <c r="G732" i="1"/>
  <c r="C732" i="1" s="1"/>
  <c r="C556" i="1"/>
  <c r="G640" i="1"/>
  <c r="C640" i="1" s="1"/>
  <c r="G225" i="1"/>
  <c r="C225" i="1" s="1"/>
  <c r="C141" i="1"/>
  <c r="G451" i="1"/>
  <c r="C363" i="1"/>
  <c r="G374" i="1"/>
  <c r="C374" i="1" s="1"/>
  <c r="G400" i="1"/>
  <c r="C400" i="1" s="1"/>
  <c r="C560" i="1"/>
  <c r="G644" i="1"/>
  <c r="C644" i="1" s="1"/>
  <c r="C576" i="1"/>
  <c r="G660" i="1"/>
  <c r="C660" i="1" s="1"/>
  <c r="G629" i="1"/>
  <c r="C629" i="1" s="1"/>
  <c r="C545" i="1"/>
  <c r="G245" i="1"/>
  <c r="C245" i="1" s="1"/>
  <c r="C161" i="1"/>
  <c r="G442" i="1"/>
  <c r="C354" i="1"/>
  <c r="G396" i="1"/>
  <c r="C396" i="1" s="1"/>
  <c r="G452" i="1"/>
  <c r="C364" i="1"/>
  <c r="C564" i="1"/>
  <c r="G648" i="1"/>
  <c r="C648" i="1" s="1"/>
  <c r="G617" i="1"/>
  <c r="C617" i="1" s="1"/>
  <c r="C533" i="1"/>
  <c r="G391" i="1"/>
  <c r="C391" i="1" s="1"/>
  <c r="G359" i="1"/>
  <c r="G441" i="1"/>
  <c r="C353" i="1"/>
  <c r="C552" i="1"/>
  <c r="G636" i="1"/>
  <c r="C636" i="1" s="1"/>
  <c r="G605" i="1"/>
  <c r="C605" i="1" s="1"/>
  <c r="C521" i="1"/>
  <c r="C688" i="1"/>
  <c r="G740" i="1"/>
  <c r="C740" i="1" s="1"/>
  <c r="G404" i="1"/>
  <c r="C404" i="1" s="1"/>
  <c r="G382" i="1"/>
  <c r="C382" i="1" s="1"/>
  <c r="G426" i="1"/>
  <c r="C426" i="1" s="1"/>
  <c r="G360" i="1"/>
  <c r="G219" i="1"/>
  <c r="C219" i="1" s="1"/>
  <c r="C135" i="1"/>
  <c r="G366" i="1"/>
  <c r="G625" i="1"/>
  <c r="C625" i="1" s="1"/>
  <c r="C541" i="1"/>
  <c r="G593" i="1"/>
  <c r="C593" i="1" s="1"/>
  <c r="C509" i="1"/>
  <c r="C676" i="1"/>
  <c r="G728" i="1"/>
  <c r="C728" i="1" s="1"/>
  <c r="G235" i="1"/>
  <c r="C235" i="1" s="1"/>
  <c r="C151" i="1"/>
  <c r="G413" i="1"/>
  <c r="C413" i="1" s="1"/>
  <c r="G421" i="1"/>
  <c r="C421" i="1" s="1"/>
  <c r="G362" i="1"/>
  <c r="G613" i="1"/>
  <c r="C613" i="1" s="1"/>
  <c r="C529" i="1"/>
  <c r="C584" i="1"/>
  <c r="G668" i="1"/>
  <c r="C668" i="1" s="1"/>
  <c r="G243" i="1"/>
  <c r="C243" i="1" s="1"/>
  <c r="C159" i="1"/>
  <c r="G369" i="1"/>
  <c r="G231" i="1"/>
  <c r="C231" i="1" s="1"/>
  <c r="C147" i="1"/>
  <c r="G428" i="1"/>
  <c r="C428" i="1" s="1"/>
  <c r="G601" i="1"/>
  <c r="C601" i="1" s="1"/>
  <c r="C517" i="1"/>
  <c r="C572" i="1"/>
  <c r="G656" i="1"/>
  <c r="C656" i="1" s="1"/>
  <c r="G402" i="1"/>
  <c r="C402" i="1" s="1"/>
  <c r="G380" i="1"/>
  <c r="C380" i="1" s="1"/>
  <c r="G424" i="1"/>
  <c r="C424" i="1" s="1"/>
  <c r="G358" i="1"/>
  <c r="G217" i="1"/>
  <c r="C217" i="1" s="1"/>
  <c r="C133" i="1"/>
  <c r="G435" i="1"/>
  <c r="C435" i="1" s="1"/>
  <c r="G409" i="1"/>
  <c r="C409" i="1" s="1"/>
  <c r="G365" i="1"/>
  <c r="G387" i="1"/>
  <c r="C387" i="1" s="1"/>
  <c r="G229" i="1"/>
  <c r="C229" i="1" s="1"/>
  <c r="G431" i="1"/>
  <c r="C431" i="1" s="1"/>
  <c r="C145" i="1"/>
  <c r="G377" i="1"/>
  <c r="C377" i="1" s="1"/>
  <c r="G449" i="1"/>
  <c r="C361" i="1"/>
  <c r="G388" i="1"/>
  <c r="C388" i="1" s="1"/>
  <c r="G453" i="1" l="1"/>
  <c r="C365" i="1"/>
  <c r="G458" i="1"/>
  <c r="C370" i="1"/>
  <c r="G448" i="1"/>
  <c r="C360" i="1"/>
  <c r="C441" i="1"/>
  <c r="G463" i="1"/>
  <c r="C463" i="1" s="1"/>
  <c r="C442" i="1"/>
  <c r="G464" i="1"/>
  <c r="C464" i="1" s="1"/>
  <c r="C451" i="1"/>
  <c r="G473" i="1"/>
  <c r="C473" i="1" s="1"/>
  <c r="G447" i="1"/>
  <c r="C359" i="1"/>
  <c r="G457" i="1"/>
  <c r="C369" i="1"/>
  <c r="C449" i="1"/>
  <c r="G471" i="1"/>
  <c r="C471" i="1" s="1"/>
  <c r="C459" i="1"/>
  <c r="G481" i="1"/>
  <c r="C481" i="1" s="1"/>
  <c r="C445" i="1"/>
  <c r="G467" i="1"/>
  <c r="C467" i="1" s="1"/>
  <c r="G440" i="1"/>
  <c r="C352" i="1"/>
  <c r="G456" i="1"/>
  <c r="C368" i="1"/>
  <c r="G443" i="1"/>
  <c r="C455" i="1"/>
  <c r="G477" i="1"/>
  <c r="C477" i="1" s="1"/>
  <c r="G450" i="1"/>
  <c r="C362" i="1"/>
  <c r="G446" i="1"/>
  <c r="C358" i="1"/>
  <c r="G454" i="1"/>
  <c r="C366" i="1"/>
  <c r="C452" i="1"/>
  <c r="G474" i="1"/>
  <c r="C474" i="1" s="1"/>
  <c r="G444" i="1"/>
  <c r="C356" i="1"/>
  <c r="C446" i="1" l="1"/>
  <c r="G468" i="1"/>
  <c r="C468" i="1" s="1"/>
  <c r="C448" i="1"/>
  <c r="G470" i="1"/>
  <c r="C470" i="1" s="1"/>
  <c r="C450" i="1"/>
  <c r="G472" i="1"/>
  <c r="C472" i="1" s="1"/>
  <c r="C443" i="1"/>
  <c r="G465" i="1"/>
  <c r="C465" i="1" s="1"/>
  <c r="C457" i="1"/>
  <c r="G479" i="1"/>
  <c r="C479" i="1" s="1"/>
  <c r="C458" i="1"/>
  <c r="G480" i="1"/>
  <c r="C480" i="1" s="1"/>
  <c r="C440" i="1"/>
  <c r="G462" i="1"/>
  <c r="C462" i="1" s="1"/>
  <c r="C454" i="1"/>
  <c r="G476" i="1"/>
  <c r="C476" i="1" s="1"/>
  <c r="C444" i="1"/>
  <c r="G466" i="1"/>
  <c r="C466" i="1" s="1"/>
  <c r="C456" i="1"/>
  <c r="G478" i="1"/>
  <c r="C478" i="1" s="1"/>
  <c r="C447" i="1"/>
  <c r="G469" i="1"/>
  <c r="C469" i="1" s="1"/>
  <c r="C453" i="1"/>
  <c r="G475" i="1"/>
  <c r="C475" i="1" s="1"/>
</calcChain>
</file>

<file path=xl/sharedStrings.xml><?xml version="1.0" encoding="utf-8"?>
<sst xmlns="http://schemas.openxmlformats.org/spreadsheetml/2006/main" count="1176" uniqueCount="953">
  <si>
    <t>Master PL Combine RPT Tool</t>
  </si>
  <si>
    <t>Initial Combined RPT</t>
  </si>
  <si>
    <t>Individual RPT's</t>
  </si>
  <si>
    <t>Output| RPT</t>
  </si>
  <si>
    <t>RPT1</t>
  </si>
  <si>
    <t>RPT2</t>
  </si>
  <si>
    <t>RPT3</t>
  </si>
  <si>
    <t>RPT4</t>
  </si>
  <si>
    <t>OUTPUT VECTOR</t>
  </si>
  <si>
    <t>INPUT VECTOR</t>
  </si>
  <si>
    <t>Combined</t>
  </si>
  <si>
    <t>Combined-Initial</t>
  </si>
  <si>
    <t>RPT Information</t>
  </si>
  <si>
    <t>RPT Version</t>
  </si>
  <si>
    <t>RPT ID</t>
  </si>
  <si>
    <t>RPT Run Date</t>
  </si>
  <si>
    <t>RPT Repository Location</t>
  </si>
  <si>
    <t>RPT Model Year 1</t>
  </si>
  <si>
    <t>RPT Model Year 2</t>
  </si>
  <si>
    <t>RPT Model Year 3</t>
  </si>
  <si>
    <t>RPT Model Year 4</t>
  </si>
  <si>
    <t>RPT Model Year 5</t>
  </si>
  <si>
    <t>Base Start Date</t>
  </si>
  <si>
    <t>Base End Date</t>
  </si>
  <si>
    <t>Client Name</t>
  </si>
  <si>
    <t>Line of Business</t>
  </si>
  <si>
    <t>Formulary</t>
  </si>
  <si>
    <t>Exclusions</t>
  </si>
  <si>
    <t>Exclusions - OTCs</t>
  </si>
  <si>
    <t>Exclusions - Devices</t>
  </si>
  <si>
    <t>Exclusions - Vaccines</t>
  </si>
  <si>
    <t>Exclusions - Repackaged</t>
  </si>
  <si>
    <t>Exclusions - MSBs</t>
  </si>
  <si>
    <t>Exclusions - Test Strips</t>
  </si>
  <si>
    <t>Exclusions - Insulin</t>
  </si>
  <si>
    <t>Exclusions - Non FDA Approved</t>
  </si>
  <si>
    <t>Exclusions - LDD</t>
  </si>
  <si>
    <t>Exclusions - Institutional NDCs</t>
  </si>
  <si>
    <t>Exclusions - Formulary Exclusions</t>
  </si>
  <si>
    <t>Exclusions - Synthroid</t>
  </si>
  <si>
    <t>Exclusions - PCSK9</t>
  </si>
  <si>
    <t>Exclusions - HIV</t>
  </si>
  <si>
    <t>Exclusions - Non-Rebatable</t>
  </si>
  <si>
    <t>Exclusions - Custom NDC List</t>
  </si>
  <si>
    <t>Exclusions - Custom NDC List Desc</t>
  </si>
  <si>
    <t>Exclusions - [Placeholder]</t>
  </si>
  <si>
    <t>Specialty Rebucketing</t>
  </si>
  <si>
    <t>Specialty Rebucketing - Hep B</t>
  </si>
  <si>
    <t>Specialty Rebucketing - HIV</t>
  </si>
  <si>
    <t>Specialty Rebucketing - IVIG</t>
  </si>
  <si>
    <t>Specialty Rebucketing - Narcolepsy</t>
  </si>
  <si>
    <t>Specialty Rebucketing - Nausea</t>
  </si>
  <si>
    <t>Specialty Rebucketing - Transplant</t>
  </si>
  <si>
    <t>Specialty Rebucketing - PCSK9</t>
  </si>
  <si>
    <t>Specialty Rebucketing - [Placeholder]</t>
  </si>
  <si>
    <t>Data Filters</t>
  </si>
  <si>
    <t>Mail 30 DS Script Distribution</t>
  </si>
  <si>
    <t>Mail 30 DS Rebate Distribution</t>
  </si>
  <si>
    <t>B/G Selected URL</t>
  </si>
  <si>
    <t>oGLP-1 Scenario for New Coverage</t>
  </si>
  <si>
    <t>[Placeholder]</t>
  </si>
  <si>
    <t>Specialty List</t>
  </si>
  <si>
    <t>B/G Definition</t>
  </si>
  <si>
    <t>Lift Type</t>
  </si>
  <si>
    <t>Shifting</t>
  </si>
  <si>
    <t>Patent List</t>
  </si>
  <si>
    <t>Rebate Credit</t>
  </si>
  <si>
    <t>Continuation of Therapy - Non-Specialty - Applied</t>
  </si>
  <si>
    <t>Continuation of Therapy - Non-Specialty - Months</t>
  </si>
  <si>
    <t>Continuation of Therapy - Specialty - Applied</t>
  </si>
  <si>
    <t>Continuation of Therapy - Specialty - Months</t>
  </si>
  <si>
    <t>AMP Cap</t>
  </si>
  <si>
    <t>Apply Annualization</t>
  </si>
  <si>
    <t>Apply Enhanced UM</t>
  </si>
  <si>
    <t>Weight Loss Coverage</t>
  </si>
  <si>
    <t>Medicare Part B Coverage</t>
  </si>
  <si>
    <t>Strategy for Humira</t>
  </si>
  <si>
    <t>MFP Year(s)</t>
  </si>
  <si>
    <t>Strategy for Stelara</t>
  </si>
  <si>
    <t>Is Weight Loss Covered Today</t>
  </si>
  <si>
    <t>Projected Scripts - w/o Exclusions</t>
  </si>
  <si>
    <t>Projected Scripts - w/o Exclusions - Mail - Brand - Year 1</t>
  </si>
  <si>
    <t>Projected Scripts - w/o Exclusions - Mail - Brand - Year 2</t>
  </si>
  <si>
    <t>Projected Scripts - w/o Exclusions - Mail - Brand - Year 3</t>
  </si>
  <si>
    <t>Projected Scripts - w/o Exclusions - Mail - Brand - Year 4</t>
  </si>
  <si>
    <t>Projected Scripts - w/o Exclusions - Mail - Brand - Year 5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</si>
  <si>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</si>
  <si>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</si>
  <si>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</si>
  <si>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</si>
  <si>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</si>
  <si>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</si>
  <si>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</si>
  <si>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</si>
  <si>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</si>
  <si>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</si>
  <si>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</si>
  <si>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</si>
  <si>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</si>
  <si>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</si>
  <si>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</si>
  <si>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</si>
  <si>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</si>
  <si>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</si>
  <si>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</si>
  <si>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</si>
  <si>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</si>
  <si>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</si>
  <si>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</si>
  <si>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</si>
  <si>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</si>
  <si>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</si>
  <si>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</si>
  <si>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</si>
  <si>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</si>
  <si>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</si>
  <si>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</si>
  <si>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</si>
  <si>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</si>
  <si>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</si>
  <si>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</si>
  <si>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</si>
  <si>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</si>
  <si>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</si>
  <si>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</si>
  <si>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</si>
  <si>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</si>
  <si>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</si>
  <si>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</si>
  <si>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</si>
  <si>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</si>
  <si>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</si>
  <si>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</si>
  <si>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</si>
  <si>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</si>
  <si>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</si>
  <si>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</si>
  <si>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</si>
  <si>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</si>
  <si>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</si>
  <si>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</si>
  <si>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</si>
  <si>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</si>
  <si>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</si>
  <si>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</si>
  <si>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</si>
  <si>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</si>
  <si>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</si>
  <si>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</si>
  <si>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</si>
  <si>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</si>
  <si>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</si>
  <si>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</si>
  <si>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</si>
  <si>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</si>
  <si>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</si>
  <si>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</si>
  <si>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</si>
  <si>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</si>
  <si>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</si>
  <si>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</si>
  <si>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</si>
  <si>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</si>
  <si>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</si>
  <si>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</si>
  <si>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</si>
  <si>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</si>
  <si>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</si>
  <si>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</si>
  <si>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</si>
  <si>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</si>
  <si>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</si>
  <si>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</si>
  <si>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</si>
  <si>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</si>
  <si>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</si>
  <si>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</si>
  <si>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</si>
  <si>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</si>
  <si>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</si>
  <si>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</si>
  <si>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</si>
  <si>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</si>
  <si>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</si>
  <si>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</si>
  <si>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</si>
  <si>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</si>
  <si>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</si>
  <si>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</si>
  <si>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</si>
  <si>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</si>
  <si>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</si>
  <si>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</si>
  <si>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</si>
  <si>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</si>
  <si>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</si>
  <si>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</si>
  <si>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</si>
  <si>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</si>
  <si>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</si>
  <si>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</si>
  <si>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</si>
  <si>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</si>
  <si>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</si>
  <si>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</si>
  <si>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</si>
  <si>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</si>
  <si>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</si>
  <si>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</si>
  <si>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</si>
  <si>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</si>
  <si>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</si>
  <si>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</si>
  <si>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</si>
  <si>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</si>
  <si>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</si>
  <si>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</si>
  <si>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</si>
  <si>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</si>
  <si>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</si>
  <si>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</si>
  <si>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</si>
  <si>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</si>
  <si>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</si>
  <si>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</si>
  <si>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</si>
  <si>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</si>
  <si>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</si>
  <si>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</si>
  <si>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</si>
  <si>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</si>
  <si>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</si>
  <si>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</si>
  <si>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</si>
  <si>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</si>
  <si>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</si>
  <si>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</si>
  <si>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</si>
  <si>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</si>
  <si>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</si>
  <si>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</si>
  <si>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</si>
  <si>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</si>
  <si>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</si>
  <si>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</si>
  <si>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</si>
  <si>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</si>
  <si>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</si>
  <si>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</si>
  <si>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</si>
  <si>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</si>
  <si>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</si>
  <si>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</si>
  <si>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Base Scripts - w/o Exclusions - Mail - Brand - Base - Non-Maintenance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</si>
  <si>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</si>
  <si>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</si>
  <si>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</si>
  <si>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</si>
  <si>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</si>
  <si>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</si>
  <si>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</si>
  <si>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Base Scripts - w/o Exclusions - Mail - Brand - Base - Total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</si>
  <si>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</si>
  <si>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</si>
  <si>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</si>
  <si>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</si>
  <si>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</si>
  <si>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</si>
  <si>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</si>
  <si>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</si>
  <si>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</si>
  <si>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</si>
  <si>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</si>
  <si>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</si>
  <si>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</si>
  <si>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</si>
  <si>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</si>
  <si>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</si>
  <si>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</si>
  <si>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</si>
  <si>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</si>
  <si>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</si>
  <si>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</si>
  <si>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</si>
  <si>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</si>
  <si>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</si>
  <si>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</si>
  <si>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</si>
  <si>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</si>
  <si>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</si>
  <si>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</si>
  <si>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</si>
  <si>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</si>
  <si>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</si>
  <si>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</si>
  <si>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</si>
  <si>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</si>
  <si>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</si>
  <si>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</si>
  <si>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</si>
  <si>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</si>
  <si>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</si>
  <si>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</si>
  <si>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</si>
  <si>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</si>
  <si>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</si>
  <si>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</si>
  <si>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</si>
  <si>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</si>
  <si>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</si>
  <si>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</si>
  <si>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</si>
  <si>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</si>
  <si>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</si>
  <si>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</si>
  <si>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</si>
  <si>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</si>
  <si>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</si>
  <si>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</si>
  <si>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</si>
  <si>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</si>
  <si>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</si>
  <si>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</si>
  <si>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</si>
  <si>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</si>
  <si>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</si>
  <si>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</si>
  <si>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</si>
  <si>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</si>
  <si>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</si>
  <si>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</si>
  <si>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</si>
  <si>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</si>
  <si>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</si>
  <si>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</si>
  <si>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</si>
  <si>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</si>
  <si>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</si>
  <si>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</si>
  <si>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</si>
  <si>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</si>
  <si>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</si>
  <si>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</si>
  <si>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</si>
  <si>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</si>
  <si>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</si>
  <si>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</si>
  <si>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</si>
  <si>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</si>
  <si>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</si>
  <si>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</si>
  <si>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</si>
  <si>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</si>
  <si>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</si>
  <si>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</si>
  <si>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</si>
  <si>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</si>
  <si>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</si>
  <si>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</si>
  <si>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</si>
  <si>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</si>
  <si>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</si>
  <si>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</si>
  <si>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</si>
  <si>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</si>
  <si>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</si>
  <si>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</si>
  <si>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</si>
  <si>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</si>
  <si>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</si>
  <si>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</si>
  <si>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</si>
  <si>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</si>
  <si>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</si>
  <si>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</si>
  <si>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</si>
  <si>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</si>
  <si>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</si>
  <si>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</si>
  <si>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</si>
  <si>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</si>
  <si>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</si>
  <si>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</si>
  <si>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</si>
  <si>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</si>
  <si>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</si>
  <si>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</si>
  <si>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</si>
  <si>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</si>
  <si>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</si>
  <si>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</si>
  <si>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</si>
  <si>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</si>
  <si>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</si>
  <si>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</si>
  <si>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</si>
  <si>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</si>
  <si>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</si>
  <si>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</si>
  <si>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</si>
  <si>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</si>
  <si>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</si>
  <si>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</si>
  <si>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</si>
  <si>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</si>
  <si>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</si>
  <si>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</si>
  <si>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</si>
  <si>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</si>
  <si>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</si>
  <si>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</si>
  <si>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</si>
  <si>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</si>
  <si>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</si>
  <si>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</si>
  <si>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</si>
  <si>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</si>
  <si>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</si>
  <si>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</si>
  <si>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</si>
  <si>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</si>
  <si>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</si>
  <si>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</si>
  <si>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</si>
  <si>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</si>
  <si>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</si>
  <si>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</si>
  <si>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</si>
  <si>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</si>
  <si>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</si>
  <si>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</si>
  <si>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</si>
  <si>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</si>
  <si>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</si>
  <si>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</si>
  <si>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</si>
  <si>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</si>
  <si>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</si>
  <si>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</si>
  <si>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</si>
  <si>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</si>
  <si>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</si>
  <si>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</si>
  <si>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</si>
  <si>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</si>
  <si>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</si>
  <si>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</si>
  <si>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</si>
  <si>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</si>
  <si>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</si>
  <si>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</si>
  <si>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</si>
  <si>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</si>
  <si>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</si>
  <si>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</si>
  <si>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</si>
  <si>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</si>
  <si>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</si>
  <si>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</si>
  <si>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</si>
  <si>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</si>
  <si>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</si>
  <si>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</si>
  <si>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</si>
  <si>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</si>
  <si>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</si>
  <si>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</si>
  <si>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</si>
  <si>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</si>
  <si>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</si>
  <si>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</si>
  <si>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</si>
  <si>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</si>
  <si>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</si>
  <si>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</si>
  <si>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</si>
  <si>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</si>
  <si>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</si>
  <si>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</si>
  <si>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</si>
  <si>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</si>
  <si>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</si>
  <si>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</si>
  <si>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</si>
  <si>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</si>
  <si>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</si>
  <si>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</si>
  <si>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</si>
  <si>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</si>
  <si>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</si>
  <si>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</si>
  <si>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</si>
  <si>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</si>
  <si>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</si>
  <si>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</si>
  <si>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</si>
  <si>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</si>
  <si>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</si>
  <si>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</si>
  <si>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</si>
  <si>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</si>
  <si>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</si>
  <si>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</si>
  <si>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</si>
  <si>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</si>
  <si>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</si>
  <si>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</si>
  <si>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</si>
  <si>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</si>
  <si>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</si>
  <si>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</si>
  <si>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</si>
  <si>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</si>
  <si>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</si>
  <si>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</si>
  <si>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</si>
  <si>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</si>
  <si>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</si>
  <si>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</si>
  <si>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</si>
  <si>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</si>
  <si>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</si>
  <si>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</si>
  <si>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</si>
  <si>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</si>
  <si>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</si>
  <si>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</si>
  <si>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</si>
  <si>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</si>
  <si>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</si>
  <si>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</si>
  <si>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</si>
  <si>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</si>
  <si>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</si>
  <si>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</si>
  <si>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</si>
  <si>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</si>
  <si>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</si>
  <si>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</si>
  <si>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</si>
  <si>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</si>
  <si>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</si>
  <si>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</si>
  <si>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</si>
  <si>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</si>
  <si>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</si>
  <si>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</si>
  <si>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</si>
  <si>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</si>
  <si>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</si>
  <si>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</si>
  <si>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</si>
  <si>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</si>
  <si>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</si>
  <si>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</si>
  <si>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</si>
  <si>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</si>
  <si>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</si>
  <si>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</si>
  <si>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</si>
  <si>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</si>
  <si>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</si>
  <si>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</si>
  <si>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</si>
  <si>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</si>
  <si>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</si>
  <si>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</si>
  <si>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</si>
  <si>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</si>
  <si>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</si>
  <si>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</si>
  <si>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</si>
  <si>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</si>
  <si>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</si>
  <si>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</si>
  <si>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</si>
  <si>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</si>
  <si>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</si>
  <si>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</si>
  <si>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</si>
  <si>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</si>
  <si>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</si>
  <si>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</si>
  <si>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</si>
  <si>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</si>
  <si>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</si>
  <si>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</si>
  <si>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</si>
  <si>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</si>
  <si>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</si>
  <si>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</si>
  <si>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</si>
  <si>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</si>
  <si>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</si>
  <si>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</si>
  <si>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</si>
  <si>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</si>
  <si>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</si>
  <si>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</si>
  <si>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</si>
  <si>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</si>
  <si>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</si>
  <si>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</si>
  <si>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</si>
  <si>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</si>
  <si>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</si>
  <si>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</si>
  <si>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</si>
  <si>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</si>
  <si>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</si>
  <si>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</si>
  <si>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</si>
  <si>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</si>
  <si>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</si>
  <si>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</si>
  <si>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</si>
  <si>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</si>
  <si>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</si>
  <si>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</si>
  <si>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</si>
  <si>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</si>
  <si>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</si>
  <si>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</si>
  <si>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</si>
  <si>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</si>
  <si>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</si>
  <si>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</si>
  <si>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</si>
  <si>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</si>
  <si>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</si>
  <si>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</si>
  <si>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</si>
  <si>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</si>
  <si>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</si>
  <si>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</si>
  <si>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</si>
  <si>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</si>
  <si>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</si>
  <si>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</si>
  <si>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</si>
  <si>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</si>
  <si>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</si>
  <si>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</si>
  <si>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</si>
  <si>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</si>
  <si>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</si>
  <si>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</si>
  <si>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</si>
  <si>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</si>
  <si>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</si>
  <si>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</si>
  <si>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</si>
  <si>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</si>
  <si>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</si>
  <si>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</si>
  <si>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</si>
  <si>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</si>
  <si>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</si>
  <si>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</si>
  <si>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</si>
  <si>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</si>
  <si>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</si>
  <si>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</si>
  <si>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</si>
  <si>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</si>
  <si>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</si>
  <si>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</si>
  <si>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</si>
  <si>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</si>
  <si>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</si>
  <si>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</si>
  <si>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</si>
  <si>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</si>
  <si>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</si>
  <si>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</si>
  <si>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</si>
  <si>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</si>
  <si>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</si>
  <si>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</si>
  <si>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</si>
  <si>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</si>
  <si>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</si>
  <si>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</si>
  <si>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</si>
  <si>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</si>
  <si>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</si>
  <si>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</si>
  <si>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</si>
  <si>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</si>
  <si>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</si>
  <si>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</si>
  <si>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</si>
  <si>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</si>
  <si>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</si>
  <si>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</si>
  <si>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</si>
  <si>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</si>
  <si>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</si>
  <si>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</si>
  <si>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</si>
  <si>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</si>
  <si>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</si>
  <si>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</si>
  <si>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</si>
  <si>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</si>
  <si>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</si>
  <si>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</si>
  <si>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</si>
  <si>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</si>
  <si>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</si>
  <si>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</si>
  <si>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</si>
  <si>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</si>
  <si>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</si>
  <si>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</si>
  <si>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</si>
  <si>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</si>
  <si>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</si>
  <si>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</si>
  <si>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</si>
  <si>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</si>
  <si>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</si>
  <si>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</si>
  <si>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</si>
  <si>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</si>
  <si>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</si>
  <si>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</si>
  <si>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</si>
  <si>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</si>
  <si>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</si>
  <si>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</si>
  <si>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</si>
  <si>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</si>
  <si>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</si>
  <si>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</si>
  <si>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</si>
  <si>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</si>
  <si>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</si>
  <si>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</si>
  <si>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</si>
  <si>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</si>
  <si>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</si>
  <si>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</si>
  <si>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</si>
  <si>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</si>
  <si>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</si>
  <si>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</si>
  <si>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</si>
  <si>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</si>
  <si>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</si>
  <si>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</si>
  <si>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</si>
  <si>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</si>
  <si>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</si>
  <si>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</si>
  <si>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</si>
  <si>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</si>
  <si>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</si>
  <si>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</si>
  <si>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</si>
  <si>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</si>
  <si>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</si>
  <si>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</si>
  <si>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</si>
  <si>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</si>
  <si>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</si>
  <si>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</si>
  <si>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</si>
  <si>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</si>
  <si>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</si>
  <si>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</si>
  <si>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</si>
  <si>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</si>
  <si>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</si>
  <si>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</si>
  <si>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</si>
  <si>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</si>
  <si>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</si>
  <si>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</si>
  <si>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</si>
  <si>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</si>
  <si>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</si>
  <si>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</si>
  <si>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</si>
  <si>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</si>
  <si>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</si>
  <si>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</si>
  <si>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</si>
  <si>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</si>
  <si>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</si>
  <si>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</si>
  <si>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</si>
  <si>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</si>
  <si>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</si>
  <si>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</si>
  <si>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</si>
  <si>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</si>
  <si>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</si>
  <si>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</si>
  <si>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</si>
  <si>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</si>
  <si>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</si>
  <si>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</si>
  <si>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</si>
  <si>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</si>
  <si>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</si>
  <si>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</si>
  <si>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</si>
  <si>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</si>
  <si>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</si>
  <si>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</si>
  <si>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</si>
  <si>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</si>
  <si>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</si>
  <si>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</si>
  <si>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</si>
  <si>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</si>
  <si>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</si>
  <si>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</si>
  <si>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</si>
  <si>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</si>
  <si>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</si>
  <si>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</si>
  <si>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</si>
  <si>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</si>
  <si>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</si>
  <si>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</si>
  <si>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</si>
  <si>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</si>
  <si>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</si>
  <si>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</si>
  <si>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</si>
  <si>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</si>
  <si>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</si>
  <si>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</si>
  <si>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</si>
  <si>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</si>
  <si>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</si>
  <si>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</si>
  <si>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</si>
  <si>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</si>
  <si>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</si>
  <si>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</si>
  <si>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</si>
  <si>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</si>
  <si>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</si>
  <si>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</si>
  <si>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</si>
  <si>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</si>
  <si>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</si>
  <si>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</si>
  <si>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</si>
  <si>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</si>
  <si>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</si>
  <si>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</si>
  <si>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</si>
  <si>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</si>
  <si>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</si>
  <si>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</si>
  <si>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</si>
  <si>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</si>
  <si>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</si>
  <si>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</si>
  <si>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</si>
  <si>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</si>
  <si>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</si>
  <si>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</si>
  <si>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</si>
  <si>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</si>
  <si>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</si>
  <si>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</si>
  <si>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</si>
  <si>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</si>
  <si>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</si>
  <si>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</si>
  <si>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</si>
  <si>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</si>
  <si>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</si>
  <si>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</si>
  <si>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</si>
  <si>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</si>
  <si>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</si>
  <si>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</si>
  <si>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</si>
  <si>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</si>
  <si>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</si>
  <si>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</si>
  <si>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</si>
  <si>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</si>
  <si>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</si>
  <si>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</si>
  <si>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</si>
  <si>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</si>
  <si>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</si>
  <si>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</si>
  <si>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</si>
  <si>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</si>
  <si>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</si>
  <si>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</si>
  <si>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</si>
  <si>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</si>
  <si>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</si>
  <si>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</si>
  <si>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</si>
  <si>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</si>
  <si>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</si>
  <si>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</si>
  <si>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</si>
  <si>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</si>
  <si>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</si>
  <si>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</si>
  <si>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</si>
  <si>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</si>
  <si>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</si>
  <si>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</si>
  <si>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</si>
  <si>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</si>
  <si>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</si>
  <si>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</si>
  <si>
    <t>Y</t>
  </si>
  <si>
    <t>RPT8336655253428HQ</t>
  </si>
  <si>
    <t>2025-12-23T17:48:58.000+00:00</t>
  </si>
  <si>
    <t>N/A</t>
  </si>
  <si>
    <t>10/26 - 09/27</t>
  </si>
  <si>
    <t>10/27 - 09/28</t>
  </si>
  <si>
    <t>10/28 - 09/29</t>
  </si>
  <si>
    <t>10/29 - 09/30</t>
  </si>
  <si>
    <t>10/30 - 09/31</t>
  </si>
  <si>
    <t>10/01/2024</t>
  </si>
  <si>
    <t>09/30/2025</t>
  </si>
  <si>
    <t>Health Delegates Amwins Coast College Rebate Only</t>
  </si>
  <si>
    <t>Medicare D</t>
  </si>
  <si>
    <t>Gold 5 Tier</t>
  </si>
  <si>
    <t>MFP 2026</t>
  </si>
  <si>
    <t>Include</t>
  </si>
  <si>
    <t>IVIG,Narcolepsy,Nausea,Dupixent</t>
  </si>
  <si>
    <t>Sp</t>
  </si>
  <si>
    <t>Non-Sp</t>
  </si>
  <si>
    <t>https://repricingrequestform.optum.com/BGDefLookup/Override</t>
  </si>
  <si>
    <t>Standard</t>
  </si>
  <si>
    <t>No oGLP-1 Rebate Lift</t>
  </si>
  <si>
    <t>Yes</t>
  </si>
  <si>
    <t>No</t>
  </si>
  <si>
    <t>Medicare w Humira</t>
  </si>
  <si>
    <t>MFP 2026 list excluded</t>
  </si>
  <si>
    <t>&lt;N/A&gt;</t>
  </si>
  <si>
    <t>RPT7846672245493EJ</t>
  </si>
  <si>
    <t>MFP Included</t>
  </si>
  <si>
    <t>PTD Stelara Exclusive</t>
  </si>
  <si>
    <t>RPT2307771054698PL</t>
  </si>
  <si>
    <t>MFP 2026 &amp; 2027</t>
  </si>
  <si>
    <t>MFP 2026 &amp; 2027 lists excluded</t>
  </si>
  <si>
    <t>RPT4790517414883UF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</si>
</sst>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#,##0.000_);[Red]\(#,##0.000\)"/>
    <numFmt numFmtId="166" formatCode="&quot;$&quot;#,##0_);[Red]\(&quot;$&quot;#,##0\)"/>
    <numFmt numFmtId="168" formatCode="m/d/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i/>
      <sz val="10"/>
      <color rgb="FFFF0000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gray0625"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2" borderId="0" xfId="0" applyFont="1" applyFill="1"/>
    <xf numFmtId="0" fontId="3" fillId="3" borderId="0" xfId="0" applyFont="1" applyFill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4" borderId="0" xfId="0" applyFont="1" applyFill="1"/>
    <xf numFmtId="0" fontId="2" fillId="6" borderId="1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/>
    </xf>
    <xf numFmtId="0" fontId="7" fillId="0" borderId="0" xfId="0" applyFont="1" applyAlignment="1">
      <alignment horizontal="left" indent="1"/>
    </xf>
    <xf numFmtId="0" fontId="4" fillId="6" borderId="4" xfId="0" applyFont="1" applyFill="1" applyBorder="1" applyAlignment="1">
      <alignment horizontal="right"/>
    </xf>
    <xf numFmtId="14" fontId="2" fillId="6" borderId="4" xfId="0" applyNumberFormat="1" applyFont="1" applyFill="1" applyBorder="1" applyAlignment="1">
      <alignment horizontal="right"/>
    </xf>
    <xf numFmtId="14" fontId="4" fillId="5" borderId="4" xfId="0" applyNumberFormat="1" applyFont="1" applyFill="1" applyBorder="1" applyAlignment="1">
      <alignment horizontal="right"/>
    </xf>
    <xf numFmtId="0" fontId="2" fillId="7" borderId="4" xfId="0" applyFont="1" applyFill="1" applyBorder="1" applyAlignment="1">
      <alignment horizontal="right"/>
    </xf>
    <xf numFmtId="0" fontId="4" fillId="7" borderId="4" xfId="0" applyFont="1" applyFill="1" applyBorder="1" applyAlignment="1">
      <alignment horizontal="right"/>
    </xf>
    <xf numFmtId="0" fontId="0" fillId="8" borderId="0" xfId="0" applyFill="1"/>
    <xf numFmtId="14" fontId="2" fillId="9" borderId="4" xfId="0" applyNumberFormat="1" applyFont="1" applyFill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left" indent="1"/>
      <protection locked="0"/>
    </xf>
    <xf numFmtId="0" fontId="2" fillId="5" borderId="4" xfId="0" applyFont="1" applyFill="1" applyBorder="1" applyAlignment="1">
      <alignment horizontal="right"/>
    </xf>
    <xf numFmtId="38" fontId="2" fillId="6" borderId="4" xfId="0" applyNumberFormat="1" applyFont="1" applyFill="1" applyBorder="1" applyAlignment="1">
      <alignment horizontal="right"/>
    </xf>
    <xf numFmtId="38" fontId="2" fillId="5" borderId="4" xfId="0" applyNumberFormat="1" applyFont="1" applyFill="1" applyBorder="1" applyAlignment="1">
      <alignment horizontal="right"/>
    </xf>
    <xf numFmtId="164" fontId="2" fillId="6" borderId="4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0" fontId="7" fillId="4" borderId="0" xfId="0" applyFont="1" applyFill="1" applyAlignment="1">
      <alignment horizontal="left"/>
    </xf>
    <xf numFmtId="165" fontId="2" fillId="6" borderId="4" xfId="0" applyNumberFormat="1" applyFont="1" applyFill="1" applyBorder="1" applyAlignment="1">
      <alignment horizontal="right"/>
    </xf>
    <xf numFmtId="165" fontId="2" fillId="5" borderId="4" xfId="0" applyNumberFormat="1" applyFont="1" applyFill="1" applyBorder="1" applyAlignment="1">
      <alignment horizontal="right"/>
    </xf>
    <xf numFmtId="166" fontId="2" fillId="6" borderId="4" xfId="0" applyNumberFormat="1" applyFont="1" applyFill="1" applyBorder="1" applyAlignment="1">
      <alignment horizontal="right"/>
    </xf>
    <xf numFmtId="166" fontId="2" fillId="5" borderId="4" xfId="0" applyNumberFormat="1" applyFont="1" applyFill="1" applyBorder="1" applyAlignment="1">
      <alignment horizontal="right"/>
    </xf>
    <xf numFmtId="164" fontId="2" fillId="6" borderId="2" xfId="0" applyNumberFormat="1" applyFont="1" applyFill="1" applyBorder="1" applyAlignment="1">
      <alignment horizontal="righ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43"/>
  <sheetViews>
    <sheetView tabSelected="1" topLeftCell="K74" workbookViewId="0">
      <selection activeCell="N80" sqref="N80"/>
    </sheetView>
  </sheetViews>
  <sheetFormatPr defaultRowHeight="14.5" x14ac:dyDescent="0.35"/>
  <cols>
    <col min="1" max="1" width="47.08984375" bestFit="1" customWidth="1"/>
    <col min="3" max="3" width="10.08984375" bestFit="1" customWidth="1"/>
    <col min="7" max="7" width="22" bestFit="1" customWidth="1"/>
    <col min="11" max="11" width="49.81640625" bestFit="1" customWidth="1"/>
    <col min="12" max="12" width="49.81640625" style="22" bestFit="1" customWidth="1"/>
    <col min="13" max="13" width="49.81640625" customWidth="1"/>
    <col min="14" max="14" width="49.81640625" style="22" bestFit="1" customWidth="1"/>
    <col min="15" max="30" width="8.6328125" style="22" bestFit="1" customWidth="1"/>
  </cols>
  <sheetData>
    <row r="1" spans="1:14" ht="17.399999999999999" customHeight="1" x14ac:dyDescent="0.4">
      <c r="A1" s="1" t="s">
        <v>0</v>
      </c>
      <c r="B1" s="2"/>
      <c r="C1" s="3"/>
      <c r="D1" s="2"/>
      <c r="E1" s="4"/>
      <c r="F1" s="2"/>
      <c r="G1" s="5" t="s">
        <v>1</v>
      </c>
      <c r="H1" s="2"/>
      <c r="I1" s="4"/>
      <c r="J1" s="2"/>
      <c r="K1" s="5" t="s">
        <v>2</v>
      </c>
      <c r="L1" s="5"/>
      <c r="M1" s="5"/>
      <c r="N1" s="5"/>
    </row>
    <row r="2" spans="1:14" x14ac:dyDescent="0.35">
      <c r="A2" s="6" t="s">
        <v>3</v>
      </c>
      <c r="B2" s="2"/>
      <c r="C2" s="2"/>
      <c r="D2" s="2"/>
      <c r="E2" s="4"/>
      <c r="F2" s="2"/>
      <c r="G2" s="2"/>
      <c r="H2" s="2"/>
      <c r="I2" s="4"/>
      <c r="J2" s="2"/>
      <c r="K2" s="7" t="s">
        <v>4</v>
      </c>
      <c r="L2" s="7" t="s">
        <v>5</v>
      </c>
      <c r="M2" s="7" t="s">
        <v>6</v>
      </c>
      <c r="N2" s="7" t="s">
        <v>7</v>
      </c>
    </row>
    <row r="3" spans="1:14" ht="27" customHeight="1" x14ac:dyDescent="0.35">
      <c r="A3" s="2"/>
      <c r="B3" s="2"/>
      <c r="C3" s="8" t="s">
        <v>8</v>
      </c>
      <c r="D3" s="2"/>
      <c r="E3" s="4"/>
      <c r="F3" s="2"/>
      <c r="G3" s="8" t="s">
        <v>8</v>
      </c>
      <c r="H3" s="2"/>
      <c r="I3" s="4"/>
      <c r="J3" s="2"/>
      <c r="K3" s="8" t="s">
        <v>9</v>
      </c>
      <c r="L3" s="8" t="s">
        <v>9</v>
      </c>
      <c r="M3" s="8" t="s">
        <v>9</v>
      </c>
      <c r="N3" s="8" t="s">
        <v>9</v>
      </c>
    </row>
    <row r="4" spans="1:14" x14ac:dyDescent="0.35">
      <c r="A4" s="2"/>
      <c r="B4" s="2"/>
      <c r="C4" s="9"/>
      <c r="D4" s="2"/>
      <c r="E4" s="4"/>
      <c r="F4" s="2"/>
      <c r="G4" s="9"/>
      <c r="H4" s="2"/>
      <c r="I4" s="4"/>
      <c r="J4" s="2"/>
      <c r="K4" s="9"/>
      <c r="L4" s="9"/>
      <c r="M4" s="9"/>
      <c r="N4" s="9"/>
    </row>
    <row r="5" spans="1:14" x14ac:dyDescent="0.35">
      <c r="A5" s="2"/>
      <c r="B5" s="2"/>
      <c r="C5" s="10" t="s">
        <v>10</v>
      </c>
      <c r="D5" s="2"/>
      <c r="E5" s="4"/>
      <c r="F5" s="2"/>
      <c r="G5" s="11" t="s">
        <v>11</v>
      </c>
      <c r="H5" s="2"/>
      <c r="I5" s="4"/>
      <c r="J5" s="2"/>
      <c r="K5" s="11">
        <v>1</v>
      </c>
      <c r="L5" s="11">
        <v>2</v>
      </c>
      <c r="M5" s="11">
        <v>3</v>
      </c>
      <c r="N5" s="11">
        <v>4</v>
      </c>
    </row>
    <row r="6" spans="1:14" x14ac:dyDescent="0.35">
      <c r="A6" s="12" t="s">
        <v>12</v>
      </c>
      <c r="B6" s="2"/>
      <c r="C6" s="13"/>
      <c r="D6" s="2"/>
      <c r="E6" s="4"/>
      <c r="F6" s="2"/>
      <c r="G6" s="14"/>
      <c r="H6" s="2"/>
      <c r="I6" s="4"/>
      <c r="J6" s="2"/>
      <c r="K6" s="15" t="str">
        <f>IF('RPT1'!$J6="","",'RPT1'!$J6)</f>
        <v/>
      </c>
      <c r="L6" s="15" t="str">
        <f>IF('RPT2'!$J6="","",'RPT2'!$J6)</f>
        <v/>
      </c>
      <c r="M6" s="15" t="str">
        <f>IF('RPT3'!$J6="","",'RPT3'!$J6)</f>
        <v/>
      </c>
      <c r="N6" s="15" t="str">
        <f>IF('RPT4'!$J6="","",'RPT4'!$J6)</f>
        <v/>
      </c>
    </row>
    <row r="7" spans="1:14" x14ac:dyDescent="0.35">
      <c r="A7" s="16" t="s">
        <v>13</v>
      </c>
      <c r="B7" s="2"/>
      <c r="C7" s="17"/>
      <c r="D7" s="2"/>
      <c r="E7" s="4"/>
      <c r="F7" s="2"/>
      <c r="G7" s="17"/>
      <c r="H7" s="2"/>
      <c r="I7" s="4"/>
      <c r="J7" s="2"/>
      <c r="K7" s="15" t="str">
        <f>IF('RPT1'!$J7="","",'RPT1'!$J7)</f>
        <v/>
      </c>
      <c r="L7" s="15" t="str">
        <f>IF('RPT2'!$J7="","",'RPT2'!$J7)</f>
        <v/>
      </c>
      <c r="M7" s="15" t="str">
        <f>IF('RPT3'!$J7="","",'RPT3'!$J7)</f>
        <v/>
      </c>
      <c r="N7" s="15" t="str">
        <f>IF('RPT4'!$J7="","",'RPT4'!$J7)</f>
        <v/>
      </c>
    </row>
    <row r="8" spans="1:14" x14ac:dyDescent="0.35">
      <c r="A8" s="16" t="s">
        <v>14</v>
      </c>
      <c r="B8" s="2"/>
      <c r="C8" s="14" t="str">
        <f t="shared" ref="C8:C39" si="0">IF(Combine="Y", $G8, 0)</f>
        <v>RPT8336655253428HQ</v>
      </c>
      <c r="D8" s="2"/>
      <c r="E8" s="4"/>
      <c r="F8" s="2"/>
      <c r="G8" s="14" t="str">
        <f>rng_pasteID</f>
        <v>RPT8336655253428HQ</v>
      </c>
      <c r="H8" s="2"/>
      <c r="I8" s="4"/>
      <c r="J8" s="2"/>
      <c r="K8" s="15" t="str">
        <f>IF('RPT1'!$J8="","",'RPT1'!$J8)</f>
        <v>RPT8336655253428HQ</v>
      </c>
      <c r="L8" s="15" t="str">
        <f>IF('RPT2'!$J8="","",'RPT2'!$J8)</f>
        <v>RPT7846672245493EJ</v>
      </c>
      <c r="M8" s="15" t="str">
        <f>IF('RPT3'!$J8="","",'RPT3'!$J8)</f>
        <v>RPT2307771054698PL</v>
      </c>
      <c r="N8" s="15" t="str">
        <f>IF('RPT4'!$J8="","",'RPT4'!$J8)</f>
        <v>RPT4790517414883UF</v>
      </c>
    </row>
    <row r="9" spans="1:14" x14ac:dyDescent="0.35">
      <c r="A9" s="16" t="s">
        <v>15</v>
      </c>
      <c r="B9" s="2"/>
      <c r="C9" s="18">
        <f t="shared" si="0"/>
        <v>46276.471163157803</v>
      </c>
      <c r="D9" s="2"/>
      <c r="E9" s="4"/>
      <c r="F9" s="2"/>
      <c r="G9" s="18">
        <f>'Output| Specialty RPT'!$B$5</f>
        <v>46276.471163157803</v>
      </c>
      <c r="H9" s="2"/>
      <c r="I9" s="4"/>
      <c r="J9" s="2"/>
      <c r="K9" s="19" t="str">
        <f>IF('RPT1'!$J9="","",'RPT1'!$J9)</f>
        <v>2025-12-23T17:48:58.000+00:00</v>
      </c>
      <c r="L9" s="19" t="str">
        <f>IF('RPT2'!$J9="","",'RPT2'!$J9)</f>
        <v>2025-12-23T17:48:58.000+00:00</v>
      </c>
      <c r="M9" s="19" t="str">
        <f>IF('RPT3'!$J9="","",'RPT3'!$J9)</f>
        <v>2025-12-23T17:48:58.000+00:00</v>
      </c>
      <c r="N9" s="19" t="str">
        <f>IF('RPT4'!$J9="","",'RPT4'!$J9)</f>
        <v>2025-12-23T17:48:58.000+00:00</v>
      </c>
    </row>
    <row r="10" spans="1:14" x14ac:dyDescent="0.35">
      <c r="A10" s="16" t="s">
        <v>16</v>
      </c>
      <c r="B10" s="2"/>
      <c r="C10" s="20" t="str">
        <f t="shared" si="0"/>
        <v>N/A</v>
      </c>
      <c r="D10" s="2"/>
      <c r="E10" s="4"/>
      <c r="F10" s="2"/>
      <c r="G10" s="20" t="str">
        <f t="shared" ref="G10:G51" si="1">IF($K10="[blank]", "[blank]", IF(AND(
IF($L10="[blank]",TRUE,$K10=$L10),
IF($M10="[blank]",TRUE,$K10=$M10),
IF($N10="[blank]",TRUE,$K10=$N10)), $K10, "Combined RPT"))</f>
        <v>N/A</v>
      </c>
      <c r="H10" s="2"/>
      <c r="I10" s="4"/>
      <c r="J10" s="2"/>
      <c r="K10" s="15" t="str">
        <f>IF('RPT1'!$J10="","",'RPT1'!$J10)</f>
        <v>N/A</v>
      </c>
      <c r="L10" s="15" t="str">
        <f>IF('RPT2'!$J10="","",'RPT2'!$J10)</f>
        <v>N/A</v>
      </c>
      <c r="M10" s="15" t="str">
        <f>IF('RPT3'!$J10="","",'RPT3'!$J10)</f>
        <v>N/A</v>
      </c>
      <c r="N10" s="15" t="str">
        <f>IF('RPT4'!$J10="","",'RPT4'!$J10)</f>
        <v>N/A</v>
      </c>
    </row>
    <row r="11" spans="1:14" x14ac:dyDescent="0.35">
      <c r="A11" s="16" t="s">
        <v>17</v>
      </c>
      <c r="B11" s="2"/>
      <c r="C11" s="17" t="str">
        <f t="shared" si="0"/>
        <v>10/26 - 09/27</v>
      </c>
      <c r="D11" s="2"/>
      <c r="E11" s="4"/>
      <c r="F11" s="2"/>
      <c r="G11" s="17" t="str">
        <f t="shared" si="1"/>
        <v>10/26 - 09/27</v>
      </c>
      <c r="H11" s="2"/>
      <c r="I11" s="4"/>
      <c r="J11" s="2"/>
      <c r="K11" s="15" t="str">
        <f>IF('RPT1'!$J11="","",'RPT1'!$J11)</f>
        <v>10/26 - 09/27</v>
      </c>
      <c r="L11" s="15" t="str">
        <f>IF('RPT2'!$J11="","",'RPT2'!$J11)</f>
        <v>10/26 - 09/27</v>
      </c>
      <c r="M11" s="15" t="str">
        <f>IF('RPT3'!$J11="","",'RPT3'!$J11)</f>
        <v>10/26 - 09/27</v>
      </c>
      <c r="N11" s="15" t="str">
        <f>IF('RPT4'!$J11="","",'RPT4'!$J11)</f>
        <v>10/26 - 09/27</v>
      </c>
    </row>
    <row r="12" spans="1:14" x14ac:dyDescent="0.35">
      <c r="A12" s="16" t="s">
        <v>18</v>
      </c>
      <c r="B12" s="2"/>
      <c r="C12" s="17" t="str">
        <f t="shared" si="0"/>
        <v>10/27 - 09/28</v>
      </c>
      <c r="D12" s="2"/>
      <c r="E12" s="4"/>
      <c r="F12" s="2"/>
      <c r="G12" s="17" t="str">
        <f t="shared" si="1"/>
        <v>10/27 - 09/28</v>
      </c>
      <c r="H12" s="2"/>
      <c r="I12" s="4"/>
      <c r="J12" s="2"/>
      <c r="K12" s="15" t="str">
        <f>IF('RPT1'!$J12="","",'RPT1'!$J12)</f>
        <v>10/27 - 09/28</v>
      </c>
      <c r="L12" s="15" t="str">
        <f>IF('RPT2'!$J12="","",'RPT2'!$J12)</f>
        <v>10/27 - 09/28</v>
      </c>
      <c r="M12" s="15" t="str">
        <f>IF('RPT3'!$J12="","",'RPT3'!$J12)</f>
        <v>10/27 - 09/28</v>
      </c>
      <c r="N12" s="15" t="str">
        <f>IF('RPT4'!$J12="","",'RPT4'!$J12)</f>
        <v>10/27 - 09/28</v>
      </c>
    </row>
    <row r="13" spans="1:14" x14ac:dyDescent="0.35">
      <c r="A13" s="16" t="s">
        <v>19</v>
      </c>
      <c r="B13" s="2"/>
      <c r="C13" s="17" t="str">
        <f t="shared" si="0"/>
        <v>10/28 - 09/29</v>
      </c>
      <c r="D13" s="2"/>
      <c r="E13" s="4"/>
      <c r="F13" s="2"/>
      <c r="G13" s="17" t="str">
        <f t="shared" si="1"/>
        <v>10/28 - 09/29</v>
      </c>
      <c r="H13" s="2"/>
      <c r="I13" s="4"/>
      <c r="J13" s="2"/>
      <c r="K13" s="15" t="str">
        <f>IF('RPT1'!$J13="","",'RPT1'!$J13)</f>
        <v>10/28 - 09/29</v>
      </c>
      <c r="L13" s="15" t="str">
        <f>IF('RPT2'!$J13="","",'RPT2'!$J13)</f>
        <v>10/28 - 09/29</v>
      </c>
      <c r="M13" s="15" t="str">
        <f>IF('RPT3'!$J13="","",'RPT3'!$J13)</f>
        <v>10/28 - 09/29</v>
      </c>
      <c r="N13" s="15" t="str">
        <f>IF('RPT4'!$J13="","",'RPT4'!$J13)</f>
        <v>10/28 - 09/29</v>
      </c>
    </row>
    <row r="14" spans="1:14" x14ac:dyDescent="0.35">
      <c r="A14" s="16" t="s">
        <v>20</v>
      </c>
      <c r="B14" s="2"/>
      <c r="C14" s="17" t="str">
        <f t="shared" si="0"/>
        <v>10/29 - 09/30</v>
      </c>
      <c r="D14" s="2"/>
      <c r="E14" s="4"/>
      <c r="F14" s="2"/>
      <c r="G14" s="17" t="str">
        <f t="shared" si="1"/>
        <v>10/29 - 09/30</v>
      </c>
      <c r="H14" s="2"/>
      <c r="I14" s="4"/>
      <c r="J14" s="2"/>
      <c r="K14" s="15" t="str">
        <f>IF('RPT1'!$J14="","",'RPT1'!$J14)</f>
        <v>10/29 - 09/30</v>
      </c>
      <c r="L14" s="15" t="str">
        <f>IF('RPT2'!$J14="","",'RPT2'!$J14)</f>
        <v>10/29 - 09/30</v>
      </c>
      <c r="M14" s="15" t="str">
        <f>IF('RPT3'!$J14="","",'RPT3'!$J14)</f>
        <v>10/29 - 09/30</v>
      </c>
      <c r="N14" s="15" t="str">
        <f>IF('RPT4'!$J14="","",'RPT4'!$J14)</f>
        <v>10/29 - 09/30</v>
      </c>
    </row>
    <row r="15" spans="1:14" x14ac:dyDescent="0.35">
      <c r="A15" s="16" t="s">
        <v>21</v>
      </c>
      <c r="B15" s="2"/>
      <c r="C15" s="17" t="str">
        <f t="shared" si="0"/>
        <v>10/30 - 09/31</v>
      </c>
      <c r="D15" s="2"/>
      <c r="E15" s="4"/>
      <c r="F15" s="2"/>
      <c r="G15" s="17" t="str">
        <f t="shared" si="1"/>
        <v>10/30 - 09/31</v>
      </c>
      <c r="H15" s="2"/>
      <c r="I15" s="4"/>
      <c r="J15" s="2"/>
      <c r="K15" s="15" t="str">
        <f>IF('RPT1'!$J15="","",'RPT1'!$J15)</f>
        <v>10/30 - 09/31</v>
      </c>
      <c r="L15" s="15" t="str">
        <f>IF('RPT2'!$J15="","",'RPT2'!$J15)</f>
        <v>10/30 - 09/31</v>
      </c>
      <c r="M15" s="15" t="str">
        <f>IF('RPT3'!$J15="","",'RPT3'!$J15)</f>
        <v>10/30 - 09/31</v>
      </c>
      <c r="N15" s="15" t="str">
        <f>IF('RPT4'!$J15="","",'RPT4'!$J15)</f>
        <v>10/30 - 09/31</v>
      </c>
    </row>
    <row r="16" spans="1:14" x14ac:dyDescent="0.35">
      <c r="A16" s="16" t="s">
        <v>22</v>
      </c>
      <c r="B16" s="2"/>
      <c r="C16" s="23" t="str">
        <f t="shared" si="0"/>
        <v>10/01/2024</v>
      </c>
      <c r="D16" s="2"/>
      <c r="E16" s="4"/>
      <c r="F16" s="2"/>
      <c r="G16" s="18" t="str">
        <f t="shared" si="1"/>
        <v>10/01/2024</v>
      </c>
      <c r="H16" s="2"/>
      <c r="I16" s="4"/>
      <c r="J16" s="2"/>
      <c r="K16" s="19" t="str">
        <f>IF('RPT1'!$J16="","",'RPT1'!$J16)</f>
        <v>10/01/2024</v>
      </c>
      <c r="L16" s="19" t="str">
        <f>IF('RPT2'!$J16="","",'RPT2'!$J16)</f>
        <v>10/01/2024</v>
      </c>
      <c r="M16" s="19" t="str">
        <f>IF('RPT3'!$J16="","",'RPT3'!$J16)</f>
        <v>10/01/2024</v>
      </c>
      <c r="N16" s="19" t="str">
        <f>IF('RPT4'!$J16="","",'RPT4'!$J16)</f>
        <v>10/01/2024</v>
      </c>
    </row>
    <row r="17" spans="1:14" x14ac:dyDescent="0.35">
      <c r="A17" s="16" t="s">
        <v>23</v>
      </c>
      <c r="B17" s="2"/>
      <c r="C17" s="23" t="str">
        <f t="shared" si="0"/>
        <v>09/30/2025</v>
      </c>
      <c r="D17" s="2"/>
      <c r="E17" s="4"/>
      <c r="F17" s="2"/>
      <c r="G17" s="18" t="str">
        <f t="shared" si="1"/>
        <v>09/30/2025</v>
      </c>
      <c r="H17" s="2"/>
      <c r="I17" s="4"/>
      <c r="J17" s="2"/>
      <c r="K17" s="19" t="str">
        <f>IF('RPT1'!$J17="","",'RPT1'!$J17)</f>
        <v>09/30/2025</v>
      </c>
      <c r="L17" s="19" t="str">
        <f>IF('RPT2'!$J17="","",'RPT2'!$J17)</f>
        <v>09/30/2025</v>
      </c>
      <c r="M17" s="19" t="str">
        <f>IF('RPT3'!$J17="","",'RPT3'!$J17)</f>
        <v>09/30/2025</v>
      </c>
      <c r="N17" s="19" t="str">
        <f>IF('RPT4'!$J17="","",'RPT4'!$J17)</f>
        <v>09/30/2025</v>
      </c>
    </row>
    <row r="18" spans="1:14" x14ac:dyDescent="0.35">
      <c r="A18" s="16" t="s">
        <v>24</v>
      </c>
      <c r="B18" s="2"/>
      <c r="C18" s="17" t="str">
        <f t="shared" si="0"/>
        <v>Health Delegates Amwins Coast College Rebate Only</v>
      </c>
      <c r="D18" s="2"/>
      <c r="E18" s="4"/>
      <c r="F18" s="2"/>
      <c r="G18" s="17" t="str">
        <f t="shared" si="1"/>
        <v>Health Delegates Amwins Coast College Rebate Only</v>
      </c>
      <c r="H18" s="2"/>
      <c r="I18" s="4"/>
      <c r="J18" s="2"/>
      <c r="K18" s="15" t="str">
        <f>IF('RPT1'!$J18="","",'RPT1'!$J18)</f>
        <v>Health Delegates Amwins Coast College Rebate Only</v>
      </c>
      <c r="L18" s="15" t="str">
        <f>IF('RPT2'!$J18="","",'RPT2'!$J18)</f>
        <v>Health Delegates Amwins Coast College Rebate Only</v>
      </c>
      <c r="M18" s="15" t="str">
        <f>IF('RPT3'!$J18="","",'RPT3'!$J18)</f>
        <v>Health Delegates Amwins Coast College Rebate Only</v>
      </c>
      <c r="N18" s="15" t="str">
        <f>IF('RPT4'!$J18="","",'RPT4'!$J18)</f>
        <v>Health Delegates Amwins Coast College Rebate Only</v>
      </c>
    </row>
    <row r="19" spans="1:14" x14ac:dyDescent="0.35">
      <c r="A19" s="16" t="s">
        <v>25</v>
      </c>
      <c r="B19" s="2"/>
      <c r="C19" s="17" t="str">
        <f t="shared" si="0"/>
        <v>Medicare D</v>
      </c>
      <c r="D19" s="2"/>
      <c r="E19" s="4"/>
      <c r="F19" s="2"/>
      <c r="G19" s="17" t="str">
        <f t="shared" si="1"/>
        <v>Medicare D</v>
      </c>
      <c r="H19" s="2"/>
      <c r="I19" s="4"/>
      <c r="J19" s="2"/>
      <c r="K19" s="15" t="str">
        <f>IF('RPT1'!$J19="","",'RPT1'!$J19)</f>
        <v>Medicare D</v>
      </c>
      <c r="L19" s="15" t="str">
        <f>IF('RPT2'!$J19="","",'RPT2'!$J19)</f>
        <v>Medicare D</v>
      </c>
      <c r="M19" s="15" t="str">
        <f>IF('RPT3'!$J19="","",'RPT3'!$J19)</f>
        <v>Medicare D</v>
      </c>
      <c r="N19" s="15" t="str">
        <f>IF('RPT4'!$J19="","",'RPT4'!$J19)</f>
        <v>Medicare D</v>
      </c>
    </row>
    <row r="20" spans="1:14" x14ac:dyDescent="0.35">
      <c r="A20" s="16" t="s">
        <v>26</v>
      </c>
      <c r="B20" s="2"/>
      <c r="C20" s="17" t="str">
        <f t="shared" si="0"/>
        <v>Gold 5 Tier</v>
      </c>
      <c r="D20" s="2"/>
      <c r="E20" s="4"/>
      <c r="F20" s="2"/>
      <c r="G20" s="17" t="str">
        <f t="shared" si="1"/>
        <v>Gold 5 Tier</v>
      </c>
      <c r="H20" s="2"/>
      <c r="I20" s="4"/>
      <c r="J20" s="2"/>
      <c r="K20" s="15" t="str">
        <f>IF('RPT1'!$J20="","",'RPT1'!$J20)</f>
        <v>Gold 5 Tier</v>
      </c>
      <c r="L20" s="15" t="str">
        <f>IF('RPT2'!$J20="","",'RPT2'!$J20)</f>
        <v>Gold 5 Tier</v>
      </c>
      <c r="M20" s="15" t="str">
        <f>IF('RPT3'!$J20="","",'RPT3'!$J20)</f>
        <v>Gold 5 Tier</v>
      </c>
      <c r="N20" s="15" t="str">
        <f>IF('RPT4'!$J20="","",'RPT4'!$J20)</f>
        <v>Gold 5 Tier</v>
      </c>
    </row>
    <row r="21" spans="1:14" x14ac:dyDescent="0.35">
      <c r="A21" s="16" t="s">
        <v>27</v>
      </c>
      <c r="B21" s="2"/>
      <c r="C21" s="17" t="str">
        <f t="shared" si="0"/>
        <v>Combined RPT</v>
      </c>
      <c r="D21" s="2"/>
      <c r="E21" s="4"/>
      <c r="F21" s="2"/>
      <c r="G21" s="17" t="str">
        <f t="shared" si="1"/>
        <v>Combined RPT</v>
      </c>
      <c r="H21" s="2"/>
      <c r="I21" s="4"/>
      <c r="J21" s="2"/>
      <c r="K21" s="15" t="str">
        <f>IF('RPT1'!$J21="","",'RPT1'!$J21)</f>
        <v>MFP 2026</v>
      </c>
      <c r="L21" s="15" t="str">
        <f>IF('RPT2'!$J21="","",'RPT2'!$J21)</f>
        <v/>
      </c>
      <c r="M21" s="15" t="str">
        <f>IF('RPT3'!$J21="","",'RPT3'!$J21)</f>
        <v>MFP 2026 &amp; 2027</v>
      </c>
      <c r="N21" s="15" t="str">
        <f>IF('RPT4'!$J21="","",'RPT4'!$J21)</f>
        <v>MFP 2026 &amp; 2027</v>
      </c>
    </row>
    <row r="22" spans="1:14" x14ac:dyDescent="0.35">
      <c r="A22" s="16" t="s">
        <v>28</v>
      </c>
      <c r="B22" s="2"/>
      <c r="C22" s="17" t="str">
        <f t="shared" si="0"/>
        <v>Include</v>
      </c>
      <c r="D22" s="2"/>
      <c r="E22" s="4"/>
      <c r="F22" s="2"/>
      <c r="G22" s="17" t="str">
        <f t="shared" si="1"/>
        <v>Include</v>
      </c>
      <c r="H22" s="2"/>
      <c r="I22" s="4"/>
      <c r="J22" s="2"/>
      <c r="K22" s="15" t="str">
        <f>IF('RPT1'!$J22="","",'RPT1'!$J22)</f>
        <v>Include</v>
      </c>
      <c r="L22" s="15" t="str">
        <f>IF('RPT2'!$J22="","",'RPT2'!$J22)</f>
        <v>Include</v>
      </c>
      <c r="M22" s="15" t="str">
        <f>IF('RPT3'!$J22="","",'RPT3'!$J22)</f>
        <v>Include</v>
      </c>
      <c r="N22" s="15" t="str">
        <f>IF('RPT4'!$J22="","",'RPT4'!$J22)</f>
        <v>Include</v>
      </c>
    </row>
    <row r="23" spans="1:14" x14ac:dyDescent="0.35">
      <c r="A23" s="16" t="s">
        <v>29</v>
      </c>
      <c r="B23" s="2"/>
      <c r="C23" s="17" t="str">
        <f t="shared" si="0"/>
        <v>Include</v>
      </c>
      <c r="D23" s="2"/>
      <c r="E23" s="4"/>
      <c r="F23" s="2"/>
      <c r="G23" s="17" t="str">
        <f t="shared" si="1"/>
        <v>Include</v>
      </c>
      <c r="H23" s="2"/>
      <c r="I23" s="4"/>
      <c r="J23" s="2"/>
      <c r="K23" s="15" t="str">
        <f>IF('RPT1'!$J23="","",'RPT1'!$J23)</f>
        <v>Include</v>
      </c>
      <c r="L23" s="15" t="str">
        <f>IF('RPT2'!$J23="","",'RPT2'!$J23)</f>
        <v>Include</v>
      </c>
      <c r="M23" s="15" t="str">
        <f>IF('RPT3'!$J23="","",'RPT3'!$J23)</f>
        <v>Include</v>
      </c>
      <c r="N23" s="15" t="str">
        <f>IF('RPT4'!$J23="","",'RPT4'!$J23)</f>
        <v>Include</v>
      </c>
    </row>
    <row r="24" spans="1:14" x14ac:dyDescent="0.35">
      <c r="A24" s="16" t="s">
        <v>30</v>
      </c>
      <c r="B24" s="2"/>
      <c r="C24" s="17" t="str">
        <f t="shared" si="0"/>
        <v>Include</v>
      </c>
      <c r="D24" s="2"/>
      <c r="E24" s="4"/>
      <c r="F24" s="2"/>
      <c r="G24" s="17" t="str">
        <f t="shared" si="1"/>
        <v>Include</v>
      </c>
      <c r="H24" s="2"/>
      <c r="I24" s="4"/>
      <c r="J24" s="2"/>
      <c r="K24" s="15" t="str">
        <f>IF('RPT1'!$J24="","",'RPT1'!$J24)</f>
        <v>Include</v>
      </c>
      <c r="L24" s="15" t="str">
        <f>IF('RPT2'!$J24="","",'RPT2'!$J24)</f>
        <v>Include</v>
      </c>
      <c r="M24" s="15" t="str">
        <f>IF('RPT3'!$J24="","",'RPT3'!$J24)</f>
        <v>Include</v>
      </c>
      <c r="N24" s="15" t="str">
        <f>IF('RPT4'!$J24="","",'RPT4'!$J24)</f>
        <v>Include</v>
      </c>
    </row>
    <row r="25" spans="1:14" x14ac:dyDescent="0.35">
      <c r="A25" s="16" t="s">
        <v>31</v>
      </c>
      <c r="B25" s="2"/>
      <c r="C25" s="17" t="str">
        <f t="shared" si="0"/>
        <v>Include</v>
      </c>
      <c r="D25" s="2"/>
      <c r="E25" s="4"/>
      <c r="F25" s="2"/>
      <c r="G25" s="17" t="str">
        <f t="shared" si="1"/>
        <v>Include</v>
      </c>
      <c r="H25" s="2"/>
      <c r="I25" s="4"/>
      <c r="J25" s="2"/>
      <c r="K25" s="15" t="str">
        <f>IF('RPT1'!$J25="","",'RPT1'!$J25)</f>
        <v>Include</v>
      </c>
      <c r="L25" s="15" t="str">
        <f>IF('RPT2'!$J25="","",'RPT2'!$J25)</f>
        <v>Include</v>
      </c>
      <c r="M25" s="15" t="str">
        <f>IF('RPT3'!$J25="","",'RPT3'!$J25)</f>
        <v>Include</v>
      </c>
      <c r="N25" s="15" t="str">
        <f>IF('RPT4'!$J25="","",'RPT4'!$J25)</f>
        <v>Include</v>
      </c>
    </row>
    <row r="26" spans="1:14" x14ac:dyDescent="0.35">
      <c r="A26" s="16" t="s">
        <v>32</v>
      </c>
      <c r="B26" s="2"/>
      <c r="C26" s="17" t="str">
        <f t="shared" si="0"/>
        <v>Include</v>
      </c>
      <c r="D26" s="2"/>
      <c r="E26" s="4"/>
      <c r="F26" s="2"/>
      <c r="G26" s="17" t="str">
        <f t="shared" si="1"/>
        <v>Include</v>
      </c>
      <c r="H26" s="2"/>
      <c r="I26" s="4"/>
      <c r="J26" s="2"/>
      <c r="K26" s="15" t="str">
        <f>IF('RPT1'!$J26="","",'RPT1'!$J26)</f>
        <v>Include</v>
      </c>
      <c r="L26" s="15" t="str">
        <f>IF('RPT2'!$J26="","",'RPT2'!$J26)</f>
        <v>Include</v>
      </c>
      <c r="M26" s="15" t="str">
        <f>IF('RPT3'!$J26="","",'RPT3'!$J26)</f>
        <v>Include</v>
      </c>
      <c r="N26" s="15" t="str">
        <f>IF('RPT4'!$J26="","",'RPT4'!$J26)</f>
        <v>Include</v>
      </c>
    </row>
    <row r="27" spans="1:14" x14ac:dyDescent="0.35">
      <c r="A27" s="16" t="s">
        <v>33</v>
      </c>
      <c r="B27" s="2"/>
      <c r="C27" s="17" t="str">
        <f t="shared" si="0"/>
        <v>Include</v>
      </c>
      <c r="D27" s="2"/>
      <c r="E27" s="4"/>
      <c r="F27" s="2"/>
      <c r="G27" s="17" t="str">
        <f t="shared" si="1"/>
        <v>Include</v>
      </c>
      <c r="H27" s="2"/>
      <c r="I27" s="4"/>
      <c r="J27" s="2"/>
      <c r="K27" s="15" t="str">
        <f>IF('RPT1'!$J27="","",'RPT1'!$J27)</f>
        <v>Include</v>
      </c>
      <c r="L27" s="15" t="str">
        <f>IF('RPT2'!$J27="","",'RPT2'!$J27)</f>
        <v>Include</v>
      </c>
      <c r="M27" s="15" t="str">
        <f>IF('RPT3'!$J27="","",'RPT3'!$J27)</f>
        <v>Include</v>
      </c>
      <c r="N27" s="15" t="str">
        <f>IF('RPT4'!$J27="","",'RPT4'!$J27)</f>
        <v>Include</v>
      </c>
    </row>
    <row r="28" spans="1:14" x14ac:dyDescent="0.35">
      <c r="A28" s="16" t="s">
        <v>34</v>
      </c>
      <c r="B28" s="2"/>
      <c r="C28" s="17" t="str">
        <f t="shared" si="0"/>
        <v>Include</v>
      </c>
      <c r="D28" s="2"/>
      <c r="E28" s="4"/>
      <c r="F28" s="2"/>
      <c r="G28" s="17" t="str">
        <f t="shared" si="1"/>
        <v>Include</v>
      </c>
      <c r="H28" s="2"/>
      <c r="I28" s="4"/>
      <c r="J28" s="2"/>
      <c r="K28" s="15" t="str">
        <f>IF('RPT1'!$J28="","",'RPT1'!$J28)</f>
        <v>Include</v>
      </c>
      <c r="L28" s="15" t="str">
        <f>IF('RPT2'!$J28="","",'RPT2'!$J28)</f>
        <v>Include</v>
      </c>
      <c r="M28" s="15" t="str">
        <f>IF('RPT3'!$J28="","",'RPT3'!$J28)</f>
        <v>Include</v>
      </c>
      <c r="N28" s="15" t="str">
        <f>IF('RPT4'!$J28="","",'RPT4'!$J28)</f>
        <v>Include</v>
      </c>
    </row>
    <row r="29" spans="1:14" x14ac:dyDescent="0.35">
      <c r="A29" s="16" t="s">
        <v>35</v>
      </c>
      <c r="B29" s="2"/>
      <c r="C29" s="17" t="str">
        <f t="shared" si="0"/>
        <v>Include</v>
      </c>
      <c r="D29" s="2"/>
      <c r="E29" s="4"/>
      <c r="F29" s="2"/>
      <c r="G29" s="17" t="str">
        <f t="shared" si="1"/>
        <v>Include</v>
      </c>
      <c r="H29" s="2"/>
      <c r="I29" s="4"/>
      <c r="J29" s="2"/>
      <c r="K29" s="15" t="str">
        <f>IF('RPT1'!$J29="","",'RPT1'!$J29)</f>
        <v>Include</v>
      </c>
      <c r="L29" s="15" t="str">
        <f>IF('RPT2'!$J29="","",'RPT2'!$J29)</f>
        <v>Include</v>
      </c>
      <c r="M29" s="15" t="str">
        <f>IF('RPT3'!$J29="","",'RPT3'!$J29)</f>
        <v>Include</v>
      </c>
      <c r="N29" s="15" t="str">
        <f>IF('RPT4'!$J29="","",'RPT4'!$J29)</f>
        <v>Include</v>
      </c>
    </row>
    <row r="30" spans="1:14" x14ac:dyDescent="0.35">
      <c r="A30" s="16" t="s">
        <v>36</v>
      </c>
      <c r="B30" s="2"/>
      <c r="C30" s="17" t="str">
        <f t="shared" si="0"/>
        <v>Include</v>
      </c>
      <c r="D30" s="2"/>
      <c r="E30" s="4"/>
      <c r="F30" s="2"/>
      <c r="G30" s="17" t="str">
        <f t="shared" si="1"/>
        <v>Include</v>
      </c>
      <c r="H30" s="2"/>
      <c r="I30" s="4"/>
      <c r="J30" s="2"/>
      <c r="K30" s="15" t="str">
        <f>IF('RPT1'!$J30="","",'RPT1'!$J30)</f>
        <v>Include</v>
      </c>
      <c r="L30" s="15" t="str">
        <f>IF('RPT2'!$J30="","",'RPT2'!$J30)</f>
        <v>Include</v>
      </c>
      <c r="M30" s="15" t="str">
        <f>IF('RPT3'!$J30="","",'RPT3'!$J30)</f>
        <v>Include</v>
      </c>
      <c r="N30" s="15" t="str">
        <f>IF('RPT4'!$J30="","",'RPT4'!$J30)</f>
        <v>Include</v>
      </c>
    </row>
    <row r="31" spans="1:14" x14ac:dyDescent="0.35">
      <c r="A31" s="16" t="s">
        <v>37</v>
      </c>
      <c r="B31" s="2"/>
      <c r="C31" s="17" t="str">
        <f t="shared" si="0"/>
        <v>Include</v>
      </c>
      <c r="D31" s="2"/>
      <c r="E31" s="4"/>
      <c r="F31" s="2"/>
      <c r="G31" s="17" t="str">
        <f t="shared" si="1"/>
        <v>Include</v>
      </c>
      <c r="H31" s="2"/>
      <c r="I31" s="4"/>
      <c r="J31" s="2"/>
      <c r="K31" s="15" t="str">
        <f>IF('RPT1'!$J31="","",'RPT1'!$J31)</f>
        <v>Include</v>
      </c>
      <c r="L31" s="15" t="str">
        <f>IF('RPT2'!$J31="","",'RPT2'!$J31)</f>
        <v>Include</v>
      </c>
      <c r="M31" s="15" t="str">
        <f>IF('RPT3'!$J31="","",'RPT3'!$J31)</f>
        <v>Include</v>
      </c>
      <c r="N31" s="15" t="str">
        <f>IF('RPT4'!$J31="","",'RPT4'!$J31)</f>
        <v>Include</v>
      </c>
    </row>
    <row r="32" spans="1:14" x14ac:dyDescent="0.35">
      <c r="A32" s="16" t="s">
        <v>38</v>
      </c>
      <c r="B32" s="2"/>
      <c r="C32" s="17" t="str">
        <f t="shared" si="0"/>
        <v>Include</v>
      </c>
      <c r="D32" s="2"/>
      <c r="E32" s="4"/>
      <c r="F32" s="2"/>
      <c r="G32" s="17" t="str">
        <f t="shared" si="1"/>
        <v>Include</v>
      </c>
      <c r="H32" s="2"/>
      <c r="I32" s="4"/>
      <c r="J32" s="2"/>
      <c r="K32" s="15" t="str">
        <f>IF('RPT1'!$J32="","",'RPT1'!$J32)</f>
        <v>Include</v>
      </c>
      <c r="L32" s="15" t="str">
        <f>IF('RPT2'!$J32="","",'RPT2'!$J32)</f>
        <v>Include</v>
      </c>
      <c r="M32" s="15" t="str">
        <f>IF('RPT3'!$J32="","",'RPT3'!$J32)</f>
        <v>Include</v>
      </c>
      <c r="N32" s="15" t="str">
        <f>IF('RPT4'!$J32="","",'RPT4'!$J32)</f>
        <v>Include</v>
      </c>
    </row>
    <row r="33" spans="1:14" x14ac:dyDescent="0.35">
      <c r="A33" s="16" t="s">
        <v>39</v>
      </c>
      <c r="B33" s="2"/>
      <c r="C33" s="17" t="str">
        <f t="shared" si="0"/>
        <v>Include</v>
      </c>
      <c r="D33" s="2"/>
      <c r="E33" s="4"/>
      <c r="F33" s="2"/>
      <c r="G33" s="17" t="str">
        <f t="shared" si="1"/>
        <v>Include</v>
      </c>
      <c r="H33" s="2"/>
      <c r="I33" s="4"/>
      <c r="J33" s="2"/>
      <c r="K33" s="15" t="str">
        <f>IF('RPT1'!$J33="","",'RPT1'!$J33)</f>
        <v>Include</v>
      </c>
      <c r="L33" s="15" t="str">
        <f>IF('RPT2'!$J33="","",'RPT2'!$J33)</f>
        <v>Include</v>
      </c>
      <c r="M33" s="15" t="str">
        <f>IF('RPT3'!$J33="","",'RPT3'!$J33)</f>
        <v>Include</v>
      </c>
      <c r="N33" s="15" t="str">
        <f>IF('RPT4'!$J33="","",'RPT4'!$J33)</f>
        <v>Include</v>
      </c>
    </row>
    <row r="34" spans="1:14" x14ac:dyDescent="0.35">
      <c r="A34" s="16" t="s">
        <v>40</v>
      </c>
      <c r="B34" s="2"/>
      <c r="C34" s="17" t="str">
        <f t="shared" si="0"/>
        <v>Include</v>
      </c>
      <c r="D34" s="2"/>
      <c r="E34" s="4"/>
      <c r="F34" s="2"/>
      <c r="G34" s="17" t="str">
        <f t="shared" si="1"/>
        <v>Include</v>
      </c>
      <c r="H34" s="2"/>
      <c r="I34" s="4"/>
      <c r="J34" s="2"/>
      <c r="K34" s="15" t="str">
        <f>IF('RPT1'!$J34="","",'RPT1'!$J34)</f>
        <v>Include</v>
      </c>
      <c r="L34" s="15" t="str">
        <f>IF('RPT2'!$J34="","",'RPT2'!$J34)</f>
        <v>Include</v>
      </c>
      <c r="M34" s="15" t="str">
        <f>IF('RPT3'!$J34="","",'RPT3'!$J34)</f>
        <v>Include</v>
      </c>
      <c r="N34" s="15" t="str">
        <f>IF('RPT4'!$J34="","",'RPT4'!$J34)</f>
        <v>Include</v>
      </c>
    </row>
    <row r="35" spans="1:14" x14ac:dyDescent="0.35">
      <c r="A35" s="16" t="s">
        <v>41</v>
      </c>
      <c r="B35" s="2"/>
      <c r="C35" s="17" t="str">
        <f t="shared" si="0"/>
        <v>Include</v>
      </c>
      <c r="D35" s="2"/>
      <c r="E35" s="4"/>
      <c r="F35" s="2"/>
      <c r="G35" s="17" t="str">
        <f t="shared" si="1"/>
        <v>Include</v>
      </c>
      <c r="H35" s="2"/>
      <c r="I35" s="4"/>
      <c r="J35" s="2"/>
      <c r="K35" s="15" t="str">
        <f>IF('RPT1'!$J35="","",'RPT1'!$J35)</f>
        <v>Include</v>
      </c>
      <c r="L35" s="15" t="str">
        <f>IF('RPT2'!$J35="","",'RPT2'!$J35)</f>
        <v>Include</v>
      </c>
      <c r="M35" s="15" t="str">
        <f>IF('RPT3'!$J35="","",'RPT3'!$J35)</f>
        <v>Include</v>
      </c>
      <c r="N35" s="15" t="str">
        <f>IF('RPT4'!$J35="","",'RPT4'!$J35)</f>
        <v>Include</v>
      </c>
    </row>
    <row r="36" spans="1:14" x14ac:dyDescent="0.35">
      <c r="A36" s="16" t="s">
        <v>42</v>
      </c>
      <c r="B36" s="2"/>
      <c r="C36" s="17" t="str">
        <f t="shared" si="0"/>
        <v>Include</v>
      </c>
      <c r="D36" s="2"/>
      <c r="E36" s="4"/>
      <c r="F36" s="2"/>
      <c r="G36" s="17" t="str">
        <f t="shared" si="1"/>
        <v>Include</v>
      </c>
      <c r="H36" s="2"/>
      <c r="I36" s="4"/>
      <c r="J36" s="2"/>
      <c r="K36" s="15" t="str">
        <f>IF('RPT1'!$J36="","",'RPT1'!$J36)</f>
        <v>Include</v>
      </c>
      <c r="L36" s="15" t="str">
        <f>IF('RPT2'!$J36="","",'RPT2'!$J36)</f>
        <v>Include</v>
      </c>
      <c r="M36" s="15" t="str">
        <f>IF('RPT3'!$J36="","",'RPT3'!$J36)</f>
        <v>Include</v>
      </c>
      <c r="N36" s="15" t="str">
        <f>IF('RPT4'!$J36="","",'RPT4'!$J36)</f>
        <v>Include</v>
      </c>
    </row>
    <row r="37" spans="1:14" x14ac:dyDescent="0.35">
      <c r="A37" s="16" t="s">
        <v>43</v>
      </c>
      <c r="B37" s="2"/>
      <c r="C37" s="17" t="str">
        <f t="shared" si="0"/>
        <v>Include</v>
      </c>
      <c r="D37" s="2"/>
      <c r="E37" s="4"/>
      <c r="F37" s="2"/>
      <c r="G37" s="17" t="str">
        <f t="shared" si="1"/>
        <v>Include</v>
      </c>
      <c r="H37" s="2"/>
      <c r="I37" s="4"/>
      <c r="J37" s="2"/>
      <c r="K37" s="15" t="str">
        <f>IF('RPT1'!$J37="","",'RPT1'!$J37)</f>
        <v>Include</v>
      </c>
      <c r="L37" s="15" t="str">
        <f>IF('RPT2'!$J37="","",'RPT2'!$J37)</f>
        <v>Include</v>
      </c>
      <c r="M37" s="15" t="str">
        <f>IF('RPT3'!$J37="","",'RPT3'!$J37)</f>
        <v>Include</v>
      </c>
      <c r="N37" s="15" t="str">
        <f>IF('RPT4'!$J37="","",'RPT4'!$J37)</f>
        <v>Include</v>
      </c>
    </row>
    <row r="38" spans="1:14" x14ac:dyDescent="0.35">
      <c r="A38" s="16" t="s">
        <v>44</v>
      </c>
      <c r="B38" s="2"/>
      <c r="C38" s="17" t="str">
        <f t="shared" si="0"/>
        <v>N/A</v>
      </c>
      <c r="D38" s="2"/>
      <c r="E38" s="4"/>
      <c r="F38" s="2"/>
      <c r="G38" s="17" t="str">
        <f t="shared" si="1"/>
        <v>N/A</v>
      </c>
      <c r="H38" s="2"/>
      <c r="I38" s="4"/>
      <c r="J38" s="2"/>
      <c r="K38" s="15" t="str">
        <f>IF('RPT1'!$J38="","",'RPT1'!$J38)</f>
        <v>N/A</v>
      </c>
      <c r="L38" s="15" t="str">
        <f>IF('RPT2'!$J38="","",'RPT2'!$J38)</f>
        <v>N/A</v>
      </c>
      <c r="M38" s="15" t="str">
        <f>IF('RPT3'!$J38="","",'RPT3'!$J38)</f>
        <v>N/A</v>
      </c>
      <c r="N38" s="15" t="str">
        <f>IF('RPT4'!$J38="","",'RPT4'!$J38)</f>
        <v>N/A</v>
      </c>
    </row>
    <row r="39" spans="1:14" x14ac:dyDescent="0.35">
      <c r="A39" s="16" t="s">
        <v>45</v>
      </c>
      <c r="B39" s="2"/>
      <c r="C39" s="21" t="str">
        <f t="shared" si="0"/>
        <v>N/A</v>
      </c>
      <c r="D39" s="2"/>
      <c r="E39" s="4"/>
      <c r="F39" s="2"/>
      <c r="G39" s="21" t="str">
        <f t="shared" si="1"/>
        <v>N/A</v>
      </c>
      <c r="H39" s="2"/>
      <c r="I39" s="4"/>
      <c r="J39" s="2"/>
      <c r="K39" s="15" t="str">
        <f>IF('RPT1'!$J39="","",'RPT1'!$J39)</f>
        <v>N/A</v>
      </c>
      <c r="L39" s="15" t="str">
        <f>IF('RPT2'!$J39="","",'RPT2'!$J39)</f>
        <v>N/A</v>
      </c>
      <c r="M39" s="15" t="str">
        <f>IF('RPT3'!$J39="","",'RPT3'!$J39)</f>
        <v>N/A</v>
      </c>
      <c r="N39" s="15" t="str">
        <f>IF('RPT4'!$J39="","",'RPT4'!$J39)</f>
        <v>N/A</v>
      </c>
    </row>
    <row r="40" spans="1:14" x14ac:dyDescent="0.35">
      <c r="A40" s="16" t="s">
        <v>46</v>
      </c>
      <c r="B40" s="2"/>
      <c r="C40" s="17" t="str">
        <f t="shared" ref="C40:C71" si="2">IF(Combine="Y", $G40, 0)</f>
        <v>IVIG,Narcolepsy,Nausea,Dupixent</v>
      </c>
      <c r="D40" s="2"/>
      <c r="E40" s="4"/>
      <c r="F40" s="2"/>
      <c r="G40" s="17" t="str">
        <f t="shared" si="1"/>
        <v>IVIG,Narcolepsy,Nausea,Dupixent</v>
      </c>
      <c r="H40" s="2"/>
      <c r="I40" s="4"/>
      <c r="J40" s="2"/>
      <c r="K40" s="15" t="str">
        <f>IF('RPT1'!$J40="","",'RPT1'!$J40)</f>
        <v>IVIG,Narcolepsy,Nausea,Dupixent</v>
      </c>
      <c r="L40" s="15" t="str">
        <f>IF('RPT2'!$J40="","",'RPT2'!$J40)</f>
        <v>IVIG,Narcolepsy,Nausea,Dupixent</v>
      </c>
      <c r="M40" s="15" t="str">
        <f>IF('RPT3'!$J40="","",'RPT3'!$J40)</f>
        <v>IVIG,Narcolepsy,Nausea,Dupixent</v>
      </c>
      <c r="N40" s="15" t="str">
        <f>IF('RPT4'!$J40="","",'RPT4'!$J40)</f>
        <v>IVIG,Narcolepsy,Nausea,Dupixent</v>
      </c>
    </row>
    <row r="41" spans="1:14" x14ac:dyDescent="0.35">
      <c r="A41" s="16" t="s">
        <v>47</v>
      </c>
      <c r="B41" s="2"/>
      <c r="C41" s="17" t="str">
        <f t="shared" si="2"/>
        <v>Sp</v>
      </c>
      <c r="D41" s="2"/>
      <c r="E41" s="4"/>
      <c r="F41" s="2"/>
      <c r="G41" s="17" t="str">
        <f t="shared" si="1"/>
        <v>Sp</v>
      </c>
      <c r="H41" s="2"/>
      <c r="I41" s="4"/>
      <c r="J41" s="2"/>
      <c r="K41" s="15" t="str">
        <f>IF('RPT1'!$J41="","",'RPT1'!$J41)</f>
        <v>Sp</v>
      </c>
      <c r="L41" s="15" t="str">
        <f>IF('RPT2'!$J41="","",'RPT2'!$J41)</f>
        <v>Sp</v>
      </c>
      <c r="M41" s="15" t="str">
        <f>IF('RPT3'!$J41="","",'RPT3'!$J41)</f>
        <v>Sp</v>
      </c>
      <c r="N41" s="15" t="str">
        <f>IF('RPT4'!$J41="","",'RPT4'!$J41)</f>
        <v>Sp</v>
      </c>
    </row>
    <row r="42" spans="1:14" x14ac:dyDescent="0.35">
      <c r="A42" s="16" t="s">
        <v>48</v>
      </c>
      <c r="B42" s="2"/>
      <c r="C42" s="17" t="str">
        <f t="shared" si="2"/>
        <v>Sp</v>
      </c>
      <c r="D42" s="2"/>
      <c r="E42" s="4"/>
      <c r="F42" s="2"/>
      <c r="G42" s="17" t="str">
        <f t="shared" si="1"/>
        <v>Sp</v>
      </c>
      <c r="H42" s="2"/>
      <c r="I42" s="4"/>
      <c r="J42" s="2"/>
      <c r="K42" s="15" t="str">
        <f>IF('RPT1'!$J42="","",'RPT1'!$J42)</f>
        <v>Sp</v>
      </c>
      <c r="L42" s="15" t="str">
        <f>IF('RPT2'!$J42="","",'RPT2'!$J42)</f>
        <v>Sp</v>
      </c>
      <c r="M42" s="15" t="str">
        <f>IF('RPT3'!$J42="","",'RPT3'!$J42)</f>
        <v>Sp</v>
      </c>
      <c r="N42" s="15" t="str">
        <f>IF('RPT4'!$J42="","",'RPT4'!$J42)</f>
        <v>Sp</v>
      </c>
    </row>
    <row r="43" spans="1:14" x14ac:dyDescent="0.35">
      <c r="A43" s="16" t="s">
        <v>49</v>
      </c>
      <c r="B43" s="2"/>
      <c r="C43" s="17" t="str">
        <f t="shared" si="2"/>
        <v>Non-Sp</v>
      </c>
      <c r="D43" s="2"/>
      <c r="E43" s="4"/>
      <c r="F43" s="2"/>
      <c r="G43" s="17" t="str">
        <f t="shared" si="1"/>
        <v>Non-Sp</v>
      </c>
      <c r="H43" s="2"/>
      <c r="I43" s="4"/>
      <c r="J43" s="2"/>
      <c r="K43" s="15" t="str">
        <f>IF('RPT1'!$J43="","",'RPT1'!$J43)</f>
        <v>Non-Sp</v>
      </c>
      <c r="L43" s="15" t="str">
        <f>IF('RPT2'!$J43="","",'RPT2'!$J43)</f>
        <v>Non-Sp</v>
      </c>
      <c r="M43" s="15" t="str">
        <f>IF('RPT3'!$J43="","",'RPT3'!$J43)</f>
        <v>Non-Sp</v>
      </c>
      <c r="N43" s="15" t="str">
        <f>IF('RPT4'!$J43="","",'RPT4'!$J43)</f>
        <v>Non-Sp</v>
      </c>
    </row>
    <row r="44" spans="1:14" x14ac:dyDescent="0.35">
      <c r="A44" s="16" t="s">
        <v>50</v>
      </c>
      <c r="B44" s="2"/>
      <c r="C44" s="17" t="str">
        <f t="shared" si="2"/>
        <v>Non-Sp</v>
      </c>
      <c r="D44" s="2"/>
      <c r="E44" s="4"/>
      <c r="F44" s="2"/>
      <c r="G44" s="17" t="str">
        <f t="shared" si="1"/>
        <v>Non-Sp</v>
      </c>
      <c r="H44" s="2"/>
      <c r="I44" s="4"/>
      <c r="J44" s="2"/>
      <c r="K44" s="15" t="str">
        <f>IF('RPT1'!$J44="","",'RPT1'!$J44)</f>
        <v>Non-Sp</v>
      </c>
      <c r="L44" s="15" t="str">
        <f>IF('RPT2'!$J44="","",'RPT2'!$J44)</f>
        <v>Non-Sp</v>
      </c>
      <c r="M44" s="15" t="str">
        <f>IF('RPT3'!$J44="","",'RPT3'!$J44)</f>
        <v>Non-Sp</v>
      </c>
      <c r="N44" s="15" t="str">
        <f>IF('RPT4'!$J44="","",'RPT4'!$J44)</f>
        <v>Non-Sp</v>
      </c>
    </row>
    <row r="45" spans="1:14" x14ac:dyDescent="0.35">
      <c r="A45" s="16" t="s">
        <v>51</v>
      </c>
      <c r="B45" s="2"/>
      <c r="C45" s="17" t="str">
        <f t="shared" si="2"/>
        <v>Non-Sp</v>
      </c>
      <c r="D45" s="2"/>
      <c r="E45" s="4"/>
      <c r="F45" s="2"/>
      <c r="G45" s="17" t="str">
        <f t="shared" si="1"/>
        <v>Non-Sp</v>
      </c>
      <c r="H45" s="2"/>
      <c r="I45" s="4"/>
      <c r="J45" s="2"/>
      <c r="K45" s="15" t="str">
        <f>IF('RPT1'!$J45="","",'RPT1'!$J45)</f>
        <v>Non-Sp</v>
      </c>
      <c r="L45" s="15" t="str">
        <f>IF('RPT2'!$J45="","",'RPT2'!$J45)</f>
        <v>Non-Sp</v>
      </c>
      <c r="M45" s="15" t="str">
        <f>IF('RPT3'!$J45="","",'RPT3'!$J45)</f>
        <v>Non-Sp</v>
      </c>
      <c r="N45" s="15" t="str">
        <f>IF('RPT4'!$J45="","",'RPT4'!$J45)</f>
        <v>Non-Sp</v>
      </c>
    </row>
    <row r="46" spans="1:14" x14ac:dyDescent="0.35">
      <c r="A46" s="16" t="s">
        <v>52</v>
      </c>
      <c r="B46" s="2"/>
      <c r="C46" s="17" t="str">
        <f t="shared" si="2"/>
        <v>Sp</v>
      </c>
      <c r="D46" s="2"/>
      <c r="E46" s="4"/>
      <c r="F46" s="2"/>
      <c r="G46" s="17" t="str">
        <f t="shared" si="1"/>
        <v>Sp</v>
      </c>
      <c r="H46" s="2"/>
      <c r="I46" s="4"/>
      <c r="J46" s="2"/>
      <c r="K46" s="15" t="str">
        <f>IF('RPT1'!$J46="","",'RPT1'!$J46)</f>
        <v>Sp</v>
      </c>
      <c r="L46" s="15" t="str">
        <f>IF('RPT2'!$J46="","",'RPT2'!$J46)</f>
        <v>Sp</v>
      </c>
      <c r="M46" s="15" t="str">
        <f>IF('RPT3'!$J46="","",'RPT3'!$J46)</f>
        <v>Sp</v>
      </c>
      <c r="N46" s="15" t="str">
        <f>IF('RPT4'!$J46="","",'RPT4'!$J46)</f>
        <v>Sp</v>
      </c>
    </row>
    <row r="47" spans="1:14" x14ac:dyDescent="0.35">
      <c r="A47" s="16" t="s">
        <v>53</v>
      </c>
      <c r="B47" s="2"/>
      <c r="C47" s="17" t="str">
        <f t="shared" si="2"/>
        <v>Sp</v>
      </c>
      <c r="D47" s="2"/>
      <c r="E47" s="4"/>
      <c r="F47" s="2"/>
      <c r="G47" s="17" t="str">
        <f t="shared" si="1"/>
        <v>Sp</v>
      </c>
      <c r="H47" s="2"/>
      <c r="I47" s="4"/>
      <c r="J47" s="2"/>
      <c r="K47" s="15" t="str">
        <f>IF('RPT1'!$J47="","",'RPT1'!$J47)</f>
        <v>Sp</v>
      </c>
      <c r="L47" s="15" t="str">
        <f>IF('RPT2'!$J47="","",'RPT2'!$J47)</f>
        <v>Sp</v>
      </c>
      <c r="M47" s="15" t="str">
        <f>IF('RPT3'!$J47="","",'RPT3'!$J47)</f>
        <v>Sp</v>
      </c>
      <c r="N47" s="15" t="str">
        <f>IF('RPT4'!$J47="","",'RPT4'!$J47)</f>
        <v>Sp</v>
      </c>
    </row>
    <row r="48" spans="1:14" x14ac:dyDescent="0.35">
      <c r="A48" s="16" t="s">
        <v>54</v>
      </c>
      <c r="B48" s="2"/>
      <c r="C48" s="21" t="str">
        <f t="shared" si="2"/>
        <v/>
      </c>
      <c r="D48" s="2"/>
      <c r="E48" s="4"/>
      <c r="F48" s="2"/>
      <c r="G48" s="21" t="str">
        <f t="shared" si="1"/>
        <v/>
      </c>
      <c r="H48" s="2"/>
      <c r="I48" s="4"/>
      <c r="J48" s="2"/>
      <c r="K48" s="15" t="str">
        <f>IF('RPT1'!$J48="","",'RPT1'!$J48)</f>
        <v/>
      </c>
      <c r="L48" s="15" t="str">
        <f>IF('RPT2'!$J48="","",'RPT2'!$J48)</f>
        <v/>
      </c>
      <c r="M48" s="15" t="str">
        <f>IF('RPT3'!$J48="","",'RPT3'!$J48)</f>
        <v/>
      </c>
      <c r="N48" s="15" t="str">
        <f>IF('RPT4'!$J48="","",'RPT4'!$J48)</f>
        <v/>
      </c>
    </row>
    <row r="49" spans="1:14" x14ac:dyDescent="0.35">
      <c r="A49" s="16" t="s">
        <v>54</v>
      </c>
      <c r="B49" s="2"/>
      <c r="C49" s="21" t="str">
        <f t="shared" si="2"/>
        <v/>
      </c>
      <c r="D49" s="2"/>
      <c r="E49" s="4"/>
      <c r="F49" s="2"/>
      <c r="G49" s="21" t="str">
        <f t="shared" si="1"/>
        <v/>
      </c>
      <c r="H49" s="2"/>
      <c r="I49" s="4"/>
      <c r="J49" s="2"/>
      <c r="K49" s="15" t="str">
        <f>IF('RPT1'!$J49="","",'RPT1'!$J49)</f>
        <v/>
      </c>
      <c r="L49" s="15" t="str">
        <f>IF('RPT2'!$J49="","",'RPT2'!$J49)</f>
        <v/>
      </c>
      <c r="M49" s="15" t="str">
        <f>IF('RPT3'!$J49="","",'RPT3'!$J49)</f>
        <v/>
      </c>
      <c r="N49" s="15" t="str">
        <f>IF('RPT4'!$J49="","",'RPT4'!$J49)</f>
        <v/>
      </c>
    </row>
    <row r="50" spans="1:14" x14ac:dyDescent="0.35">
      <c r="A50" s="16" t="s">
        <v>54</v>
      </c>
      <c r="B50" s="2"/>
      <c r="C50" s="21" t="str">
        <f t="shared" si="2"/>
        <v>N/A</v>
      </c>
      <c r="D50" s="2"/>
      <c r="E50" s="4"/>
      <c r="F50" s="2"/>
      <c r="G50" s="21" t="str">
        <f t="shared" si="1"/>
        <v>N/A</v>
      </c>
      <c r="H50" s="2"/>
      <c r="I50" s="4"/>
      <c r="J50" s="2"/>
      <c r="K50" s="15" t="str">
        <f>IF('RPT1'!$J50="","",'RPT1'!$J50)</f>
        <v>N/A</v>
      </c>
      <c r="L50" s="15" t="str">
        <f>IF('RPT2'!$J50="","",'RPT2'!$J50)</f>
        <v>N/A</v>
      </c>
      <c r="M50" s="15" t="str">
        <f>IF('RPT3'!$J50="","",'RPT3'!$J50)</f>
        <v>N/A</v>
      </c>
      <c r="N50" s="15" t="str">
        <f>IF('RPT4'!$J50="","",'RPT4'!$J50)</f>
        <v>N/A</v>
      </c>
    </row>
    <row r="51" spans="1:14" x14ac:dyDescent="0.35">
      <c r="A51" s="16" t="s">
        <v>55</v>
      </c>
      <c r="B51" s="2"/>
      <c r="C51" s="17" t="str">
        <f t="shared" si="2"/>
        <v>N/A</v>
      </c>
      <c r="D51" s="2"/>
      <c r="E51" s="4"/>
      <c r="F51" s="2"/>
      <c r="G51" s="17" t="str">
        <f t="shared" si="1"/>
        <v>N/A</v>
      </c>
      <c r="H51" s="2"/>
      <c r="I51" s="4"/>
      <c r="J51" s="2"/>
      <c r="K51" s="15" t="str">
        <f>IF('RPT1'!$J51="","",'RPT1'!$J51)</f>
        <v>N/A</v>
      </c>
      <c r="L51" s="15" t="str">
        <f>IF('RPT2'!$J51="","",'RPT2'!$J51)</f>
        <v>N/A</v>
      </c>
      <c r="M51" s="15" t="str">
        <f>IF('RPT3'!$J51="","",'RPT3'!$J51)</f>
        <v>N/A</v>
      </c>
      <c r="N51" s="15" t="str">
        <f>IF('RPT4'!$J51="","",'RPT4'!$J51)</f>
        <v>N/A</v>
      </c>
    </row>
    <row r="52" spans="1:14" x14ac:dyDescent="0.35">
      <c r="A52" s="16" t="s">
        <v>56</v>
      </c>
      <c r="B52" s="2"/>
      <c r="C52" s="17">
        <f t="shared" si="2"/>
        <v>0</v>
      </c>
      <c r="D52" s="2"/>
      <c r="E52" s="4"/>
      <c r="F52" s="2"/>
      <c r="G52" s="17">
        <f>IF(G122=0, 0, SUMPRODUCT($K122:$N122,$K52:$N52) / G122)</f>
        <v>0</v>
      </c>
      <c r="H52" s="2"/>
      <c r="I52" s="4"/>
      <c r="J52" s="2"/>
      <c r="K52" s="15">
        <f>IF('RPT1'!$J52="","",'RPT1'!$J52)</f>
        <v>0</v>
      </c>
      <c r="L52" s="15">
        <f>IF('RPT2'!$J52="","",'RPT2'!$J52)</f>
        <v>0</v>
      </c>
      <c r="M52" s="15">
        <f>IF('RPT3'!$J52="","",'RPT3'!$J52)</f>
        <v>0</v>
      </c>
      <c r="N52" s="15">
        <f>IF('RPT4'!$J52="","",'RPT4'!$J52)</f>
        <v>0</v>
      </c>
    </row>
    <row r="53" spans="1:14" x14ac:dyDescent="0.35">
      <c r="A53" s="16" t="s">
        <v>57</v>
      </c>
      <c r="B53" s="2"/>
      <c r="C53" s="17">
        <f t="shared" si="2"/>
        <v>0</v>
      </c>
      <c r="D53" s="2"/>
      <c r="E53" s="4"/>
      <c r="F53" s="2"/>
      <c r="G53" s="17">
        <f t="shared" ref="G53:G77" si="3">IF($K53="[blank]", "[blank]", IF(AND(
IF($L53="[blank]",TRUE,$K53=$L53),
IF($M53="[blank]",TRUE,$K53=$M53),
IF($N53="[blank]",TRUE,$K53=$N53)), $K53, "Combined RPT"))</f>
        <v>0</v>
      </c>
      <c r="H53" s="2"/>
      <c r="I53" s="4"/>
      <c r="J53" s="2"/>
      <c r="K53" s="15">
        <f>IF('RPT1'!$J53="","",'RPT1'!$J53)</f>
        <v>0</v>
      </c>
      <c r="L53" s="15">
        <f>IF('RPT2'!$J53="","",'RPT2'!$J53)</f>
        <v>0</v>
      </c>
      <c r="M53" s="15">
        <f>IF('RPT3'!$J53="","",'RPT3'!$J53)</f>
        <v>0</v>
      </c>
      <c r="N53" s="15">
        <f>IF('RPT4'!$J53="","",'RPT4'!$J53)</f>
        <v>0</v>
      </c>
    </row>
    <row r="54" spans="1:14" x14ac:dyDescent="0.35">
      <c r="A54" s="16" t="s">
        <v>58</v>
      </c>
      <c r="B54" s="2"/>
      <c r="C54" s="17" t="str">
        <f t="shared" si="2"/>
        <v>https://repricingrequestform.optum.com/BGDefLookup/Override</v>
      </c>
      <c r="D54" s="2"/>
      <c r="E54" s="4"/>
      <c r="F54" s="2"/>
      <c r="G54" s="17" t="str">
        <f t="shared" si="3"/>
        <v>https://repricingrequestform.optum.com/BGDefLookup/Override</v>
      </c>
      <c r="H54" s="2"/>
      <c r="I54" s="4"/>
      <c r="J54" s="2"/>
      <c r="K54" s="15" t="str">
        <f>IF('RPT1'!$J54="","",'RPT1'!$J54)</f>
        <v>https://repricingrequestform.optum.com/BGDefLookup/Override</v>
      </c>
      <c r="L54" s="15" t="str">
        <f>IF('RPT2'!$J54="","",'RPT2'!$J54)</f>
        <v>https://repricingrequestform.optum.com/BGDefLookup/Override</v>
      </c>
      <c r="M54" s="15" t="str">
        <f>IF('RPT3'!$J54="","",'RPT3'!$J54)</f>
        <v>https://repricingrequestform.optum.com/BGDefLookup/Override</v>
      </c>
      <c r="N54" s="15" t="str">
        <f>IF('RPT4'!$J54="","",'RPT4'!$J54)</f>
        <v>https://repricingrequestform.optum.com/BGDefLookup/Override</v>
      </c>
    </row>
    <row r="55" spans="1:14" x14ac:dyDescent="0.35">
      <c r="A55" s="16" t="s">
        <v>59</v>
      </c>
      <c r="B55" s="2"/>
      <c r="C55" s="21" t="str">
        <f t="shared" si="2"/>
        <v>N/A</v>
      </c>
      <c r="D55" s="2"/>
      <c r="E55" s="4"/>
      <c r="F55" s="2"/>
      <c r="G55" s="21" t="str">
        <f t="shared" si="3"/>
        <v>N/A</v>
      </c>
      <c r="H55" s="2"/>
      <c r="I55" s="4"/>
      <c r="J55" s="2"/>
      <c r="K55" s="15" t="str">
        <f>IF('RPT1'!$J55="","",'RPT1'!$J55)</f>
        <v>N/A</v>
      </c>
      <c r="L55" s="15" t="str">
        <f>IF('RPT2'!$J55="","",'RPT2'!$J55)</f>
        <v>N/A</v>
      </c>
      <c r="M55" s="15" t="str">
        <f>IF('RPT3'!$J55="","",'RPT3'!$J55)</f>
        <v>N/A</v>
      </c>
      <c r="N55" s="15" t="str">
        <f>IF('RPT4'!$J55="","",'RPT4'!$J55)</f>
        <v>N/A</v>
      </c>
    </row>
    <row r="56" spans="1:14" x14ac:dyDescent="0.35">
      <c r="A56" s="16" t="s">
        <v>60</v>
      </c>
      <c r="B56" s="2"/>
      <c r="C56" s="21" t="str">
        <f t="shared" si="2"/>
        <v/>
      </c>
      <c r="D56" s="2"/>
      <c r="E56" s="4"/>
      <c r="F56" s="2"/>
      <c r="G56" s="21" t="str">
        <f t="shared" si="3"/>
        <v/>
      </c>
      <c r="H56" s="2"/>
      <c r="I56" s="4"/>
      <c r="J56" s="2"/>
      <c r="K56" s="15" t="str">
        <f>IF('RPT1'!$J56="","",'RPT1'!$J56)</f>
        <v/>
      </c>
      <c r="L56" s="15" t="str">
        <f>IF('RPT2'!$J56="","",'RPT2'!$J56)</f>
        <v/>
      </c>
      <c r="M56" s="15" t="str">
        <f>IF('RPT3'!$J56="","",'RPT3'!$J56)</f>
        <v/>
      </c>
      <c r="N56" s="15" t="str">
        <f>IF('RPT4'!$J56="","",'RPT4'!$J56)</f>
        <v/>
      </c>
    </row>
    <row r="57" spans="1:14" x14ac:dyDescent="0.35">
      <c r="A57" s="16" t="s">
        <v>60</v>
      </c>
      <c r="B57" s="2"/>
      <c r="C57" s="21" t="str">
        <f t="shared" si="2"/>
        <v/>
      </c>
      <c r="D57" s="2"/>
      <c r="E57" s="4"/>
      <c r="F57" s="2"/>
      <c r="G57" s="21" t="str">
        <f t="shared" si="3"/>
        <v/>
      </c>
      <c r="H57" s="2"/>
      <c r="I57" s="4"/>
      <c r="J57" s="2"/>
      <c r="K57" s="15" t="str">
        <f>IF('RPT1'!$J57="","",'RPT1'!$J57)</f>
        <v/>
      </c>
      <c r="L57" s="15" t="str">
        <f>IF('RPT2'!$J57="","",'RPT2'!$J57)</f>
        <v/>
      </c>
      <c r="M57" s="15" t="str">
        <f>IF('RPT3'!$J57="","",'RPT3'!$J57)</f>
        <v/>
      </c>
      <c r="N57" s="15" t="str">
        <f>IF('RPT4'!$J57="","",'RPT4'!$J57)</f>
        <v/>
      </c>
    </row>
    <row r="58" spans="1:14" x14ac:dyDescent="0.35">
      <c r="A58" s="16" t="s">
        <v>61</v>
      </c>
      <c r="B58" s="2"/>
      <c r="C58" s="17" t="str">
        <f t="shared" si="2"/>
        <v>Standard</v>
      </c>
      <c r="D58" s="2"/>
      <c r="E58" s="4"/>
      <c r="F58" s="2"/>
      <c r="G58" s="17" t="str">
        <f t="shared" si="3"/>
        <v>Standard</v>
      </c>
      <c r="H58" s="2"/>
      <c r="I58" s="4"/>
      <c r="J58" s="2"/>
      <c r="K58" s="15" t="str">
        <f>IF('RPT1'!$J58="","",'RPT1'!$J58)</f>
        <v>Standard</v>
      </c>
      <c r="L58" s="15" t="str">
        <f>IF('RPT2'!$J58="","",'RPT2'!$J58)</f>
        <v>Standard</v>
      </c>
      <c r="M58" s="15" t="str">
        <f>IF('RPT3'!$J58="","",'RPT3'!$J58)</f>
        <v>Standard</v>
      </c>
      <c r="N58" s="15" t="str">
        <f>IF('RPT4'!$J58="","",'RPT4'!$J58)</f>
        <v>Standard</v>
      </c>
    </row>
    <row r="59" spans="1:14" x14ac:dyDescent="0.35">
      <c r="A59" s="16" t="s">
        <v>62</v>
      </c>
      <c r="B59" s="2"/>
      <c r="C59" s="17" t="str">
        <f t="shared" si="2"/>
        <v>Standard</v>
      </c>
      <c r="D59" s="2"/>
      <c r="E59" s="4"/>
      <c r="F59" s="2"/>
      <c r="G59" s="17" t="str">
        <f t="shared" si="3"/>
        <v>Standard</v>
      </c>
      <c r="H59" s="2"/>
      <c r="I59" s="4"/>
      <c r="J59" s="2"/>
      <c r="K59" s="15" t="str">
        <f>IF('RPT1'!$J59="","",'RPT1'!$J59)</f>
        <v>Standard</v>
      </c>
      <c r="L59" s="15" t="str">
        <f>IF('RPT2'!$J59="","",'RPT2'!$J59)</f>
        <v>Standard</v>
      </c>
      <c r="M59" s="15" t="str">
        <f>IF('RPT3'!$J59="","",'RPT3'!$J59)</f>
        <v>Standard</v>
      </c>
      <c r="N59" s="15" t="str">
        <f>IF('RPT4'!$J59="","",'RPT4'!$J59)</f>
        <v>Standard</v>
      </c>
    </row>
    <row r="60" spans="1:14" x14ac:dyDescent="0.35">
      <c r="A60" s="16" t="s">
        <v>63</v>
      </c>
      <c r="B60" s="2"/>
      <c r="C60" s="17" t="str">
        <f t="shared" si="2"/>
        <v>No oGLP-1 Rebate Lift</v>
      </c>
      <c r="D60" s="2"/>
      <c r="E60" s="4"/>
      <c r="F60" s="2"/>
      <c r="G60" s="17" t="str">
        <f t="shared" si="3"/>
        <v>No oGLP-1 Rebate Lift</v>
      </c>
      <c r="H60" s="2"/>
      <c r="I60" s="4"/>
      <c r="J60" s="2"/>
      <c r="K60" s="15" t="str">
        <f>IF('RPT1'!$J60="","",'RPT1'!$J60)</f>
        <v>No oGLP-1 Rebate Lift</v>
      </c>
      <c r="L60" s="15" t="str">
        <f>IF('RPT2'!$J60="","",'RPT2'!$J60)</f>
        <v>No oGLP-1 Rebate Lift</v>
      </c>
      <c r="M60" s="15" t="str">
        <f>IF('RPT3'!$J60="","",'RPT3'!$J60)</f>
        <v>No oGLP-1 Rebate Lift</v>
      </c>
      <c r="N60" s="15" t="str">
        <f>IF('RPT4'!$J60="","",'RPT4'!$J60)</f>
        <v>No oGLP-1 Rebate Lift</v>
      </c>
    </row>
    <row r="61" spans="1:14" x14ac:dyDescent="0.35">
      <c r="A61" s="16" t="s">
        <v>64</v>
      </c>
      <c r="B61" s="2"/>
      <c r="C61" s="17" t="str">
        <f t="shared" si="2"/>
        <v>Yes</v>
      </c>
      <c r="D61" s="2"/>
      <c r="E61" s="4"/>
      <c r="F61" s="2"/>
      <c r="G61" s="17" t="str">
        <f t="shared" si="3"/>
        <v>Yes</v>
      </c>
      <c r="H61" s="2"/>
      <c r="I61" s="4"/>
      <c r="J61" s="2"/>
      <c r="K61" s="15" t="str">
        <f>IF('RPT1'!$J61="","",'RPT1'!$J61)</f>
        <v>Yes</v>
      </c>
      <c r="L61" s="15" t="str">
        <f>IF('RPT2'!$J61="","",'RPT2'!$J61)</f>
        <v>Yes</v>
      </c>
      <c r="M61" s="15" t="str">
        <f>IF('RPT3'!$J61="","",'RPT3'!$J61)</f>
        <v>Yes</v>
      </c>
      <c r="N61" s="15" t="str">
        <f>IF('RPT4'!$J61="","",'RPT4'!$J61)</f>
        <v>Yes</v>
      </c>
    </row>
    <row r="62" spans="1:14" x14ac:dyDescent="0.35">
      <c r="A62" s="16" t="s">
        <v>65</v>
      </c>
      <c r="B62" s="2"/>
      <c r="C62" s="17" t="str">
        <f t="shared" si="2"/>
        <v>Standard</v>
      </c>
      <c r="D62" s="2"/>
      <c r="E62" s="4"/>
      <c r="F62" s="2"/>
      <c r="G62" s="17" t="str">
        <f t="shared" si="3"/>
        <v>Standard</v>
      </c>
      <c r="H62" s="2"/>
      <c r="I62" s="4"/>
      <c r="J62" s="2"/>
      <c r="K62" s="15" t="str">
        <f>IF('RPT1'!$J62="","",'RPT1'!$J62)</f>
        <v>Standard</v>
      </c>
      <c r="L62" s="15" t="str">
        <f>IF('RPT2'!$J62="","",'RPT2'!$J62)</f>
        <v>Standard</v>
      </c>
      <c r="M62" s="15" t="str">
        <f>IF('RPT3'!$J62="","",'RPT3'!$J62)</f>
        <v>Standard</v>
      </c>
      <c r="N62" s="15" t="str">
        <f>IF('RPT4'!$J62="","",'RPT4'!$J62)</f>
        <v>Standard</v>
      </c>
    </row>
    <row r="63" spans="1:14" x14ac:dyDescent="0.35">
      <c r="A63" s="16" t="s">
        <v>66</v>
      </c>
      <c r="B63" s="2"/>
      <c r="C63" s="17" t="str">
        <f t="shared" si="2"/>
        <v>Combined RPT</v>
      </c>
      <c r="D63" s="2"/>
      <c r="E63" s="4"/>
      <c r="F63" s="2"/>
      <c r="G63" s="17" t="str">
        <f t="shared" si="3"/>
        <v>Combined RPT</v>
      </c>
      <c r="H63" s="2"/>
      <c r="I63" s="4"/>
      <c r="J63" s="2"/>
      <c r="K63" s="15" t="str">
        <f>IF('RPT1'!$J63="","",'RPT1'!$J63)</f>
        <v>Yes</v>
      </c>
      <c r="L63" s="15" t="str">
        <f>IF('RPT2'!$J63="","",'RPT2'!$J63)</f>
        <v>Yes</v>
      </c>
      <c r="M63" s="15" t="str">
        <f>IF('RPT3'!$J63="","",'RPT3'!$J63)</f>
        <v>Yes</v>
      </c>
      <c r="N63" s="15" t="str">
        <f>IF('RPT4'!$J63="","",'RPT4'!$J63)</f>
        <v>No</v>
      </c>
    </row>
    <row r="64" spans="1:14" x14ac:dyDescent="0.35">
      <c r="A64" s="16" t="s">
        <v>67</v>
      </c>
      <c r="B64" s="2"/>
      <c r="C64" s="17" t="str">
        <f t="shared" si="2"/>
        <v>Yes</v>
      </c>
      <c r="D64" s="2"/>
      <c r="E64" s="4"/>
      <c r="F64" s="2"/>
      <c r="G64" s="17" t="str">
        <f t="shared" si="3"/>
        <v>Yes</v>
      </c>
      <c r="H64" s="2"/>
      <c r="I64" s="4"/>
      <c r="J64" s="2"/>
      <c r="K64" s="15" t="str">
        <f>IF('RPT1'!$J64="","",'RPT1'!$J64)</f>
        <v>Yes</v>
      </c>
      <c r="L64" s="15" t="str">
        <f>IF('RPT2'!$J64="","",'RPT2'!$J64)</f>
        <v>Yes</v>
      </c>
      <c r="M64" s="15" t="str">
        <f>IF('RPT3'!$J64="","",'RPT3'!$J64)</f>
        <v>Yes</v>
      </c>
      <c r="N64" s="15" t="str">
        <f>IF('RPT4'!$J64="","",'RPT4'!$J64)</f>
        <v>Yes</v>
      </c>
    </row>
    <row r="65" spans="1:14" x14ac:dyDescent="0.35">
      <c r="A65" s="16" t="s">
        <v>68</v>
      </c>
      <c r="B65" s="2"/>
      <c r="C65" s="17">
        <f t="shared" si="2"/>
        <v>6</v>
      </c>
      <c r="D65" s="2"/>
      <c r="E65" s="4"/>
      <c r="F65" s="2"/>
      <c r="G65" s="17">
        <f t="shared" si="3"/>
        <v>6</v>
      </c>
      <c r="H65" s="2"/>
      <c r="I65" s="4"/>
      <c r="J65" s="2"/>
      <c r="K65" s="15">
        <f>IF('RPT1'!$J65="","",'RPT1'!$J65)</f>
        <v>6</v>
      </c>
      <c r="L65" s="15">
        <f>IF('RPT2'!$J65="","",'RPT2'!$J65)</f>
        <v>6</v>
      </c>
      <c r="M65" s="15">
        <f>IF('RPT3'!$J65="","",'RPT3'!$J65)</f>
        <v>6</v>
      </c>
      <c r="N65" s="15">
        <f>IF('RPT4'!$J65="","",'RPT4'!$J65)</f>
        <v>6</v>
      </c>
    </row>
    <row r="66" spans="1:14" x14ac:dyDescent="0.35">
      <c r="A66" s="16" t="s">
        <v>69</v>
      </c>
      <c r="B66" s="2"/>
      <c r="C66" s="17" t="str">
        <f t="shared" si="2"/>
        <v>Yes</v>
      </c>
      <c r="D66" s="2"/>
      <c r="E66" s="4"/>
      <c r="F66" s="2"/>
      <c r="G66" s="17" t="str">
        <f t="shared" si="3"/>
        <v>Yes</v>
      </c>
      <c r="H66" s="2"/>
      <c r="I66" s="4"/>
      <c r="J66" s="2"/>
      <c r="K66" s="15" t="str">
        <f>IF('RPT1'!$J66="","",'RPT1'!$J66)</f>
        <v>Yes</v>
      </c>
      <c r="L66" s="15" t="str">
        <f>IF('RPT2'!$J66="","",'RPT2'!$J66)</f>
        <v>Yes</v>
      </c>
      <c r="M66" s="15" t="str">
        <f>IF('RPT3'!$J66="","",'RPT3'!$J66)</f>
        <v>Yes</v>
      </c>
      <c r="N66" s="15" t="str">
        <f>IF('RPT4'!$J66="","",'RPT4'!$J66)</f>
        <v>Yes</v>
      </c>
    </row>
    <row r="67" spans="1:14" x14ac:dyDescent="0.35">
      <c r="A67" s="16" t="s">
        <v>70</v>
      </c>
      <c r="B67" s="2"/>
      <c r="C67" s="17">
        <f t="shared" si="2"/>
        <v>3</v>
      </c>
      <c r="D67" s="2"/>
      <c r="E67" s="4"/>
      <c r="F67" s="2"/>
      <c r="G67" s="17">
        <f t="shared" si="3"/>
        <v>3</v>
      </c>
      <c r="H67" s="2"/>
      <c r="I67" s="4"/>
      <c r="J67" s="2"/>
      <c r="K67" s="15">
        <f>IF('RPT1'!$J67="","",'RPT1'!$J67)</f>
        <v>3</v>
      </c>
      <c r="L67" s="15">
        <f>IF('RPT2'!$J67="","",'RPT2'!$J67)</f>
        <v>3</v>
      </c>
      <c r="M67" s="15">
        <f>IF('RPT3'!$J67="","",'RPT3'!$J67)</f>
        <v>3</v>
      </c>
      <c r="N67" s="15">
        <f>IF('RPT4'!$J67="","",'RPT4'!$J67)</f>
        <v>3</v>
      </c>
    </row>
    <row r="68" spans="1:14" x14ac:dyDescent="0.35">
      <c r="A68" s="16" t="s">
        <v>71</v>
      </c>
      <c r="B68" s="2"/>
      <c r="C68" s="17" t="str">
        <f t="shared" si="2"/>
        <v>No</v>
      </c>
      <c r="D68" s="2"/>
      <c r="E68" s="4"/>
      <c r="F68" s="2"/>
      <c r="G68" s="17" t="str">
        <f t="shared" si="3"/>
        <v>No</v>
      </c>
      <c r="H68" s="2"/>
      <c r="I68" s="4"/>
      <c r="J68" s="2"/>
      <c r="K68" s="15" t="str">
        <f>IF('RPT1'!$J68="","",'RPT1'!$J68)</f>
        <v>No</v>
      </c>
      <c r="L68" s="15" t="str">
        <f>IF('RPT2'!$J68="","",'RPT2'!$J68)</f>
        <v>No</v>
      </c>
      <c r="M68" s="15" t="str">
        <f>IF('RPT3'!$J68="","",'RPT3'!$J68)</f>
        <v>No</v>
      </c>
      <c r="N68" s="15" t="str">
        <f>IF('RPT4'!$J68="","",'RPT4'!$J68)</f>
        <v>No</v>
      </c>
    </row>
    <row r="69" spans="1:14" x14ac:dyDescent="0.35">
      <c r="A69" s="16" t="s">
        <v>72</v>
      </c>
      <c r="B69" s="2"/>
      <c r="C69" s="17" t="str">
        <f t="shared" si="2"/>
        <v>Combined RPT</v>
      </c>
      <c r="D69" s="2"/>
      <c r="E69" s="4"/>
      <c r="F69" s="2"/>
      <c r="G69" s="17" t="str">
        <f t="shared" si="3"/>
        <v>Combined RPT</v>
      </c>
      <c r="H69" s="2"/>
      <c r="I69" s="4"/>
      <c r="J69" s="2"/>
      <c r="K69" s="15" t="str">
        <f>IF('RPT1'!$J69="","",'RPT1'!$J69)</f>
        <v>No</v>
      </c>
      <c r="L69" s="15" t="str">
        <f>IF('RPT2'!$J69="","",'RPT2'!$J69)</f>
        <v>Yes</v>
      </c>
      <c r="M69" s="15" t="str">
        <f>IF('RPT3'!$J69="","",'RPT3'!$J69)</f>
        <v>Yes</v>
      </c>
      <c r="N69" s="15" t="str">
        <f>IF('RPT4'!$J69="","",'RPT4'!$J69)</f>
        <v>Yes</v>
      </c>
    </row>
    <row r="70" spans="1:14" x14ac:dyDescent="0.35">
      <c r="A70" s="16" t="s">
        <v>73</v>
      </c>
      <c r="B70" s="2"/>
      <c r="C70" s="17" t="str">
        <f t="shared" si="2"/>
        <v>No</v>
      </c>
      <c r="D70" s="2"/>
      <c r="E70" s="4"/>
      <c r="F70" s="2"/>
      <c r="G70" s="17" t="str">
        <f t="shared" si="3"/>
        <v>No</v>
      </c>
      <c r="H70" s="2"/>
      <c r="I70" s="4"/>
      <c r="J70" s="2"/>
      <c r="K70" s="15" t="str">
        <f>IF('RPT1'!$J70="","",'RPT1'!$J70)</f>
        <v>No</v>
      </c>
      <c r="L70" s="15" t="str">
        <f>IF('RPT2'!$J70="","",'RPT2'!$J70)</f>
        <v>No</v>
      </c>
      <c r="M70" s="15" t="str">
        <f>IF('RPT3'!$J70="","",'RPT3'!$J70)</f>
        <v>No</v>
      </c>
      <c r="N70" s="15" t="str">
        <f>IF('RPT4'!$J70="","",'RPT4'!$J70)</f>
        <v>No</v>
      </c>
    </row>
    <row r="71" spans="1:14" x14ac:dyDescent="0.35">
      <c r="A71" s="16" t="s">
        <v>74</v>
      </c>
      <c r="B71" s="2"/>
      <c r="C71" s="17" t="str">
        <f t="shared" si="2"/>
        <v>No</v>
      </c>
      <c r="D71" s="2"/>
      <c r="E71" s="4"/>
      <c r="F71" s="2"/>
      <c r="G71" s="17" t="str">
        <f t="shared" si="3"/>
        <v>No</v>
      </c>
      <c r="H71" s="2"/>
      <c r="I71" s="4"/>
      <c r="J71" s="2"/>
      <c r="K71" s="15" t="str">
        <f>IF('RPT1'!$J71="","",'RPT1'!$J71)</f>
        <v>No</v>
      </c>
      <c r="L71" s="15" t="str">
        <f>IF('RPT2'!$J71="","",'RPT2'!$J71)</f>
        <v>No</v>
      </c>
      <c r="M71" s="15" t="str">
        <f>IF('RPT3'!$J71="","",'RPT3'!$J71)</f>
        <v>No</v>
      </c>
      <c r="N71" s="15" t="str">
        <f>IF('RPT4'!$J71="","",'RPT4'!$J71)</f>
        <v>No</v>
      </c>
    </row>
    <row r="72" spans="1:14" x14ac:dyDescent="0.35">
      <c r="A72" s="16" t="s">
        <v>75</v>
      </c>
      <c r="B72" s="2"/>
      <c r="C72" s="17" t="str">
        <f t="shared" ref="C72:C77" si="4">IF(Combine="Y", $G72, 0)</f>
        <v>No</v>
      </c>
      <c r="D72" s="2"/>
      <c r="E72" s="4"/>
      <c r="F72" s="2"/>
      <c r="G72" s="17" t="str">
        <f t="shared" si="3"/>
        <v>No</v>
      </c>
      <c r="H72" s="2"/>
      <c r="I72" s="4"/>
      <c r="J72" s="2"/>
      <c r="K72" s="15" t="str">
        <f>IF('RPT1'!$J72="","",'RPT1'!$J72)</f>
        <v>No</v>
      </c>
      <c r="L72" s="15" t="str">
        <f>IF('RPT2'!$J72="","",'RPT2'!$J72)</f>
        <v>No</v>
      </c>
      <c r="M72" s="15" t="str">
        <f>IF('RPT3'!$J72="","",'RPT3'!$J72)</f>
        <v>No</v>
      </c>
      <c r="N72" s="15" t="str">
        <f>IF('RPT4'!$J72="","",'RPT4'!$J72)</f>
        <v>No</v>
      </c>
    </row>
    <row r="73" spans="1:14" x14ac:dyDescent="0.35">
      <c r="A73" s="16" t="s">
        <v>76</v>
      </c>
      <c r="B73" s="2"/>
      <c r="C73" s="17" t="str">
        <f t="shared" si="4"/>
        <v>Combined RPT</v>
      </c>
      <c r="D73" s="2"/>
      <c r="E73" s="4"/>
      <c r="F73" s="2"/>
      <c r="G73" s="17" t="str">
        <f t="shared" si="3"/>
        <v>Combined RPT</v>
      </c>
      <c r="H73" s="2"/>
      <c r="I73" s="4"/>
      <c r="J73" s="2"/>
      <c r="K73" s="15" t="str">
        <f>IF('RPT1'!$J73="","",'RPT1'!$J73)</f>
        <v>Medicare w Humira</v>
      </c>
      <c r="L73" s="15" t="str">
        <f>IF('RPT2'!$J73="","",'RPT2'!$J73)</f>
        <v>&lt;N/A&gt;</v>
      </c>
      <c r="M73" s="15" t="str">
        <f>IF('RPT3'!$J73="","",'RPT3'!$J73)</f>
        <v>Medicare w Humira</v>
      </c>
      <c r="N73" s="15" t="str">
        <f>IF('RPT4'!$J73="","",'RPT4'!$J73)</f>
        <v>Medicare w Humira</v>
      </c>
    </row>
    <row r="74" spans="1:14" x14ac:dyDescent="0.35">
      <c r="A74" s="16" t="s">
        <v>77</v>
      </c>
      <c r="B74" s="2"/>
      <c r="C74" s="17" t="str">
        <f t="shared" si="4"/>
        <v>Combined RPT</v>
      </c>
      <c r="D74" s="2"/>
      <c r="E74" s="4"/>
      <c r="F74" s="2"/>
      <c r="G74" s="17" t="str">
        <f t="shared" si="3"/>
        <v>Combined RPT</v>
      </c>
      <c r="H74" s="2"/>
      <c r="I74" s="4"/>
      <c r="J74" s="2"/>
      <c r="K74" s="15" t="str">
        <f>IF('RPT1'!$J74="","",'RPT1'!$J74)</f>
        <v>MFP 2026 list excluded</v>
      </c>
      <c r="L74" s="15" t="str">
        <f>IF('RPT2'!$J74="","",'RPT2'!$J74)</f>
        <v>MFP Included</v>
      </c>
      <c r="M74" s="15" t="str">
        <f>IF('RPT3'!$J74="","",'RPT3'!$J74)</f>
        <v>MFP 2026 &amp; 2027 lists excluded</v>
      </c>
      <c r="N74" s="15" t="str">
        <f>IF('RPT4'!$J74="","",'RPT4'!$J74)</f>
        <v>MFP 2026 &amp; 2027 lists excluded</v>
      </c>
    </row>
    <row r="75" spans="1:14" x14ac:dyDescent="0.35">
      <c r="A75" s="16" t="s">
        <v>78</v>
      </c>
      <c r="B75" s="2"/>
      <c r="C75" s="17" t="str">
        <f t="shared" si="4"/>
        <v>Combined RPT</v>
      </c>
      <c r="D75" s="2"/>
      <c r="E75" s="4"/>
      <c r="F75" s="2"/>
      <c r="G75" s="17" t="str">
        <f t="shared" si="3"/>
        <v>Combined RPT</v>
      </c>
      <c r="H75" s="2"/>
      <c r="I75" s="4"/>
      <c r="J75" s="2"/>
      <c r="K75" s="15" t="str">
        <f>IF('RPT1'!$J75="","",'RPT1'!$J75)</f>
        <v>&lt;N/A&gt;</v>
      </c>
      <c r="L75" s="15" t="str">
        <f>IF('RPT2'!$J75="","",'RPT2'!$J75)</f>
        <v>PTD Stelara Exclusive</v>
      </c>
      <c r="M75" s="15" t="str">
        <f>IF('RPT3'!$J75="","",'RPT3'!$J75)</f>
        <v>PTD Stelara Exclusive</v>
      </c>
      <c r="N75" s="15" t="str">
        <f>IF('RPT4'!$J75="","",'RPT4'!$J75)</f>
        <v>PTD Stelara Exclusive</v>
      </c>
    </row>
    <row r="76" spans="1:14" x14ac:dyDescent="0.35">
      <c r="A76" s="16" t="s">
        <v>79</v>
      </c>
      <c r="B76" s="2"/>
      <c r="C76" s="17" t="str">
        <f t="shared" si="4"/>
        <v>No</v>
      </c>
      <c r="D76" s="2"/>
      <c r="E76" s="4"/>
      <c r="F76" s="2"/>
      <c r="G76" s="17" t="str">
        <f t="shared" si="3"/>
        <v>No</v>
      </c>
      <c r="H76" s="2"/>
      <c r="I76" s="4"/>
      <c r="J76" s="2"/>
      <c r="K76" s="15" t="str">
        <f>IF('RPT1'!$J76="","",'RPT1'!$J76)</f>
        <v>No</v>
      </c>
      <c r="L76" s="15" t="str">
        <f>IF('RPT2'!$J76="","",'RPT2'!$J76)</f>
        <v>No</v>
      </c>
      <c r="M76" s="15" t="str">
        <f>IF('RPT3'!$J76="","",'RPT3'!$J76)</f>
        <v>No</v>
      </c>
      <c r="N76" s="15" t="str">
        <f>IF('RPT4'!$J76="","",'RPT4'!$J76)</f>
        <v>No</v>
      </c>
    </row>
    <row r="77" spans="1:14" x14ac:dyDescent="0.35">
      <c r="A77" s="16" t="s">
        <v>60</v>
      </c>
      <c r="B77" s="2"/>
      <c r="C77" s="20" t="str">
        <f t="shared" si="4"/>
        <v>N/A</v>
      </c>
      <c r="D77" s="2"/>
      <c r="E77" s="4"/>
      <c r="F77" s="2"/>
      <c r="G77" s="20" t="str">
        <f t="shared" si="3"/>
        <v>N/A</v>
      </c>
      <c r="H77" s="2"/>
      <c r="I77" s="4"/>
      <c r="J77" s="2"/>
      <c r="K77" s="15" t="str">
        <f>IF('RPT1'!$J77="","",'RPT1'!$J77)</f>
        <v>N/A</v>
      </c>
      <c r="L77" s="15" t="str">
        <f>IF('RPT2'!$J77="","",'RPT2'!$J77)</f>
        <v>N/A</v>
      </c>
      <c r="M77" s="15" t="str">
        <f>IF('RPT3'!$J77="","",'RPT3'!$J77)</f>
        <v>N/A</v>
      </c>
      <c r="N77" s="15" t="str">
        <f>IF('RPT4'!$J77="","",'RPT4'!$J77)</f>
        <v>N/A</v>
      </c>
    </row>
    <row r="78" spans="1:14" x14ac:dyDescent="0.35">
      <c r="A78" s="24"/>
      <c r="B78" s="2"/>
      <c r="C78" s="14"/>
      <c r="D78" s="2"/>
      <c r="E78" s="4"/>
      <c r="F78" s="2"/>
      <c r="G78" s="14"/>
      <c r="H78" s="2"/>
      <c r="I78" s="4"/>
      <c r="J78" s="2"/>
      <c r="K78" s="25"/>
      <c r="L78" s="25"/>
      <c r="M78" s="25"/>
      <c r="N78" s="25"/>
    </row>
    <row r="79" spans="1:14" x14ac:dyDescent="0.35">
      <c r="A79" s="12" t="s">
        <v>80</v>
      </c>
      <c r="B79" s="2"/>
      <c r="C79" s="14"/>
      <c r="D79" s="2"/>
      <c r="E79" s="4"/>
      <c r="F79" s="2"/>
      <c r="G79" s="14"/>
      <c r="H79" s="2"/>
      <c r="I79" s="4"/>
      <c r="J79" s="2"/>
      <c r="K79" s="25" t="str">
        <f>IF('RPT1'!$J79="","",'RPT1'!$J79)</f>
        <v/>
      </c>
      <c r="L79" s="25" t="str">
        <f>IF('RPT2'!$J79="","",'RPT2'!$J79)</f>
        <v/>
      </c>
      <c r="M79" s="25" t="str">
        <f>IF('RPT3'!$J79="","",'RPT3'!$J79)</f>
        <v/>
      </c>
      <c r="N79" s="25" t="str">
        <f>IF('RPT4'!$J79="","",'RPT4'!$J79)</f>
        <v/>
      </c>
    </row>
    <row r="80" spans="1:14" x14ac:dyDescent="0.35">
      <c r="A80" s="16" t="s">
        <v>81</v>
      </c>
      <c r="B80" s="2"/>
      <c r="C80" s="26">
        <v>-1</v>
      </c>
      <c r="D80" s="2"/>
      <c r="E80" s="4"/>
      <c r="F80" s="2"/>
      <c r="G80" s="26">
        <v>-1</v>
      </c>
      <c r="H80" s="2"/>
      <c r="I80" s="4"/>
      <c r="J80" s="2"/>
      <c r="K80" s="27">
        <v>-1</v>
      </c>
      <c r="L80" s="27">
        <v>-1</v>
      </c>
      <c r="M80" s="27">
        <v>-1</v>
      </c>
      <c r="N80" s="27">
        <v>-1</v>
      </c>
    </row>
    <row r="81" spans="1:14" x14ac:dyDescent="0.35">
      <c r="A81" s="16" t="s">
        <v>82</v>
      </c>
      <c r="B81" s="2"/>
      <c r="C81" s="26">
        <f t="shared" ref="C80:C119" si="5">IF(Combine="Y", $G81, 0)</f>
        <v>714.17212598235471</v>
      </c>
      <c r="D81" s="2"/>
      <c r="E81" s="4"/>
      <c r="F81" s="2"/>
      <c r="G81" s="26">
        <f t="shared" ref="G80:G119" si="6">SUM($K81:$N81)</f>
        <v>714.17212598235471</v>
      </c>
      <c r="H81" s="2"/>
      <c r="I81" s="4"/>
      <c r="J81" s="2"/>
      <c r="K81" s="27">
        <f>IF('RPT1'!$J81="","",'RPT1'!$J81)</f>
        <v>166.62674038257501</v>
      </c>
      <c r="L81" s="27">
        <f>IF('RPT2'!$J81="","",'RPT2'!$J81)</f>
        <v>182.54498710088461</v>
      </c>
      <c r="M81" s="27">
        <f>IF('RPT3'!$J81="","",'RPT3'!$J81)</f>
        <v>182.4554113980104</v>
      </c>
      <c r="N81" s="27">
        <f>IF('RPT4'!$J81="","",'RPT4'!$J81)</f>
        <v>182.5449871008847</v>
      </c>
    </row>
    <row r="82" spans="1:14" x14ac:dyDescent="0.35">
      <c r="A82" s="16" t="s">
        <v>83</v>
      </c>
      <c r="B82" s="2"/>
      <c r="C82" s="26">
        <f t="shared" si="5"/>
        <v>692.78179993712843</v>
      </c>
      <c r="D82" s="2"/>
      <c r="E82" s="4"/>
      <c r="F82" s="2"/>
      <c r="G82" s="26">
        <f t="shared" si="6"/>
        <v>692.78179993712843</v>
      </c>
      <c r="H82" s="2"/>
      <c r="I82" s="4"/>
      <c r="J82" s="2"/>
      <c r="K82" s="27">
        <f>IF('RPT1'!$J82="","",'RPT1'!$J82)</f>
        <v>168.11825631363121</v>
      </c>
      <c r="L82" s="27">
        <f>IF('RPT2'!$J82="","",'RPT2'!$J82)</f>
        <v>174.91569080585799</v>
      </c>
      <c r="M82" s="27">
        <f>IF('RPT3'!$J82="","",'RPT3'!$J82)</f>
        <v>174.83216201178129</v>
      </c>
      <c r="N82" s="27">
        <f>IF('RPT4'!$J82="","",'RPT4'!$J82)</f>
        <v>174.91569080585799</v>
      </c>
    </row>
    <row r="83" spans="1:14" x14ac:dyDescent="0.35">
      <c r="A83" s="16" t="s">
        <v>84</v>
      </c>
      <c r="B83" s="2"/>
      <c r="C83" s="26">
        <f t="shared" si="5"/>
        <v>681.78850839029769</v>
      </c>
      <c r="D83" s="2"/>
      <c r="E83" s="4"/>
      <c r="F83" s="2"/>
      <c r="G83" s="26">
        <f t="shared" si="6"/>
        <v>681.78850839029769</v>
      </c>
      <c r="H83" s="2"/>
      <c r="I83" s="4"/>
      <c r="J83" s="2"/>
      <c r="K83" s="27">
        <f>IF('RPT1'!$J83="","",'RPT1'!$J83)</f>
        <v>165.8053738212962</v>
      </c>
      <c r="L83" s="27">
        <f>IF('RPT2'!$J83="","",'RPT2'!$J83)</f>
        <v>172.0284689037081</v>
      </c>
      <c r="M83" s="27">
        <f>IF('RPT3'!$J83="","",'RPT3'!$J83)</f>
        <v>171.92619676158529</v>
      </c>
      <c r="N83" s="27">
        <f>IF('RPT4'!$J83="","",'RPT4'!$J83)</f>
        <v>172.0284689037081</v>
      </c>
    </row>
    <row r="84" spans="1:14" x14ac:dyDescent="0.35">
      <c r="A84" s="16" t="s">
        <v>85</v>
      </c>
      <c r="B84" s="2"/>
      <c r="C84" s="26">
        <f t="shared" si="5"/>
        <v>687.33474912068584</v>
      </c>
      <c r="D84" s="2"/>
      <c r="E84" s="4"/>
      <c r="F84" s="2"/>
      <c r="G84" s="26">
        <f t="shared" si="6"/>
        <v>687.33474912068584</v>
      </c>
      <c r="H84" s="2"/>
      <c r="I84" s="4"/>
      <c r="J84" s="2"/>
      <c r="K84" s="27">
        <f>IF('RPT1'!$J84="","",'RPT1'!$J84)</f>
        <v>166.86124816832049</v>
      </c>
      <c r="L84" s="27">
        <f>IF('RPT2'!$J84="","",'RPT2'!$J84)</f>
        <v>173.5268701303838</v>
      </c>
      <c r="M84" s="27">
        <f>IF('RPT3'!$J84="","",'RPT3'!$J84)</f>
        <v>173.41976069159779</v>
      </c>
      <c r="N84" s="27">
        <f>IF('RPT4'!$J84="","",'RPT4'!$J84)</f>
        <v>173.5268701303838</v>
      </c>
    </row>
    <row r="85" spans="1:14" x14ac:dyDescent="0.35">
      <c r="A85" s="16" t="s">
        <v>86</v>
      </c>
      <c r="B85" s="2"/>
      <c r="C85" s="26">
        <f t="shared" si="5"/>
        <v>64.678438625839306</v>
      </c>
      <c r="D85" s="2"/>
      <c r="E85" s="4"/>
      <c r="F85" s="2"/>
      <c r="G85" s="26">
        <f t="shared" si="6"/>
        <v>64.678438625839306</v>
      </c>
      <c r="H85" s="2"/>
      <c r="I85" s="4"/>
      <c r="J85" s="2"/>
      <c r="K85" s="27">
        <f>IF('RPT1'!$J85="","",'RPT1'!$J85)</f>
        <v>16.189462431266509</v>
      </c>
      <c r="L85" s="27">
        <f>IF('RPT2'!$J85="","",'RPT2'!$J85)</f>
        <v>16.139339219095369</v>
      </c>
      <c r="M85" s="27">
        <f>IF('RPT3'!$J85="","",'RPT3'!$J85)</f>
        <v>16.210297756382051</v>
      </c>
      <c r="N85" s="27">
        <f>IF('RPT4'!$J85="","",'RPT4'!$J85)</f>
        <v>16.139339219095369</v>
      </c>
    </row>
    <row r="86" spans="1:14" x14ac:dyDescent="0.35">
      <c r="A86" s="16" t="s">
        <v>87</v>
      </c>
      <c r="B86" s="2"/>
      <c r="C86" s="26">
        <f t="shared" si="5"/>
        <v>112.03558926031079</v>
      </c>
      <c r="D86" s="2"/>
      <c r="E86" s="4"/>
      <c r="F86" s="2"/>
      <c r="G86" s="26">
        <f t="shared" si="6"/>
        <v>112.03558926031079</v>
      </c>
      <c r="H86" s="2"/>
      <c r="I86" s="4"/>
      <c r="J86" s="2"/>
      <c r="K86" s="27">
        <f>IF('RPT1'!$J86="","",'RPT1'!$J86)</f>
        <v>28.022212317690329</v>
      </c>
      <c r="L86" s="27">
        <f>IF('RPT2'!$J86="","",'RPT2'!$J86)</f>
        <v>27.97460041324873</v>
      </c>
      <c r="M86" s="27">
        <f>IF('RPT3'!$J86="","",'RPT3'!$J86)</f>
        <v>28.06417611612299</v>
      </c>
      <c r="N86" s="27">
        <f>IF('RPT4'!$J86="","",'RPT4'!$J86)</f>
        <v>27.97460041324873</v>
      </c>
    </row>
    <row r="87" spans="1:14" x14ac:dyDescent="0.35">
      <c r="A87" s="16" t="s">
        <v>88</v>
      </c>
      <c r="B87" s="2"/>
      <c r="C87" s="26">
        <f t="shared" si="5"/>
        <v>173.89043178317056</v>
      </c>
      <c r="D87" s="2"/>
      <c r="E87" s="4"/>
      <c r="F87" s="2"/>
      <c r="G87" s="26">
        <f t="shared" si="6"/>
        <v>173.89043178317056</v>
      </c>
      <c r="H87" s="2"/>
      <c r="I87" s="4"/>
      <c r="J87" s="2"/>
      <c r="K87" s="27">
        <f>IF('RPT1'!$J87="","",'RPT1'!$J87)</f>
        <v>43.472036806513181</v>
      </c>
      <c r="L87" s="27">
        <f>IF('RPT2'!$J87="","",'RPT2'!$J87)</f>
        <v>43.444955394193549</v>
      </c>
      <c r="M87" s="27">
        <f>IF('RPT3'!$J87="","",'RPT3'!$J87)</f>
        <v>43.528484188270262</v>
      </c>
      <c r="N87" s="27">
        <f>IF('RPT4'!$J87="","",'RPT4'!$J87)</f>
        <v>43.444955394193549</v>
      </c>
    </row>
    <row r="88" spans="1:14" x14ac:dyDescent="0.35">
      <c r="A88" s="16" t="s">
        <v>89</v>
      </c>
      <c r="B88" s="2"/>
      <c r="C88" s="26">
        <f t="shared" si="5"/>
        <v>223.83639822340012</v>
      </c>
      <c r="D88" s="2"/>
      <c r="E88" s="4"/>
      <c r="F88" s="2"/>
      <c r="G88" s="26">
        <f t="shared" si="6"/>
        <v>223.83639822340012</v>
      </c>
      <c r="H88" s="2"/>
      <c r="I88" s="4"/>
      <c r="J88" s="2"/>
      <c r="K88" s="27">
        <f>IF('RPT1'!$J88="","",'RPT1'!$J88)</f>
        <v>55.956752024358188</v>
      </c>
      <c r="L88" s="27">
        <f>IF('RPT2'!$J88="","",'RPT2'!$J88)</f>
        <v>55.925791352306391</v>
      </c>
      <c r="M88" s="27">
        <f>IF('RPT3'!$J88="","",'RPT3'!$J88)</f>
        <v>56.028063494429148</v>
      </c>
      <c r="N88" s="27">
        <f>IF('RPT4'!$J88="","",'RPT4'!$J88)</f>
        <v>55.925791352306391</v>
      </c>
    </row>
    <row r="89" spans="1:14" x14ac:dyDescent="0.35">
      <c r="A89" s="16" t="s">
        <v>90</v>
      </c>
      <c r="B89" s="2"/>
      <c r="C89" s="26">
        <f t="shared" si="5"/>
        <v>267.63187369364823</v>
      </c>
      <c r="D89" s="2"/>
      <c r="E89" s="4"/>
      <c r="F89" s="2"/>
      <c r="G89" s="26">
        <f t="shared" si="6"/>
        <v>267.63187369364823</v>
      </c>
      <c r="H89" s="2"/>
      <c r="I89" s="4"/>
      <c r="J89" s="2"/>
      <c r="K89" s="27">
        <f>IF('RPT1'!$J89="","",'RPT1'!$J89)</f>
        <v>66.911007464142301</v>
      </c>
      <c r="L89" s="27">
        <f>IF('RPT2'!$J89="","",'RPT2'!$J89)</f>
        <v>66.871252263573325</v>
      </c>
      <c r="M89" s="27">
        <f>IF('RPT3'!$J89="","",'RPT3'!$J89)</f>
        <v>66.978361702359294</v>
      </c>
      <c r="N89" s="27">
        <f>IF('RPT4'!$J89="","",'RPT4'!$J89)</f>
        <v>66.871252263573325</v>
      </c>
    </row>
    <row r="90" spans="1:14" x14ac:dyDescent="0.35">
      <c r="A90" s="16" t="s">
        <v>91</v>
      </c>
      <c r="B90" s="2"/>
      <c r="C90" s="26">
        <f t="shared" si="5"/>
        <v>914.92390556103703</v>
      </c>
      <c r="D90" s="2"/>
      <c r="E90" s="4"/>
      <c r="F90" s="2"/>
      <c r="G90" s="26">
        <f t="shared" si="6"/>
        <v>914.92390556103703</v>
      </c>
      <c r="H90" s="2"/>
      <c r="I90" s="4"/>
      <c r="J90" s="2"/>
      <c r="K90" s="27">
        <f>IF('RPT1'!$J90="","",'RPT1'!$J90)</f>
        <v>175.24708663785549</v>
      </c>
      <c r="L90" s="27">
        <f>IF('RPT2'!$J90="","",'RPT2'!$J90)</f>
        <v>246.61086821717859</v>
      </c>
      <c r="M90" s="27">
        <f>IF('RPT3'!$J90="","",'RPT3'!$J90)</f>
        <v>246.4550824888243</v>
      </c>
      <c r="N90" s="27">
        <f>IF('RPT4'!$J90="","",'RPT4'!$J90)</f>
        <v>246.61086821717859</v>
      </c>
    </row>
    <row r="91" spans="1:14" x14ac:dyDescent="0.35">
      <c r="A91" s="16" t="s">
        <v>92</v>
      </c>
      <c r="B91" s="2"/>
      <c r="C91" s="26">
        <f t="shared" si="5"/>
        <v>799.47703891515027</v>
      </c>
      <c r="D91" s="2"/>
      <c r="E91" s="4"/>
      <c r="F91" s="2"/>
      <c r="G91" s="26">
        <f t="shared" si="6"/>
        <v>799.47703891515027</v>
      </c>
      <c r="H91" s="2"/>
      <c r="I91" s="4"/>
      <c r="J91" s="2"/>
      <c r="K91" s="27">
        <f>IF('RPT1'!$J91="","",'RPT1'!$J91)</f>
        <v>163.82883227403821</v>
      </c>
      <c r="L91" s="27">
        <f>IF('RPT2'!$J91="","",'RPT2'!$J91)</f>
        <v>211.94005679986549</v>
      </c>
      <c r="M91" s="27">
        <f>IF('RPT3'!$J91="","",'RPT3'!$J91)</f>
        <v>211.76809304138109</v>
      </c>
      <c r="N91" s="27">
        <f>IF('RPT4'!$J91="","",'RPT4'!$J91)</f>
        <v>211.94005679986549</v>
      </c>
    </row>
    <row r="92" spans="1:14" x14ac:dyDescent="0.35">
      <c r="A92" s="16" t="s">
        <v>93</v>
      </c>
      <c r="B92" s="2"/>
      <c r="C92" s="26">
        <f t="shared" si="5"/>
        <v>673.21839857421162</v>
      </c>
      <c r="D92" s="2"/>
      <c r="E92" s="4"/>
      <c r="F92" s="2"/>
      <c r="G92" s="26">
        <f t="shared" si="6"/>
        <v>673.21839857421162</v>
      </c>
      <c r="H92" s="2"/>
      <c r="I92" s="4"/>
      <c r="J92" s="2"/>
      <c r="K92" s="27">
        <f>IF('RPT1'!$J92="","",'RPT1'!$J92)</f>
        <v>155.50374510817829</v>
      </c>
      <c r="L92" s="27">
        <f>IF('RPT2'!$J92="","",'RPT2'!$J92)</f>
        <v>172.60099896528899</v>
      </c>
      <c r="M92" s="27">
        <f>IF('RPT3'!$J92="","",'RPT3'!$J92)</f>
        <v>172.51265553545539</v>
      </c>
      <c r="N92" s="27">
        <f>IF('RPT4'!$J92="","",'RPT4'!$J92)</f>
        <v>172.60099896528899</v>
      </c>
    </row>
    <row r="93" spans="1:14" x14ac:dyDescent="0.35">
      <c r="A93" s="16" t="s">
        <v>94</v>
      </c>
      <c r="B93" s="2"/>
      <c r="C93" s="26">
        <f t="shared" si="5"/>
        <v>626.26321164969295</v>
      </c>
      <c r="D93" s="2"/>
      <c r="E93" s="4"/>
      <c r="F93" s="2"/>
      <c r="G93" s="26">
        <f t="shared" si="6"/>
        <v>626.26321164969295</v>
      </c>
      <c r="H93" s="2"/>
      <c r="I93" s="4"/>
      <c r="J93" s="2"/>
      <c r="K93" s="27">
        <f>IF('RPT1'!$J93="","",'RPT1'!$J93)</f>
        <v>145.5935215337328</v>
      </c>
      <c r="L93" s="27">
        <f>IF('RPT2'!$J93="","",'RPT2'!$J93)</f>
        <v>160.24960786757919</v>
      </c>
      <c r="M93" s="27">
        <f>IF('RPT3'!$J93="","",'RPT3'!$J93)</f>
        <v>160.17047438080169</v>
      </c>
      <c r="N93" s="27">
        <f>IF('RPT4'!$J93="","",'RPT4'!$J93)</f>
        <v>160.24960786757919</v>
      </c>
    </row>
    <row r="94" spans="1:14" x14ac:dyDescent="0.35">
      <c r="A94" s="16" t="s">
        <v>95</v>
      </c>
      <c r="B94" s="2"/>
      <c r="C94" s="26">
        <f t="shared" si="5"/>
        <v>593.12816105390061</v>
      </c>
      <c r="D94" s="2"/>
      <c r="E94" s="4"/>
      <c r="F94" s="2"/>
      <c r="G94" s="26">
        <f t="shared" si="6"/>
        <v>593.12816105390061</v>
      </c>
      <c r="H94" s="2"/>
      <c r="I94" s="4"/>
      <c r="J94" s="2"/>
      <c r="K94" s="27">
        <f>IF('RPT1'!$J94="","",'RPT1'!$J94)</f>
        <v>136.78731052981911</v>
      </c>
      <c r="L94" s="27">
        <f>IF('RPT2'!$J94="","",'RPT2'!$J94)</f>
        <v>152.14477410920051</v>
      </c>
      <c r="M94" s="27">
        <f>IF('RPT3'!$J94="","",'RPT3'!$J94)</f>
        <v>152.05130230568051</v>
      </c>
      <c r="N94" s="27">
        <f>IF('RPT4'!$J94="","",'RPT4'!$J94)</f>
        <v>152.14477410920051</v>
      </c>
    </row>
    <row r="95" spans="1:14" x14ac:dyDescent="0.35">
      <c r="A95" s="16" t="s">
        <v>96</v>
      </c>
      <c r="B95" s="2"/>
      <c r="C95" s="26">
        <f t="shared" si="5"/>
        <v>61.431151563122754</v>
      </c>
      <c r="D95" s="2"/>
      <c r="E95" s="4"/>
      <c r="F95" s="2"/>
      <c r="G95" s="26">
        <f t="shared" si="6"/>
        <v>61.431151563122754</v>
      </c>
      <c r="H95" s="2"/>
      <c r="I95" s="4"/>
      <c r="J95" s="2"/>
      <c r="K95" s="27">
        <f>IF('RPT1'!$J95="","",'RPT1'!$J95)</f>
        <v>15.425673467044399</v>
      </c>
      <c r="L95" s="27">
        <f>IF('RPT2'!$J95="","",'RPT2'!$J95)</f>
        <v>15.28323078924136</v>
      </c>
      <c r="M95" s="27">
        <f>IF('RPT3'!$J95="","",'RPT3'!$J95)</f>
        <v>15.43901651759564</v>
      </c>
      <c r="N95" s="27">
        <f>IF('RPT4'!$J95="","",'RPT4'!$J95)</f>
        <v>15.28323078924136</v>
      </c>
    </row>
    <row r="96" spans="1:14" x14ac:dyDescent="0.35">
      <c r="A96" s="16" t="s">
        <v>97</v>
      </c>
      <c r="B96" s="2"/>
      <c r="C96" s="26">
        <f t="shared" si="5"/>
        <v>214.96196890095399</v>
      </c>
      <c r="D96" s="2"/>
      <c r="E96" s="4"/>
      <c r="F96" s="2"/>
      <c r="G96" s="26">
        <f t="shared" si="6"/>
        <v>214.96196890095399</v>
      </c>
      <c r="H96" s="2"/>
      <c r="I96" s="4"/>
      <c r="J96" s="2"/>
      <c r="K96" s="27">
        <f>IF('RPT1'!$J96="","",'RPT1'!$J96)</f>
        <v>53.805427761373259</v>
      </c>
      <c r="L96" s="27">
        <f>IF('RPT2'!$J96="","",'RPT2'!$J96)</f>
        <v>53.6615257936988</v>
      </c>
      <c r="M96" s="27">
        <f>IF('RPT3'!$J96="","",'RPT3'!$J96)</f>
        <v>53.833489552183167</v>
      </c>
      <c r="N96" s="27">
        <f>IF('RPT4'!$J96="","",'RPT4'!$J96)</f>
        <v>53.6615257936988</v>
      </c>
    </row>
    <row r="97" spans="1:14" x14ac:dyDescent="0.35">
      <c r="A97" s="16" t="s">
        <v>98</v>
      </c>
      <c r="B97" s="2"/>
      <c r="C97" s="26">
        <f t="shared" si="5"/>
        <v>386.95001455303088</v>
      </c>
      <c r="D97" s="2"/>
      <c r="E97" s="4"/>
      <c r="F97" s="2"/>
      <c r="G97" s="26">
        <f t="shared" si="6"/>
        <v>386.95001455303088</v>
      </c>
      <c r="H97" s="2"/>
      <c r="I97" s="4"/>
      <c r="J97" s="2"/>
      <c r="K97" s="27">
        <f>IF('RPT1'!$J97="","",'RPT1'!$J97)</f>
        <v>96.76650519272296</v>
      </c>
      <c r="L97" s="27">
        <f>IF('RPT2'!$J97="","",'RPT2'!$J97)</f>
        <v>96.698388643491455</v>
      </c>
      <c r="M97" s="27">
        <f>IF('RPT3'!$J97="","",'RPT3'!$J97)</f>
        <v>96.786732073325041</v>
      </c>
      <c r="N97" s="27">
        <f>IF('RPT4'!$J97="","",'RPT4'!$J97)</f>
        <v>96.698388643491455</v>
      </c>
    </row>
    <row r="98" spans="1:14" x14ac:dyDescent="0.35">
      <c r="A98" s="16" t="s">
        <v>99</v>
      </c>
      <c r="B98" s="2"/>
      <c r="C98" s="26">
        <f t="shared" si="5"/>
        <v>453.19765017365114</v>
      </c>
      <c r="D98" s="2"/>
      <c r="E98" s="4"/>
      <c r="F98" s="2"/>
      <c r="G98" s="26">
        <f t="shared" si="6"/>
        <v>453.19765017365114</v>
      </c>
      <c r="H98" s="2"/>
      <c r="I98" s="4"/>
      <c r="J98" s="2"/>
      <c r="K98" s="27">
        <f>IF('RPT1'!$J98="","",'RPT1'!$J98)</f>
        <v>113.3343160610238</v>
      </c>
      <c r="L98" s="27">
        <f>IF('RPT2'!$J98="","",'RPT2'!$J98)</f>
        <v>113.26140020861661</v>
      </c>
      <c r="M98" s="27">
        <f>IF('RPT3'!$J98="","",'RPT3'!$J98)</f>
        <v>113.3405336953941</v>
      </c>
      <c r="N98" s="27">
        <f>IF('RPT4'!$J98="","",'RPT4'!$J98)</f>
        <v>113.26140020861661</v>
      </c>
    </row>
    <row r="99" spans="1:14" x14ac:dyDescent="0.35">
      <c r="A99" s="16" t="s">
        <v>100</v>
      </c>
      <c r="B99" s="2"/>
      <c r="C99" s="26">
        <f t="shared" si="5"/>
        <v>507.49565973302578</v>
      </c>
      <c r="D99" s="2"/>
      <c r="E99" s="4"/>
      <c r="F99" s="2"/>
      <c r="G99" s="26">
        <f t="shared" si="6"/>
        <v>507.49565973302578</v>
      </c>
      <c r="H99" s="2"/>
      <c r="I99" s="4"/>
      <c r="J99" s="2"/>
      <c r="K99" s="27">
        <f>IF('RPT1'!$J99="","",'RPT1'!$J99)</f>
        <v>126.91924339003771</v>
      </c>
      <c r="L99" s="27">
        <f>IF('RPT2'!$J99="","",'RPT2'!$J99)</f>
        <v>126.8276481798227</v>
      </c>
      <c r="M99" s="27">
        <f>IF('RPT3'!$J99="","",'RPT3'!$J99)</f>
        <v>126.92111998334271</v>
      </c>
      <c r="N99" s="27">
        <f>IF('RPT4'!$J99="","",'RPT4'!$J99)</f>
        <v>126.8276481798227</v>
      </c>
    </row>
    <row r="100" spans="1:14" x14ac:dyDescent="0.35">
      <c r="A100" s="16" t="s">
        <v>101</v>
      </c>
      <c r="B100" s="2"/>
      <c r="C100" s="26">
        <f t="shared" si="5"/>
        <v>505.7454394460932</v>
      </c>
      <c r="D100" s="2"/>
      <c r="E100" s="4"/>
      <c r="F100" s="2"/>
      <c r="G100" s="26">
        <f t="shared" si="6"/>
        <v>505.7454394460932</v>
      </c>
      <c r="H100" s="2"/>
      <c r="I100" s="4"/>
      <c r="J100" s="2"/>
      <c r="K100" s="27">
        <f>IF('RPT1'!$J100="","",'RPT1'!$J100)</f>
        <v>93.7359833517325</v>
      </c>
      <c r="L100" s="27">
        <f>IF('RPT2'!$J100="","",'RPT2'!$J100)</f>
        <v>137.3682225639248</v>
      </c>
      <c r="M100" s="27">
        <f>IF('RPT3'!$J100="","",'RPT3'!$J100)</f>
        <v>137.27301096651109</v>
      </c>
      <c r="N100" s="27">
        <f>IF('RPT4'!$J100="","",'RPT4'!$J100)</f>
        <v>137.3682225639248</v>
      </c>
    </row>
    <row r="101" spans="1:14" x14ac:dyDescent="0.35">
      <c r="A101" s="16" t="s">
        <v>102</v>
      </c>
      <c r="B101" s="2"/>
      <c r="C101" s="26">
        <f t="shared" si="5"/>
        <v>450.85413972850989</v>
      </c>
      <c r="D101" s="2"/>
      <c r="E101" s="4"/>
      <c r="F101" s="2"/>
      <c r="G101" s="26">
        <f t="shared" si="6"/>
        <v>450.85413972850989</v>
      </c>
      <c r="H101" s="2"/>
      <c r="I101" s="4"/>
      <c r="J101" s="2"/>
      <c r="K101" s="27">
        <f>IF('RPT1'!$J101="","",'RPT1'!$J101)</f>
        <v>91.468943065692201</v>
      </c>
      <c r="L101" s="27">
        <f>IF('RPT2'!$J101="","",'RPT2'!$J101)</f>
        <v>119.8289704858668</v>
      </c>
      <c r="M101" s="27">
        <f>IF('RPT3'!$J101="","",'RPT3'!$J101)</f>
        <v>119.7272556910842</v>
      </c>
      <c r="N101" s="27">
        <f>IF('RPT4'!$J101="","",'RPT4'!$J101)</f>
        <v>119.82897048586671</v>
      </c>
    </row>
    <row r="102" spans="1:14" x14ac:dyDescent="0.35">
      <c r="A102" s="16" t="s">
        <v>103</v>
      </c>
      <c r="B102" s="2"/>
      <c r="C102" s="26">
        <f t="shared" si="5"/>
        <v>410.76960843038069</v>
      </c>
      <c r="D102" s="2"/>
      <c r="E102" s="4"/>
      <c r="F102" s="2"/>
      <c r="G102" s="26">
        <f t="shared" si="6"/>
        <v>410.76960843038069</v>
      </c>
      <c r="H102" s="2"/>
      <c r="I102" s="4"/>
      <c r="J102" s="2"/>
      <c r="K102" s="27">
        <f>IF('RPT1'!$J102="","",'RPT1'!$J102)</f>
        <v>90.74861518399193</v>
      </c>
      <c r="L102" s="27">
        <f>IF('RPT2'!$J102="","",'RPT2'!$J102)</f>
        <v>106.70075159552439</v>
      </c>
      <c r="M102" s="27">
        <f>IF('RPT3'!$J102="","",'RPT3'!$J102)</f>
        <v>106.61949005533999</v>
      </c>
      <c r="N102" s="27">
        <f>IF('RPT4'!$J102="","",'RPT4'!$J102)</f>
        <v>106.70075159552439</v>
      </c>
    </row>
    <row r="103" spans="1:14" x14ac:dyDescent="0.35">
      <c r="A103" s="16" t="s">
        <v>104</v>
      </c>
      <c r="B103" s="2"/>
      <c r="C103" s="26">
        <f t="shared" si="5"/>
        <v>406.29011321300101</v>
      </c>
      <c r="D103" s="2"/>
      <c r="E103" s="4"/>
      <c r="F103" s="2"/>
      <c r="G103" s="26">
        <f t="shared" si="6"/>
        <v>406.29011321300101</v>
      </c>
      <c r="H103" s="2"/>
      <c r="I103" s="4"/>
      <c r="J103" s="2"/>
      <c r="K103" s="27">
        <f>IF('RPT1'!$J103="","",'RPT1'!$J103)</f>
        <v>89.7537419030038</v>
      </c>
      <c r="L103" s="27">
        <f>IF('RPT2'!$J103="","",'RPT2'!$J103)</f>
        <v>105.5423941593059</v>
      </c>
      <c r="M103" s="27">
        <f>IF('RPT3'!$J103="","",'RPT3'!$J103)</f>
        <v>105.45158299138539</v>
      </c>
      <c r="N103" s="27">
        <f>IF('RPT4'!$J103="","",'RPT4'!$J103)</f>
        <v>105.5423941593059</v>
      </c>
    </row>
    <row r="104" spans="1:14" x14ac:dyDescent="0.35">
      <c r="A104" s="16" t="s">
        <v>105</v>
      </c>
      <c r="B104" s="2"/>
      <c r="C104" s="26">
        <f t="shared" si="5"/>
        <v>408.89775347860115</v>
      </c>
      <c r="D104" s="2"/>
      <c r="E104" s="4"/>
      <c r="F104" s="2"/>
      <c r="G104" s="26">
        <f t="shared" si="6"/>
        <v>408.89775347860115</v>
      </c>
      <c r="H104" s="2"/>
      <c r="I104" s="4"/>
      <c r="J104" s="2"/>
      <c r="K104" s="27">
        <f>IF('RPT1'!$J104="","",'RPT1'!$J104)</f>
        <v>89.297410935111742</v>
      </c>
      <c r="L104" s="27">
        <f>IF('RPT2'!$J104="","",'RPT2'!$J104)</f>
        <v>106.57126528763941</v>
      </c>
      <c r="M104" s="27">
        <f>IF('RPT3'!$J104="","",'RPT3'!$J104)</f>
        <v>106.45781196821061</v>
      </c>
      <c r="N104" s="27">
        <f>IF('RPT4'!$J104="","",'RPT4'!$J104)</f>
        <v>106.57126528763941</v>
      </c>
    </row>
    <row r="105" spans="1:14" x14ac:dyDescent="0.35">
      <c r="A105" s="16" t="s">
        <v>106</v>
      </c>
      <c r="B105" s="2"/>
      <c r="C105" s="26">
        <f t="shared" si="5"/>
        <v>107.30071533148507</v>
      </c>
      <c r="D105" s="2"/>
      <c r="E105" s="4"/>
      <c r="F105" s="2"/>
      <c r="G105" s="26">
        <f t="shared" si="6"/>
        <v>107.30071533148507</v>
      </c>
      <c r="H105" s="2"/>
      <c r="I105" s="4"/>
      <c r="J105" s="2"/>
      <c r="K105" s="27">
        <f>IF('RPT1'!$J105="","",'RPT1'!$J105)</f>
        <v>26.866693656889389</v>
      </c>
      <c r="L105" s="27">
        <f>IF('RPT2'!$J105="","",'RPT2'!$J105)</f>
        <v>26.779603359060658</v>
      </c>
      <c r="M105" s="27">
        <f>IF('RPT3'!$J105="","",'RPT3'!$J105)</f>
        <v>26.87481495647436</v>
      </c>
      <c r="N105" s="27">
        <f>IF('RPT4'!$J105="","",'RPT4'!$J105)</f>
        <v>26.779603359060658</v>
      </c>
    </row>
    <row r="106" spans="1:14" x14ac:dyDescent="0.35">
      <c r="A106" s="16" t="s">
        <v>107</v>
      </c>
      <c r="B106" s="2"/>
      <c r="C106" s="26">
        <f t="shared" si="5"/>
        <v>196.48989076625108</v>
      </c>
      <c r="D106" s="2"/>
      <c r="E106" s="4"/>
      <c r="F106" s="2"/>
      <c r="G106" s="26">
        <f t="shared" si="6"/>
        <v>196.48989076625108</v>
      </c>
      <c r="H106" s="2"/>
      <c r="I106" s="4"/>
      <c r="J106" s="2"/>
      <c r="K106" s="27">
        <f>IF('RPT1'!$J106="","",'RPT1'!$J106)</f>
        <v>49.160663196950267</v>
      </c>
      <c r="L106" s="27">
        <f>IF('RPT2'!$J106="","",'RPT2'!$J106)</f>
        <v>49.07583759150608</v>
      </c>
      <c r="M106" s="27">
        <f>IF('RPT3'!$J106="","",'RPT3'!$J106)</f>
        <v>49.177552386288639</v>
      </c>
      <c r="N106" s="27">
        <f>IF('RPT4'!$J106="","",'RPT4'!$J106)</f>
        <v>49.07583759150608</v>
      </c>
    </row>
    <row r="107" spans="1:14" x14ac:dyDescent="0.35">
      <c r="A107" s="16" t="s">
        <v>108</v>
      </c>
      <c r="B107" s="2"/>
      <c r="C107" s="26">
        <f t="shared" si="5"/>
        <v>268.69693741418678</v>
      </c>
      <c r="D107" s="2"/>
      <c r="E107" s="4"/>
      <c r="F107" s="2"/>
      <c r="G107" s="26">
        <f t="shared" si="6"/>
        <v>268.69693741418678</v>
      </c>
      <c r="H107" s="2"/>
      <c r="I107" s="4"/>
      <c r="J107" s="2"/>
      <c r="K107" s="27">
        <f>IF('RPT1'!$J107="","",'RPT1'!$J107)</f>
        <v>67.201584714750197</v>
      </c>
      <c r="L107" s="27">
        <f>IF('RPT2'!$J107="","",'RPT2'!$J107)</f>
        <v>67.138030386417398</v>
      </c>
      <c r="M107" s="27">
        <f>IF('RPT3'!$J107="","",'RPT3'!$J107)</f>
        <v>67.219291926601812</v>
      </c>
      <c r="N107" s="27">
        <f>IF('RPT4'!$J107="","",'RPT4'!$J107)</f>
        <v>67.138030386417398</v>
      </c>
    </row>
    <row r="108" spans="1:14" x14ac:dyDescent="0.35">
      <c r="A108" s="16" t="s">
        <v>109</v>
      </c>
      <c r="B108" s="2"/>
      <c r="C108" s="26">
        <f t="shared" si="5"/>
        <v>294.47316036804415</v>
      </c>
      <c r="D108" s="2"/>
      <c r="E108" s="4"/>
      <c r="F108" s="2"/>
      <c r="G108" s="26">
        <f t="shared" si="6"/>
        <v>294.47316036804415</v>
      </c>
      <c r="H108" s="2"/>
      <c r="I108" s="4"/>
      <c r="J108" s="2"/>
      <c r="K108" s="27">
        <f>IF('RPT1'!$J108="","",'RPT1'!$J108)</f>
        <v>73.654500181584268</v>
      </c>
      <c r="L108" s="27">
        <f>IF('RPT2'!$J108="","",'RPT2'!$J108)</f>
        <v>73.575949672846448</v>
      </c>
      <c r="M108" s="27">
        <f>IF('RPT3'!$J108="","",'RPT3'!$J108)</f>
        <v>73.666760840766955</v>
      </c>
      <c r="N108" s="27">
        <f>IF('RPT4'!$J108="","",'RPT4'!$J108)</f>
        <v>73.575949672846448</v>
      </c>
    </row>
    <row r="109" spans="1:14" x14ac:dyDescent="0.35">
      <c r="A109" s="16" t="s">
        <v>110</v>
      </c>
      <c r="B109" s="2"/>
      <c r="C109" s="26">
        <f t="shared" si="5"/>
        <v>315.11166479438202</v>
      </c>
      <c r="D109" s="2"/>
      <c r="E109" s="4"/>
      <c r="F109" s="2"/>
      <c r="G109" s="26">
        <f t="shared" si="6"/>
        <v>315.11166479438202</v>
      </c>
      <c r="H109" s="2"/>
      <c r="I109" s="4"/>
      <c r="J109" s="2"/>
      <c r="K109" s="27">
        <f>IF('RPT1'!$J109="","",'RPT1'!$J109)</f>
        <v>78.82682160093151</v>
      </c>
      <c r="L109" s="27">
        <f>IF('RPT2'!$J109="","",'RPT2'!$J109)</f>
        <v>78.723796624673895</v>
      </c>
      <c r="M109" s="27">
        <f>IF('RPT3'!$J109="","",'RPT3'!$J109)</f>
        <v>78.837249944102723</v>
      </c>
      <c r="N109" s="27">
        <f>IF('RPT4'!$J109="","",'RPT4'!$J109)</f>
        <v>78.723796624673895</v>
      </c>
    </row>
    <row r="110" spans="1:14" x14ac:dyDescent="0.35">
      <c r="A110" s="16" t="s">
        <v>111</v>
      </c>
      <c r="B110" s="2"/>
      <c r="C110" s="26">
        <f t="shared" si="5"/>
        <v>120.52764781451566</v>
      </c>
      <c r="D110" s="2"/>
      <c r="E110" s="4"/>
      <c r="F110" s="2"/>
      <c r="G110" s="26">
        <f t="shared" si="6"/>
        <v>120.52764781451566</v>
      </c>
      <c r="H110" s="2"/>
      <c r="I110" s="4"/>
      <c r="J110" s="2"/>
      <c r="K110" s="27">
        <f>IF('RPT1'!$J110="","",'RPT1'!$J110)</f>
        <v>27.779876697843051</v>
      </c>
      <c r="L110" s="27">
        <f>IF('RPT2'!$J110="","",'RPT2'!$J110)</f>
        <v>30.915923705557539</v>
      </c>
      <c r="M110" s="27">
        <f>IF('RPT3'!$J110="","",'RPT3'!$J110)</f>
        <v>30.915923705557539</v>
      </c>
      <c r="N110" s="27">
        <f>IF('RPT4'!$J110="","",'RPT4'!$J110)</f>
        <v>30.915923705557532</v>
      </c>
    </row>
    <row r="111" spans="1:14" x14ac:dyDescent="0.35">
      <c r="A111" s="16" t="s">
        <v>112</v>
      </c>
      <c r="B111" s="2"/>
      <c r="C111" s="26">
        <f t="shared" si="5"/>
        <v>118.18204586339546</v>
      </c>
      <c r="D111" s="2"/>
      <c r="E111" s="4"/>
      <c r="F111" s="2"/>
      <c r="G111" s="26">
        <f t="shared" si="6"/>
        <v>118.18204586339546</v>
      </c>
      <c r="H111" s="2"/>
      <c r="I111" s="4"/>
      <c r="J111" s="2"/>
      <c r="K111" s="27">
        <f>IF('RPT1'!$J111="","",'RPT1'!$J111)</f>
        <v>27.147007739632581</v>
      </c>
      <c r="L111" s="27">
        <f>IF('RPT2'!$J111="","",'RPT2'!$J111)</f>
        <v>30.345012707920962</v>
      </c>
      <c r="M111" s="27">
        <f>IF('RPT3'!$J111="","",'RPT3'!$J111)</f>
        <v>30.345012707920962</v>
      </c>
      <c r="N111" s="27">
        <f>IF('RPT4'!$J111="","",'RPT4'!$J111)</f>
        <v>30.345012707920962</v>
      </c>
    </row>
    <row r="112" spans="1:14" x14ac:dyDescent="0.35">
      <c r="A112" s="16" t="s">
        <v>113</v>
      </c>
      <c r="B112" s="2"/>
      <c r="C112" s="26">
        <f t="shared" si="5"/>
        <v>96.693258510509182</v>
      </c>
      <c r="D112" s="2"/>
      <c r="E112" s="4"/>
      <c r="F112" s="2"/>
      <c r="G112" s="26">
        <f t="shared" si="6"/>
        <v>96.693258510509182</v>
      </c>
      <c r="H112" s="2"/>
      <c r="I112" s="4"/>
      <c r="J112" s="2"/>
      <c r="K112" s="27">
        <f>IF('RPT1'!$J112="","",'RPT1'!$J112)</f>
        <v>21.708675807938441</v>
      </c>
      <c r="L112" s="27">
        <f>IF('RPT2'!$J112="","",'RPT2'!$J112)</f>
        <v>24.994860900856921</v>
      </c>
      <c r="M112" s="27">
        <f>IF('RPT3'!$J112="","",'RPT3'!$J112)</f>
        <v>24.99486090085691</v>
      </c>
      <c r="N112" s="27">
        <f>IF('RPT4'!$J112="","",'RPT4'!$J112)</f>
        <v>24.99486090085691</v>
      </c>
    </row>
    <row r="113" spans="1:14" x14ac:dyDescent="0.35">
      <c r="A113" s="16" t="s">
        <v>114</v>
      </c>
      <c r="B113" s="2"/>
      <c r="C113" s="26">
        <f t="shared" si="5"/>
        <v>86.753437115145829</v>
      </c>
      <c r="D113" s="2"/>
      <c r="E113" s="4"/>
      <c r="F113" s="2"/>
      <c r="G113" s="26">
        <f t="shared" si="6"/>
        <v>86.753437115145829</v>
      </c>
      <c r="H113" s="2"/>
      <c r="I113" s="4"/>
      <c r="J113" s="2"/>
      <c r="K113" s="27">
        <f>IF('RPT1'!$J113="","",'RPT1'!$J113)</f>
        <v>19.172145805199001</v>
      </c>
      <c r="L113" s="27">
        <f>IF('RPT2'!$J113="","",'RPT2'!$J113)</f>
        <v>22.527097103315601</v>
      </c>
      <c r="M113" s="27">
        <f>IF('RPT3'!$J113="","",'RPT3'!$J113)</f>
        <v>22.527097103315612</v>
      </c>
      <c r="N113" s="27">
        <f>IF('RPT4'!$J113="","",'RPT4'!$J113)</f>
        <v>22.527097103315612</v>
      </c>
    </row>
    <row r="114" spans="1:14" x14ac:dyDescent="0.35">
      <c r="A114" s="16" t="s">
        <v>115</v>
      </c>
      <c r="B114" s="2"/>
      <c r="C114" s="26">
        <f t="shared" si="5"/>
        <v>88.328083802396804</v>
      </c>
      <c r="D114" s="2"/>
      <c r="E114" s="4"/>
      <c r="F114" s="2"/>
      <c r="G114" s="26">
        <f t="shared" si="6"/>
        <v>88.328083802396804</v>
      </c>
      <c r="H114" s="2"/>
      <c r="I114" s="4"/>
      <c r="J114" s="2"/>
      <c r="K114" s="27">
        <f>IF('RPT1'!$J114="","",'RPT1'!$J114)</f>
        <v>19.513156123186601</v>
      </c>
      <c r="L114" s="27">
        <f>IF('RPT2'!$J114="","",'RPT2'!$J114)</f>
        <v>22.938309226403401</v>
      </c>
      <c r="M114" s="27">
        <f>IF('RPT3'!$J114="","",'RPT3'!$J114)</f>
        <v>22.938309226403401</v>
      </c>
      <c r="N114" s="27">
        <f>IF('RPT4'!$J114="","",'RPT4'!$J114)</f>
        <v>22.938309226403401</v>
      </c>
    </row>
    <row r="115" spans="1:14" x14ac:dyDescent="0.35">
      <c r="A115" s="16" t="s">
        <v>116</v>
      </c>
      <c r="B115" s="2"/>
      <c r="C115" s="26">
        <f t="shared" si="5"/>
        <v>21.505305600351978</v>
      </c>
      <c r="D115" s="2"/>
      <c r="E115" s="4"/>
      <c r="F115" s="2"/>
      <c r="G115" s="26">
        <f t="shared" si="6"/>
        <v>21.505305600351978</v>
      </c>
      <c r="H115" s="2"/>
      <c r="I115" s="4"/>
      <c r="J115" s="2"/>
      <c r="K115" s="27">
        <f>IF('RPT1'!$J115="","",'RPT1'!$J115)</f>
        <v>5.3810210812372672</v>
      </c>
      <c r="L115" s="27">
        <f>IF('RPT2'!$J115="","",'RPT2'!$J115)</f>
        <v>5.3747615063715699</v>
      </c>
      <c r="M115" s="27">
        <f>IF('RPT3'!$J115="","",'RPT3'!$J115)</f>
        <v>5.3747615063715699</v>
      </c>
      <c r="N115" s="27">
        <f>IF('RPT4'!$J115="","",'RPT4'!$J115)</f>
        <v>5.3747615063715699</v>
      </c>
    </row>
    <row r="116" spans="1:14" x14ac:dyDescent="0.35">
      <c r="A116" s="16" t="s">
        <v>117</v>
      </c>
      <c r="B116" s="2"/>
      <c r="C116" s="26">
        <f t="shared" si="5"/>
        <v>27.623617126530412</v>
      </c>
      <c r="D116" s="2"/>
      <c r="E116" s="4"/>
      <c r="F116" s="2"/>
      <c r="G116" s="26">
        <f t="shared" si="6"/>
        <v>27.623617126530412</v>
      </c>
      <c r="H116" s="2"/>
      <c r="I116" s="4"/>
      <c r="J116" s="2"/>
      <c r="K116" s="27">
        <f>IF('RPT1'!$J116="","",'RPT1'!$J116)</f>
        <v>6.9130782708436183</v>
      </c>
      <c r="L116" s="27">
        <f>IF('RPT2'!$J116="","",'RPT2'!$J116)</f>
        <v>6.903512951895598</v>
      </c>
      <c r="M116" s="27">
        <f>IF('RPT3'!$J116="","",'RPT3'!$J116)</f>
        <v>6.9035129518955971</v>
      </c>
      <c r="N116" s="27">
        <f>IF('RPT4'!$J116="","",'RPT4'!$J116)</f>
        <v>6.903512951895598</v>
      </c>
    </row>
    <row r="117" spans="1:14" x14ac:dyDescent="0.35">
      <c r="A117" s="16" t="s">
        <v>118</v>
      </c>
      <c r="B117" s="2"/>
      <c r="C117" s="26">
        <f t="shared" si="5"/>
        <v>53.767715943031206</v>
      </c>
      <c r="D117" s="2"/>
      <c r="E117" s="4"/>
      <c r="F117" s="2"/>
      <c r="G117" s="26">
        <f t="shared" si="6"/>
        <v>53.767715943031206</v>
      </c>
      <c r="H117" s="2"/>
      <c r="I117" s="4"/>
      <c r="J117" s="2"/>
      <c r="K117" s="27">
        <f>IF('RPT1'!$J117="","",'RPT1'!$J117)</f>
        <v>13.451748263923889</v>
      </c>
      <c r="L117" s="27">
        <f>IF('RPT2'!$J117="","",'RPT2'!$J117)</f>
        <v>13.43865589303577</v>
      </c>
      <c r="M117" s="27">
        <f>IF('RPT3'!$J117="","",'RPT3'!$J117)</f>
        <v>13.43865589303577</v>
      </c>
      <c r="N117" s="27">
        <f>IF('RPT4'!$J117="","",'RPT4'!$J117)</f>
        <v>13.43865589303577</v>
      </c>
    </row>
    <row r="118" spans="1:14" x14ac:dyDescent="0.35">
      <c r="A118" s="16" t="s">
        <v>119</v>
      </c>
      <c r="B118" s="2"/>
      <c r="C118" s="26">
        <f t="shared" si="5"/>
        <v>67.690982958332739</v>
      </c>
      <c r="D118" s="2"/>
      <c r="E118" s="4"/>
      <c r="F118" s="2"/>
      <c r="G118" s="26">
        <f t="shared" si="6"/>
        <v>67.690982958332739</v>
      </c>
      <c r="H118" s="2"/>
      <c r="I118" s="4"/>
      <c r="J118" s="2"/>
      <c r="K118" s="27">
        <f>IF('RPT1'!$J118="","",'RPT1'!$J118)</f>
        <v>16.935264214576161</v>
      </c>
      <c r="L118" s="27">
        <f>IF('RPT2'!$J118="","",'RPT2'!$J118)</f>
        <v>16.918572914585528</v>
      </c>
      <c r="M118" s="27">
        <f>IF('RPT3'!$J118="","",'RPT3'!$J118)</f>
        <v>16.918572914585528</v>
      </c>
      <c r="N118" s="27">
        <f>IF('RPT4'!$J118="","",'RPT4'!$J118)</f>
        <v>16.918572914585528</v>
      </c>
    </row>
    <row r="119" spans="1:14" x14ac:dyDescent="0.35">
      <c r="A119" s="16" t="s">
        <v>120</v>
      </c>
      <c r="B119" s="2"/>
      <c r="C119" s="26">
        <f t="shared" si="5"/>
        <v>70.508231100796664</v>
      </c>
      <c r="D119" s="2"/>
      <c r="E119" s="4"/>
      <c r="F119" s="2"/>
      <c r="G119" s="26">
        <f t="shared" si="6"/>
        <v>70.508231100796664</v>
      </c>
      <c r="H119" s="2"/>
      <c r="I119" s="4"/>
      <c r="J119" s="2"/>
      <c r="K119" s="27">
        <f>IF('RPT1'!$J119="","",'RPT1'!$J119)</f>
        <v>17.642379036595269</v>
      </c>
      <c r="L119" s="27">
        <f>IF('RPT2'!$J119="","",'RPT2'!$J119)</f>
        <v>17.62195068806713</v>
      </c>
      <c r="M119" s="27">
        <f>IF('RPT3'!$J119="","",'RPT3'!$J119)</f>
        <v>17.62195068806713</v>
      </c>
      <c r="N119" s="27">
        <f>IF('RPT4'!$J119="","",'RPT4'!$J119)</f>
        <v>17.62195068806713</v>
      </c>
    </row>
    <row r="120" spans="1:14" x14ac:dyDescent="0.35">
      <c r="A120" s="24"/>
      <c r="B120" s="2"/>
      <c r="C120" s="14"/>
      <c r="D120" s="2"/>
      <c r="E120" s="4"/>
      <c r="F120" s="2"/>
      <c r="G120" s="14"/>
      <c r="H120" s="2"/>
      <c r="I120" s="4"/>
      <c r="J120" s="2"/>
      <c r="K120" s="25"/>
      <c r="L120" s="25"/>
      <c r="M120" s="25"/>
      <c r="N120" s="25"/>
    </row>
    <row r="121" spans="1:14" x14ac:dyDescent="0.35">
      <c r="A121" s="12" t="s">
        <v>121</v>
      </c>
      <c r="B121" s="2"/>
      <c r="C121" s="14"/>
      <c r="D121" s="2"/>
      <c r="E121" s="4"/>
      <c r="F121" s="2"/>
      <c r="G121" s="14"/>
      <c r="H121" s="2"/>
      <c r="I121" s="4"/>
      <c r="J121" s="2"/>
      <c r="K121" s="25" t="str">
        <f>IF('RPT1'!$J121="","",'RPT1'!$J121)</f>
        <v/>
      </c>
      <c r="L121" s="25" t="str">
        <f>IF('RPT2'!$J121="","",'RPT2'!$J121)</f>
        <v/>
      </c>
      <c r="M121" s="25" t="str">
        <f>IF('RPT3'!$J121="","",'RPT3'!$J121)</f>
        <v/>
      </c>
      <c r="N121" s="25" t="str">
        <f>IF('RPT4'!$J121="","",'RPT4'!$J121)</f>
        <v/>
      </c>
    </row>
    <row r="122" spans="1:14" x14ac:dyDescent="0.35">
      <c r="A122" s="16" t="s">
        <v>122</v>
      </c>
      <c r="B122" s="2"/>
      <c r="C122" s="26">
        <f t="shared" ref="C122:C161" si="7">IF(Combine="Y", $G122, 0)</f>
        <v>687.55021103516606</v>
      </c>
      <c r="D122" s="2"/>
      <c r="E122" s="4"/>
      <c r="F122" s="2"/>
      <c r="G122" s="26">
        <f t="shared" ref="G122:G161" si="8">SUM($K122:$N122)</f>
        <v>687.55021103516606</v>
      </c>
      <c r="H122" s="2"/>
      <c r="I122" s="4"/>
      <c r="J122" s="2"/>
      <c r="K122" s="27">
        <f>IF('RPT1'!$J122="","",'RPT1'!$J122)</f>
        <v>161.973404550769</v>
      </c>
      <c r="L122" s="27">
        <f>IF('RPT2'!$J122="","",'RPT2'!$J122)</f>
        <v>186.9547383923466</v>
      </c>
      <c r="M122" s="27">
        <f>IF('RPT3'!$J122="","",'RPT3'!$J122)</f>
        <v>151.5369320832371</v>
      </c>
      <c r="N122" s="27">
        <f>IF('RPT4'!$J122="","",'RPT4'!$J122)</f>
        <v>187.08513600881329</v>
      </c>
    </row>
    <row r="123" spans="1:14" x14ac:dyDescent="0.35">
      <c r="A123" s="16" t="s">
        <v>123</v>
      </c>
      <c r="B123" s="2"/>
      <c r="C123" s="26">
        <f t="shared" si="7"/>
        <v>683.99798068986161</v>
      </c>
      <c r="D123" s="2"/>
      <c r="E123" s="4"/>
      <c r="F123" s="2"/>
      <c r="G123" s="26">
        <f t="shared" si="8"/>
        <v>683.99798068986161</v>
      </c>
      <c r="H123" s="2"/>
      <c r="I123" s="4"/>
      <c r="J123" s="2"/>
      <c r="K123" s="27">
        <f>IF('RPT1'!$J123="","",'RPT1'!$J123)</f>
        <v>166.54721882731161</v>
      </c>
      <c r="L123" s="27">
        <f>IF('RPT2'!$J123="","",'RPT2'!$J123)</f>
        <v>182.46252515724089</v>
      </c>
      <c r="M123" s="27">
        <f>IF('RPT3'!$J123="","",'RPT3'!$J123)</f>
        <v>152.52004314418281</v>
      </c>
      <c r="N123" s="27">
        <f>IF('RPT4'!$J123="","",'RPT4'!$J123)</f>
        <v>182.46819356112621</v>
      </c>
    </row>
    <row r="124" spans="1:14" x14ac:dyDescent="0.35">
      <c r="A124" s="16" t="s">
        <v>124</v>
      </c>
      <c r="B124" s="2"/>
      <c r="C124" s="26">
        <f t="shared" si="7"/>
        <v>671.58612775493577</v>
      </c>
      <c r="D124" s="2"/>
      <c r="E124" s="4"/>
      <c r="F124" s="2"/>
      <c r="G124" s="26">
        <f t="shared" si="8"/>
        <v>671.58612775493577</v>
      </c>
      <c r="H124" s="2"/>
      <c r="I124" s="4"/>
      <c r="J124" s="2"/>
      <c r="K124" s="27">
        <f>IF('RPT1'!$J124="","",'RPT1'!$J124)</f>
        <v>168.03874860618711</v>
      </c>
      <c r="L124" s="27">
        <f>IF('RPT2'!$J124="","",'RPT2'!$J124)</f>
        <v>174.835238720555</v>
      </c>
      <c r="M124" s="27">
        <f>IF('RPT3'!$J124="","",'RPT3'!$J124)</f>
        <v>153.87320125468909</v>
      </c>
      <c r="N124" s="27">
        <f>IF('RPT4'!$J124="","",'RPT4'!$J124)</f>
        <v>174.8389391735046</v>
      </c>
    </row>
    <row r="125" spans="1:14" x14ac:dyDescent="0.35">
      <c r="A125" s="16" t="s">
        <v>125</v>
      </c>
      <c r="B125" s="2"/>
      <c r="C125" s="26">
        <f t="shared" si="7"/>
        <v>661.01842681633082</v>
      </c>
      <c r="D125" s="2"/>
      <c r="E125" s="4"/>
      <c r="F125" s="2"/>
      <c r="G125" s="26">
        <f t="shared" si="8"/>
        <v>661.01842681633082</v>
      </c>
      <c r="H125" s="2"/>
      <c r="I125" s="4"/>
      <c r="J125" s="2"/>
      <c r="K125" s="27">
        <f>IF('RPT1'!$J125="","",'RPT1'!$J125)</f>
        <v>165.72544263126619</v>
      </c>
      <c r="L125" s="27">
        <f>IF('RPT2'!$J125="","",'RPT2'!$J125)</f>
        <v>171.94747778528509</v>
      </c>
      <c r="M125" s="27">
        <f>IF('RPT3'!$J125="","",'RPT3'!$J125)</f>
        <v>151.39439419382461</v>
      </c>
      <c r="N125" s="27">
        <f>IF('RPT4'!$J125="","",'RPT4'!$J125)</f>
        <v>171.9511122059549</v>
      </c>
    </row>
    <row r="126" spans="1:14" x14ac:dyDescent="0.35">
      <c r="A126" s="16" t="s">
        <v>126</v>
      </c>
      <c r="B126" s="2"/>
      <c r="C126" s="26">
        <f t="shared" si="7"/>
        <v>669.16715650723302</v>
      </c>
      <c r="D126" s="2"/>
      <c r="E126" s="4"/>
      <c r="F126" s="2"/>
      <c r="G126" s="26">
        <f t="shared" si="8"/>
        <v>669.16715650723302</v>
      </c>
      <c r="H126" s="2"/>
      <c r="I126" s="4"/>
      <c r="J126" s="2"/>
      <c r="K126" s="27">
        <f>IF('RPT1'!$J126="","",'RPT1'!$J126)</f>
        <v>166.78155738901069</v>
      </c>
      <c r="L126" s="27">
        <f>IF('RPT2'!$J126="","",'RPT2'!$J126)</f>
        <v>173.4459901202448</v>
      </c>
      <c r="M126" s="27">
        <f>IF('RPT3'!$J126="","",'RPT3'!$J126)</f>
        <v>155.490452590807</v>
      </c>
      <c r="N126" s="27">
        <f>IF('RPT4'!$J126="","",'RPT4'!$J126)</f>
        <v>173.44915640717059</v>
      </c>
    </row>
    <row r="127" spans="1:14" x14ac:dyDescent="0.35">
      <c r="A127" s="16" t="s">
        <v>127</v>
      </c>
      <c r="B127" s="2"/>
      <c r="C127" s="26">
        <f t="shared" si="7"/>
        <v>64.678438625839306</v>
      </c>
      <c r="D127" s="2"/>
      <c r="E127" s="4"/>
      <c r="F127" s="2"/>
      <c r="G127" s="26">
        <f t="shared" si="8"/>
        <v>64.678438625839306</v>
      </c>
      <c r="H127" s="2"/>
      <c r="I127" s="4"/>
      <c r="J127" s="2"/>
      <c r="K127" s="27">
        <f>IF('RPT1'!$J127="","",'RPT1'!$J127)</f>
        <v>16.189462431266509</v>
      </c>
      <c r="L127" s="27">
        <f>IF('RPT2'!$J127="","",'RPT2'!$J127)</f>
        <v>16.139339219095369</v>
      </c>
      <c r="M127" s="27">
        <f>IF('RPT3'!$J127="","",'RPT3'!$J127)</f>
        <v>16.210297756382051</v>
      </c>
      <c r="N127" s="27">
        <f>IF('RPT4'!$J127="","",'RPT4'!$J127)</f>
        <v>16.139339219095369</v>
      </c>
    </row>
    <row r="128" spans="1:14" x14ac:dyDescent="0.35">
      <c r="A128" s="16" t="s">
        <v>128</v>
      </c>
      <c r="B128" s="2"/>
      <c r="C128" s="26">
        <f t="shared" si="7"/>
        <v>112.03558926031079</v>
      </c>
      <c r="D128" s="2"/>
      <c r="E128" s="4"/>
      <c r="F128" s="2"/>
      <c r="G128" s="26">
        <f t="shared" si="8"/>
        <v>112.03558926031079</v>
      </c>
      <c r="H128" s="2"/>
      <c r="I128" s="4"/>
      <c r="J128" s="2"/>
      <c r="K128" s="27">
        <f>IF('RPT1'!$J128="","",'RPT1'!$J128)</f>
        <v>28.022212317690329</v>
      </c>
      <c r="L128" s="27">
        <f>IF('RPT2'!$J128="","",'RPT2'!$J128)</f>
        <v>27.97460041324873</v>
      </c>
      <c r="M128" s="27">
        <f>IF('RPT3'!$J128="","",'RPT3'!$J128)</f>
        <v>28.06417611612299</v>
      </c>
      <c r="N128" s="27">
        <f>IF('RPT4'!$J128="","",'RPT4'!$J128)</f>
        <v>27.97460041324873</v>
      </c>
    </row>
    <row r="129" spans="1:14" x14ac:dyDescent="0.35">
      <c r="A129" s="16" t="s">
        <v>129</v>
      </c>
      <c r="B129" s="2"/>
      <c r="C129" s="26">
        <f t="shared" si="7"/>
        <v>173.89043178317056</v>
      </c>
      <c r="D129" s="2"/>
      <c r="E129" s="4"/>
      <c r="F129" s="2"/>
      <c r="G129" s="26">
        <f t="shared" si="8"/>
        <v>173.89043178317056</v>
      </c>
      <c r="H129" s="2"/>
      <c r="I129" s="4"/>
      <c r="J129" s="2"/>
      <c r="K129" s="27">
        <f>IF('RPT1'!$J129="","",'RPT1'!$J129)</f>
        <v>43.472036806513181</v>
      </c>
      <c r="L129" s="27">
        <f>IF('RPT2'!$J129="","",'RPT2'!$J129)</f>
        <v>43.444955394193549</v>
      </c>
      <c r="M129" s="27">
        <f>IF('RPT3'!$J129="","",'RPT3'!$J129)</f>
        <v>43.528484188270262</v>
      </c>
      <c r="N129" s="27">
        <f>IF('RPT4'!$J129="","",'RPT4'!$J129)</f>
        <v>43.444955394193549</v>
      </c>
    </row>
    <row r="130" spans="1:14" x14ac:dyDescent="0.35">
      <c r="A130" s="16" t="s">
        <v>130</v>
      </c>
      <c r="B130" s="2"/>
      <c r="C130" s="26">
        <f t="shared" si="7"/>
        <v>223.83639822340012</v>
      </c>
      <c r="D130" s="2"/>
      <c r="E130" s="4"/>
      <c r="F130" s="2"/>
      <c r="G130" s="26">
        <f t="shared" si="8"/>
        <v>223.83639822340012</v>
      </c>
      <c r="H130" s="2"/>
      <c r="I130" s="4"/>
      <c r="J130" s="2"/>
      <c r="K130" s="27">
        <f>IF('RPT1'!$J130="","",'RPT1'!$J130)</f>
        <v>55.956752024358188</v>
      </c>
      <c r="L130" s="27">
        <f>IF('RPT2'!$J130="","",'RPT2'!$J130)</f>
        <v>55.925791352306391</v>
      </c>
      <c r="M130" s="27">
        <f>IF('RPT3'!$J130="","",'RPT3'!$J130)</f>
        <v>56.028063494429148</v>
      </c>
      <c r="N130" s="27">
        <f>IF('RPT4'!$J130="","",'RPT4'!$J130)</f>
        <v>55.925791352306391</v>
      </c>
    </row>
    <row r="131" spans="1:14" x14ac:dyDescent="0.35">
      <c r="A131" s="16" t="s">
        <v>131</v>
      </c>
      <c r="B131" s="2"/>
      <c r="C131" s="26">
        <f t="shared" si="7"/>
        <v>267.63187369364823</v>
      </c>
      <c r="D131" s="2"/>
      <c r="E131" s="4"/>
      <c r="F131" s="2"/>
      <c r="G131" s="26">
        <f t="shared" si="8"/>
        <v>267.63187369364823</v>
      </c>
      <c r="H131" s="2"/>
      <c r="I131" s="4"/>
      <c r="J131" s="2"/>
      <c r="K131" s="27">
        <f>IF('RPT1'!$J131="","",'RPT1'!$J131)</f>
        <v>66.911007464142301</v>
      </c>
      <c r="L131" s="27">
        <f>IF('RPT2'!$J131="","",'RPT2'!$J131)</f>
        <v>66.871252263573325</v>
      </c>
      <c r="M131" s="27">
        <f>IF('RPT3'!$J131="","",'RPT3'!$J131)</f>
        <v>66.978361702359294</v>
      </c>
      <c r="N131" s="27">
        <f>IF('RPT4'!$J131="","",'RPT4'!$J131)</f>
        <v>66.871252263573325</v>
      </c>
    </row>
    <row r="132" spans="1:14" x14ac:dyDescent="0.35">
      <c r="A132" s="16" t="s">
        <v>132</v>
      </c>
      <c r="B132" s="2"/>
      <c r="C132" s="26">
        <f t="shared" si="7"/>
        <v>832.4754513254743</v>
      </c>
      <c r="D132" s="2"/>
      <c r="E132" s="4"/>
      <c r="F132" s="2"/>
      <c r="G132" s="26">
        <f t="shared" si="8"/>
        <v>832.4754513254743</v>
      </c>
      <c r="H132" s="2"/>
      <c r="I132" s="4"/>
      <c r="J132" s="2"/>
      <c r="K132" s="27">
        <f>IF('RPT1'!$J132="","",'RPT1'!$J132)</f>
        <v>174.59356294542829</v>
      </c>
      <c r="L132" s="27">
        <f>IF('RPT2'!$J132="","",'RPT2'!$J132)</f>
        <v>243.994787078771</v>
      </c>
      <c r="M132" s="27">
        <f>IF('RPT3'!$J132="","",'RPT3'!$J132)</f>
        <v>167.92972265630371</v>
      </c>
      <c r="N132" s="27">
        <f>IF('RPT4'!$J132="","",'RPT4'!$J132)</f>
        <v>245.9573786449713</v>
      </c>
    </row>
    <row r="133" spans="1:14" x14ac:dyDescent="0.35">
      <c r="A133" s="16" t="s">
        <v>133</v>
      </c>
      <c r="B133" s="2"/>
      <c r="C133" s="26">
        <f t="shared" si="7"/>
        <v>738.34174609408024</v>
      </c>
      <c r="D133" s="2"/>
      <c r="E133" s="4"/>
      <c r="F133" s="2"/>
      <c r="G133" s="26">
        <f t="shared" si="8"/>
        <v>738.34174609408024</v>
      </c>
      <c r="H133" s="2"/>
      <c r="I133" s="4"/>
      <c r="J133" s="2"/>
      <c r="K133" s="27">
        <f>IF('RPT1'!$J133="","",'RPT1'!$J133)</f>
        <v>163.24573080312311</v>
      </c>
      <c r="L133" s="27">
        <f>IF('RPT2'!$J133="","",'RPT2'!$J133)</f>
        <v>209.82648771389921</v>
      </c>
      <c r="M133" s="27">
        <f>IF('RPT3'!$J133="","",'RPT3'!$J133)</f>
        <v>153.8880752638606</v>
      </c>
      <c r="N133" s="27">
        <f>IF('RPT4'!$J133="","",'RPT4'!$J133)</f>
        <v>211.38145231319729</v>
      </c>
    </row>
    <row r="134" spans="1:14" x14ac:dyDescent="0.35">
      <c r="A134" s="16" t="s">
        <v>134</v>
      </c>
      <c r="B134" s="2"/>
      <c r="C134" s="26">
        <f t="shared" si="7"/>
        <v>647.98338987445607</v>
      </c>
      <c r="D134" s="2"/>
      <c r="E134" s="4"/>
      <c r="F134" s="2"/>
      <c r="G134" s="26">
        <f t="shared" si="8"/>
        <v>647.98338987445607</v>
      </c>
      <c r="H134" s="2"/>
      <c r="I134" s="4"/>
      <c r="J134" s="2"/>
      <c r="K134" s="27">
        <f>IF('RPT1'!$J134="","",'RPT1'!$J134)</f>
        <v>154.9285002131497</v>
      </c>
      <c r="L134" s="27">
        <f>IF('RPT2'!$J134="","",'RPT2'!$J134)</f>
        <v>171.14171187555891</v>
      </c>
      <c r="M134" s="27">
        <f>IF('RPT3'!$J134="","",'RPT3'!$J134)</f>
        <v>149.86939514603159</v>
      </c>
      <c r="N134" s="27">
        <f>IF('RPT4'!$J134="","",'RPT4'!$J134)</f>
        <v>172.04378263971589</v>
      </c>
    </row>
    <row r="135" spans="1:14" x14ac:dyDescent="0.35">
      <c r="A135" s="16" t="s">
        <v>135</v>
      </c>
      <c r="B135" s="2"/>
      <c r="C135" s="26">
        <f t="shared" si="7"/>
        <v>607.22517294613442</v>
      </c>
      <c r="D135" s="2"/>
      <c r="E135" s="4"/>
      <c r="F135" s="2"/>
      <c r="G135" s="26">
        <f t="shared" si="8"/>
        <v>607.22517294613442</v>
      </c>
      <c r="H135" s="2"/>
      <c r="I135" s="4"/>
      <c r="J135" s="2"/>
      <c r="K135" s="27">
        <f>IF('RPT1'!$J135="","",'RPT1'!$J135)</f>
        <v>145.03652964861811</v>
      </c>
      <c r="L135" s="27">
        <f>IF('RPT2'!$J135="","",'RPT2'!$J135)</f>
        <v>158.69854619247661</v>
      </c>
      <c r="M135" s="27">
        <f>IF('RPT3'!$J135="","",'RPT3'!$J135)</f>
        <v>143.7920240133663</v>
      </c>
      <c r="N135" s="27">
        <f>IF('RPT4'!$J135="","",'RPT4'!$J135)</f>
        <v>159.69807309167339</v>
      </c>
    </row>
    <row r="136" spans="1:14" x14ac:dyDescent="0.35">
      <c r="A136" s="16" t="s">
        <v>136</v>
      </c>
      <c r="B136" s="2"/>
      <c r="C136" s="26">
        <f t="shared" si="7"/>
        <v>574.27412562147185</v>
      </c>
      <c r="D136" s="2"/>
      <c r="E136" s="4"/>
      <c r="F136" s="2"/>
      <c r="G136" s="26">
        <f t="shared" si="8"/>
        <v>574.27412562147185</v>
      </c>
      <c r="H136" s="2"/>
      <c r="I136" s="4"/>
      <c r="J136" s="2"/>
      <c r="K136" s="27">
        <f>IF('RPT1'!$J136="","",'RPT1'!$J136)</f>
        <v>136.2478741530322</v>
      </c>
      <c r="L136" s="27">
        <f>IF('RPT2'!$J136="","",'RPT2'!$J136)</f>
        <v>150.48738030014849</v>
      </c>
      <c r="M136" s="27">
        <f>IF('RPT3'!$J136="","",'RPT3'!$J136)</f>
        <v>135.93322495894861</v>
      </c>
      <c r="N136" s="27">
        <f>IF('RPT4'!$J136="","",'RPT4'!$J136)</f>
        <v>151.60564620934261</v>
      </c>
    </row>
    <row r="137" spans="1:14" x14ac:dyDescent="0.35">
      <c r="A137" s="16" t="s">
        <v>137</v>
      </c>
      <c r="B137" s="2"/>
      <c r="C137" s="26">
        <f t="shared" si="7"/>
        <v>61.431151563122754</v>
      </c>
      <c r="D137" s="2"/>
      <c r="E137" s="4"/>
      <c r="F137" s="2"/>
      <c r="G137" s="26">
        <f t="shared" si="8"/>
        <v>61.431151563122754</v>
      </c>
      <c r="H137" s="2"/>
      <c r="I137" s="4"/>
      <c r="J137" s="2"/>
      <c r="K137" s="27">
        <f>IF('RPT1'!$J137="","",'RPT1'!$J137)</f>
        <v>15.425673467044399</v>
      </c>
      <c r="L137" s="27">
        <f>IF('RPT2'!$J137="","",'RPT2'!$J137)</f>
        <v>15.28323078924136</v>
      </c>
      <c r="M137" s="27">
        <f>IF('RPT3'!$J137="","",'RPT3'!$J137)</f>
        <v>15.43901651759564</v>
      </c>
      <c r="N137" s="27">
        <f>IF('RPT4'!$J137="","",'RPT4'!$J137)</f>
        <v>15.28323078924136</v>
      </c>
    </row>
    <row r="138" spans="1:14" x14ac:dyDescent="0.35">
      <c r="A138" s="16" t="s">
        <v>138</v>
      </c>
      <c r="B138" s="2"/>
      <c r="C138" s="26">
        <f t="shared" si="7"/>
        <v>214.96196890095399</v>
      </c>
      <c r="D138" s="2"/>
      <c r="E138" s="4"/>
      <c r="F138" s="2"/>
      <c r="G138" s="26">
        <f t="shared" si="8"/>
        <v>214.96196890095399</v>
      </c>
      <c r="H138" s="2"/>
      <c r="I138" s="4"/>
      <c r="J138" s="2"/>
      <c r="K138" s="27">
        <f>IF('RPT1'!$J138="","",'RPT1'!$J138)</f>
        <v>53.805427761373259</v>
      </c>
      <c r="L138" s="27">
        <f>IF('RPT2'!$J138="","",'RPT2'!$J138)</f>
        <v>53.6615257936988</v>
      </c>
      <c r="M138" s="27">
        <f>IF('RPT3'!$J138="","",'RPT3'!$J138)</f>
        <v>53.833489552183167</v>
      </c>
      <c r="N138" s="27">
        <f>IF('RPT4'!$J138="","",'RPT4'!$J138)</f>
        <v>53.6615257936988</v>
      </c>
    </row>
    <row r="139" spans="1:14" x14ac:dyDescent="0.35">
      <c r="A139" s="16" t="s">
        <v>139</v>
      </c>
      <c r="B139" s="2"/>
      <c r="C139" s="26">
        <f t="shared" si="7"/>
        <v>386.95001455303088</v>
      </c>
      <c r="D139" s="2"/>
      <c r="E139" s="4"/>
      <c r="F139" s="2"/>
      <c r="G139" s="26">
        <f t="shared" si="8"/>
        <v>386.95001455303088</v>
      </c>
      <c r="H139" s="2"/>
      <c r="I139" s="4"/>
      <c r="J139" s="2"/>
      <c r="K139" s="27">
        <f>IF('RPT1'!$J139="","",'RPT1'!$J139)</f>
        <v>96.76650519272296</v>
      </c>
      <c r="L139" s="27">
        <f>IF('RPT2'!$J139="","",'RPT2'!$J139)</f>
        <v>96.698388643491455</v>
      </c>
      <c r="M139" s="27">
        <f>IF('RPT3'!$J139="","",'RPT3'!$J139)</f>
        <v>96.786732073325041</v>
      </c>
      <c r="N139" s="27">
        <f>IF('RPT4'!$J139="","",'RPT4'!$J139)</f>
        <v>96.698388643491455</v>
      </c>
    </row>
    <row r="140" spans="1:14" x14ac:dyDescent="0.35">
      <c r="A140" s="16" t="s">
        <v>140</v>
      </c>
      <c r="B140" s="2"/>
      <c r="C140" s="26">
        <f t="shared" si="7"/>
        <v>453.19765017365114</v>
      </c>
      <c r="D140" s="2"/>
      <c r="E140" s="4"/>
      <c r="F140" s="2"/>
      <c r="G140" s="26">
        <f t="shared" si="8"/>
        <v>453.19765017365114</v>
      </c>
      <c r="H140" s="2"/>
      <c r="I140" s="4"/>
      <c r="J140" s="2"/>
      <c r="K140" s="27">
        <f>IF('RPT1'!$J140="","",'RPT1'!$J140)</f>
        <v>113.3343160610238</v>
      </c>
      <c r="L140" s="27">
        <f>IF('RPT2'!$J140="","",'RPT2'!$J140)</f>
        <v>113.26140020861661</v>
      </c>
      <c r="M140" s="27">
        <f>IF('RPT3'!$J140="","",'RPT3'!$J140)</f>
        <v>113.3405336953941</v>
      </c>
      <c r="N140" s="27">
        <f>IF('RPT4'!$J140="","",'RPT4'!$J140)</f>
        <v>113.26140020861661</v>
      </c>
    </row>
    <row r="141" spans="1:14" x14ac:dyDescent="0.35">
      <c r="A141" s="16" t="s">
        <v>141</v>
      </c>
      <c r="B141" s="2"/>
      <c r="C141" s="26">
        <f t="shared" si="7"/>
        <v>507.49565973302578</v>
      </c>
      <c r="D141" s="2"/>
      <c r="E141" s="4"/>
      <c r="F141" s="2"/>
      <c r="G141" s="26">
        <f t="shared" si="8"/>
        <v>507.49565973302578</v>
      </c>
      <c r="H141" s="2"/>
      <c r="I141" s="4"/>
      <c r="J141" s="2"/>
      <c r="K141" s="27">
        <f>IF('RPT1'!$J141="","",'RPT1'!$J141)</f>
        <v>126.91924339003771</v>
      </c>
      <c r="L141" s="27">
        <f>IF('RPT2'!$J141="","",'RPT2'!$J141)</f>
        <v>126.8276481798227</v>
      </c>
      <c r="M141" s="27">
        <f>IF('RPT3'!$J141="","",'RPT3'!$J141)</f>
        <v>126.92111998334271</v>
      </c>
      <c r="N141" s="27">
        <f>IF('RPT4'!$J141="","",'RPT4'!$J141)</f>
        <v>126.8276481798227</v>
      </c>
    </row>
    <row r="142" spans="1:14" x14ac:dyDescent="0.35">
      <c r="A142" s="16" t="s">
        <v>142</v>
      </c>
      <c r="B142" s="2"/>
      <c r="C142" s="26">
        <f t="shared" si="7"/>
        <v>457.35608761152525</v>
      </c>
      <c r="D142" s="2"/>
      <c r="E142" s="4"/>
      <c r="F142" s="2"/>
      <c r="G142" s="26">
        <f t="shared" si="8"/>
        <v>457.35608761152525</v>
      </c>
      <c r="H142" s="2"/>
      <c r="I142" s="4"/>
      <c r="J142" s="2"/>
      <c r="K142" s="27">
        <f>IF('RPT1'!$J142="","",'RPT1'!$J142)</f>
        <v>93.632014386976678</v>
      </c>
      <c r="L142" s="27">
        <f>IF('RPT2'!$J142="","",'RPT2'!$J142)</f>
        <v>136.8914536755276</v>
      </c>
      <c r="M142" s="27">
        <f>IF('RPT3'!$J142="","",'RPT3'!$J142)</f>
        <v>89.568346841822802</v>
      </c>
      <c r="N142" s="27">
        <f>IF('RPT4'!$J142="","",'RPT4'!$J142)</f>
        <v>137.26427270719819</v>
      </c>
    </row>
    <row r="143" spans="1:14" x14ac:dyDescent="0.35">
      <c r="A143" s="16" t="s">
        <v>143</v>
      </c>
      <c r="B143" s="2"/>
      <c r="C143" s="26">
        <f t="shared" si="7"/>
        <v>416.55848807189312</v>
      </c>
      <c r="D143" s="2"/>
      <c r="E143" s="4"/>
      <c r="F143" s="2"/>
      <c r="G143" s="26">
        <f t="shared" si="8"/>
        <v>416.55848807189312</v>
      </c>
      <c r="H143" s="2"/>
      <c r="I143" s="4"/>
      <c r="J143" s="2"/>
      <c r="K143" s="27">
        <f>IF('RPT1'!$J143="","",'RPT1'!$J143)</f>
        <v>91.381001975983168</v>
      </c>
      <c r="L143" s="27">
        <f>IF('RPT2'!$J143="","",'RPT2'!$J143)</f>
        <v>119.68786377160789</v>
      </c>
      <c r="M143" s="27">
        <f>IF('RPT3'!$J143="","",'RPT3'!$J143)</f>
        <v>85.741468057553533</v>
      </c>
      <c r="N143" s="27">
        <f>IF('RPT4'!$J143="","",'RPT4'!$J143)</f>
        <v>119.7481542667485</v>
      </c>
    </row>
    <row r="144" spans="1:14" x14ac:dyDescent="0.35">
      <c r="A144" s="16" t="s">
        <v>144</v>
      </c>
      <c r="B144" s="2"/>
      <c r="C144" s="26">
        <f t="shared" si="7"/>
        <v>390.07943980299063</v>
      </c>
      <c r="D144" s="2"/>
      <c r="E144" s="4"/>
      <c r="F144" s="2"/>
      <c r="G144" s="26">
        <f t="shared" si="8"/>
        <v>390.07943980299063</v>
      </c>
      <c r="H144" s="2"/>
      <c r="I144" s="4"/>
      <c r="J144" s="2"/>
      <c r="K144" s="27">
        <f>IF('RPT1'!$J144="","",'RPT1'!$J144)</f>
        <v>90.660108144168262</v>
      </c>
      <c r="L144" s="27">
        <f>IF('RPT2'!$J144="","",'RPT2'!$J144)</f>
        <v>106.5802824391024</v>
      </c>
      <c r="M144" s="27">
        <f>IF('RPT3'!$J144="","",'RPT3'!$J144)</f>
        <v>86.221176333759672</v>
      </c>
      <c r="N144" s="27">
        <f>IF('RPT4'!$J144="","",'RPT4'!$J144)</f>
        <v>106.6178728859603</v>
      </c>
    </row>
    <row r="145" spans="1:14" x14ac:dyDescent="0.35">
      <c r="A145" s="16" t="s">
        <v>145</v>
      </c>
      <c r="B145" s="2"/>
      <c r="C145" s="26">
        <f t="shared" si="7"/>
        <v>387.74558649283193</v>
      </c>
      <c r="D145" s="2"/>
      <c r="E145" s="4"/>
      <c r="F145" s="2"/>
      <c r="G145" s="26">
        <f t="shared" si="8"/>
        <v>387.74558649283193</v>
      </c>
      <c r="H145" s="2"/>
      <c r="I145" s="4"/>
      <c r="J145" s="2"/>
      <c r="K145" s="27">
        <f>IF('RPT1'!$J145="","",'RPT1'!$J145)</f>
        <v>89.66581719648299</v>
      </c>
      <c r="L145" s="27">
        <f>IF('RPT2'!$J145="","",'RPT2'!$J145)</f>
        <v>105.4185498071536</v>
      </c>
      <c r="M145" s="27">
        <f>IF('RPT3'!$J145="","",'RPT3'!$J145)</f>
        <v>87.204055794638251</v>
      </c>
      <c r="N145" s="27">
        <f>IF('RPT4'!$J145="","",'RPT4'!$J145)</f>
        <v>105.4571636945571</v>
      </c>
    </row>
    <row r="146" spans="1:14" x14ac:dyDescent="0.35">
      <c r="A146" s="16" t="s">
        <v>146</v>
      </c>
      <c r="B146" s="2"/>
      <c r="C146" s="26">
        <f t="shared" si="7"/>
        <v>389.64708817330069</v>
      </c>
      <c r="D146" s="2"/>
      <c r="E146" s="4"/>
      <c r="F146" s="2"/>
      <c r="G146" s="26">
        <f t="shared" si="8"/>
        <v>389.64708817330069</v>
      </c>
      <c r="H146" s="2"/>
      <c r="I146" s="4"/>
      <c r="J146" s="2"/>
      <c r="K146" s="27">
        <f>IF('RPT1'!$J146="","",'RPT1'!$J146)</f>
        <v>89.221021341647813</v>
      </c>
      <c r="L146" s="27">
        <f>IF('RPT2'!$J146="","",'RPT2'!$J146)</f>
        <v>106.4545029746907</v>
      </c>
      <c r="M146" s="27">
        <f>IF('RPT3'!$J146="","",'RPT3'!$J146)</f>
        <v>87.474575513733157</v>
      </c>
      <c r="N146" s="27">
        <f>IF('RPT4'!$J146="","",'RPT4'!$J146)</f>
        <v>106.49698834322901</v>
      </c>
    </row>
    <row r="147" spans="1:14" x14ac:dyDescent="0.35">
      <c r="A147" s="16" t="s">
        <v>147</v>
      </c>
      <c r="B147" s="2"/>
      <c r="C147" s="26">
        <f t="shared" si="7"/>
        <v>107.30071533148507</v>
      </c>
      <c r="D147" s="2"/>
      <c r="E147" s="4"/>
      <c r="F147" s="2"/>
      <c r="G147" s="26">
        <f t="shared" si="8"/>
        <v>107.30071533148507</v>
      </c>
      <c r="H147" s="2"/>
      <c r="I147" s="4"/>
      <c r="J147" s="2"/>
      <c r="K147" s="27">
        <f>IF('RPT1'!$J147="","",'RPT1'!$J147)</f>
        <v>26.866693656889389</v>
      </c>
      <c r="L147" s="27">
        <f>IF('RPT2'!$J147="","",'RPT2'!$J147)</f>
        <v>26.779603359060658</v>
      </c>
      <c r="M147" s="27">
        <f>IF('RPT3'!$J147="","",'RPT3'!$J147)</f>
        <v>26.87481495647436</v>
      </c>
      <c r="N147" s="27">
        <f>IF('RPT4'!$J147="","",'RPT4'!$J147)</f>
        <v>26.779603359060658</v>
      </c>
    </row>
    <row r="148" spans="1:14" x14ac:dyDescent="0.35">
      <c r="A148" s="16" t="s">
        <v>148</v>
      </c>
      <c r="B148" s="2"/>
      <c r="C148" s="26">
        <f t="shared" si="7"/>
        <v>196.48989076625108</v>
      </c>
      <c r="D148" s="2"/>
      <c r="E148" s="4"/>
      <c r="F148" s="2"/>
      <c r="G148" s="26">
        <f t="shared" si="8"/>
        <v>196.48989076625108</v>
      </c>
      <c r="H148" s="2"/>
      <c r="I148" s="4"/>
      <c r="J148" s="2"/>
      <c r="K148" s="27">
        <f>IF('RPT1'!$J148="","",'RPT1'!$J148)</f>
        <v>49.160663196950267</v>
      </c>
      <c r="L148" s="27">
        <f>IF('RPT2'!$J148="","",'RPT2'!$J148)</f>
        <v>49.07583759150608</v>
      </c>
      <c r="M148" s="27">
        <f>IF('RPT3'!$J148="","",'RPT3'!$J148)</f>
        <v>49.177552386288639</v>
      </c>
      <c r="N148" s="27">
        <f>IF('RPT4'!$J148="","",'RPT4'!$J148)</f>
        <v>49.07583759150608</v>
      </c>
    </row>
    <row r="149" spans="1:14" x14ac:dyDescent="0.35">
      <c r="A149" s="16" t="s">
        <v>149</v>
      </c>
      <c r="B149" s="2"/>
      <c r="C149" s="26">
        <f t="shared" si="7"/>
        <v>268.69693741418678</v>
      </c>
      <c r="D149" s="2"/>
      <c r="E149" s="4"/>
      <c r="F149" s="2"/>
      <c r="G149" s="26">
        <f t="shared" si="8"/>
        <v>268.69693741418678</v>
      </c>
      <c r="H149" s="2"/>
      <c r="I149" s="4"/>
      <c r="J149" s="2"/>
      <c r="K149" s="27">
        <f>IF('RPT1'!$J149="","",'RPT1'!$J149)</f>
        <v>67.201584714750197</v>
      </c>
      <c r="L149" s="27">
        <f>IF('RPT2'!$J149="","",'RPT2'!$J149)</f>
        <v>67.138030386417398</v>
      </c>
      <c r="M149" s="27">
        <f>IF('RPT3'!$J149="","",'RPT3'!$J149)</f>
        <v>67.219291926601812</v>
      </c>
      <c r="N149" s="27">
        <f>IF('RPT4'!$J149="","",'RPT4'!$J149)</f>
        <v>67.138030386417398</v>
      </c>
    </row>
    <row r="150" spans="1:14" x14ac:dyDescent="0.35">
      <c r="A150" s="16" t="s">
        <v>150</v>
      </c>
      <c r="B150" s="2"/>
      <c r="C150" s="26">
        <f t="shared" si="7"/>
        <v>294.47316036804415</v>
      </c>
      <c r="D150" s="2"/>
      <c r="E150" s="4"/>
      <c r="F150" s="2"/>
      <c r="G150" s="26">
        <f t="shared" si="8"/>
        <v>294.47316036804415</v>
      </c>
      <c r="H150" s="2"/>
      <c r="I150" s="4"/>
      <c r="J150" s="2"/>
      <c r="K150" s="27">
        <f>IF('RPT1'!$J150="","",'RPT1'!$J150)</f>
        <v>73.654500181584268</v>
      </c>
      <c r="L150" s="27">
        <f>IF('RPT2'!$J150="","",'RPT2'!$J150)</f>
        <v>73.575949672846448</v>
      </c>
      <c r="M150" s="27">
        <f>IF('RPT3'!$J150="","",'RPT3'!$J150)</f>
        <v>73.666760840766955</v>
      </c>
      <c r="N150" s="27">
        <f>IF('RPT4'!$J150="","",'RPT4'!$J150)</f>
        <v>73.575949672846448</v>
      </c>
    </row>
    <row r="151" spans="1:14" x14ac:dyDescent="0.35">
      <c r="A151" s="16" t="s">
        <v>151</v>
      </c>
      <c r="B151" s="2"/>
      <c r="C151" s="26">
        <f t="shared" si="7"/>
        <v>315.11166479438202</v>
      </c>
      <c r="D151" s="2"/>
      <c r="E151" s="4"/>
      <c r="F151" s="2"/>
      <c r="G151" s="26">
        <f t="shared" si="8"/>
        <v>315.11166479438202</v>
      </c>
      <c r="H151" s="2"/>
      <c r="I151" s="4"/>
      <c r="J151" s="2"/>
      <c r="K151" s="27">
        <f>IF('RPT1'!$J151="","",'RPT1'!$J151)</f>
        <v>78.82682160093151</v>
      </c>
      <c r="L151" s="27">
        <f>IF('RPT2'!$J151="","",'RPT2'!$J151)</f>
        <v>78.723796624673895</v>
      </c>
      <c r="M151" s="27">
        <f>IF('RPT3'!$J151="","",'RPT3'!$J151)</f>
        <v>78.837249944102723</v>
      </c>
      <c r="N151" s="27">
        <f>IF('RPT4'!$J151="","",'RPT4'!$J151)</f>
        <v>78.723796624673895</v>
      </c>
    </row>
    <row r="152" spans="1:14" x14ac:dyDescent="0.35">
      <c r="A152" s="16" t="s">
        <v>152</v>
      </c>
      <c r="B152" s="2"/>
      <c r="C152" s="26">
        <f t="shared" si="7"/>
        <v>68.890782857400723</v>
      </c>
      <c r="D152" s="2"/>
      <c r="E152" s="4"/>
      <c r="F152" s="2"/>
      <c r="G152" s="26">
        <f t="shared" si="8"/>
        <v>68.890782857400723</v>
      </c>
      <c r="H152" s="2"/>
      <c r="I152" s="4"/>
      <c r="J152" s="2"/>
      <c r="K152" s="27">
        <f>IF('RPT1'!$J152="","",'RPT1'!$J152)</f>
        <v>27.767378497462811</v>
      </c>
      <c r="L152" s="27">
        <f>IF('RPT2'!$J152="","",'RPT2'!$J152)</f>
        <v>23.60660403084108</v>
      </c>
      <c r="M152" s="27">
        <f>IF('RPT3'!$J152="","",'RPT3'!$J152)</f>
        <v>5.9362165575740518</v>
      </c>
      <c r="N152" s="27">
        <f>IF('RPT4'!$J152="","",'RPT4'!$J152)</f>
        <v>11.58058377152279</v>
      </c>
    </row>
    <row r="153" spans="1:14" x14ac:dyDescent="0.35">
      <c r="A153" s="16" t="s">
        <v>153</v>
      </c>
      <c r="B153" s="2"/>
      <c r="C153" s="26">
        <f t="shared" si="7"/>
        <v>65.326642543095659</v>
      </c>
      <c r="D153" s="2"/>
      <c r="E153" s="4"/>
      <c r="F153" s="2"/>
      <c r="G153" s="26">
        <f t="shared" si="8"/>
        <v>65.326642543095659</v>
      </c>
      <c r="H153" s="2"/>
      <c r="I153" s="4"/>
      <c r="J153" s="2"/>
      <c r="K153" s="27">
        <f>IF('RPT1'!$J153="","",'RPT1'!$J153)</f>
        <v>27.134167117871112</v>
      </c>
      <c r="L153" s="27">
        <f>IF('RPT2'!$J153="","",'RPT2'!$J153)</f>
        <v>23.3520436383352</v>
      </c>
      <c r="M153" s="27">
        <f>IF('RPT3'!$J153="","",'RPT3'!$J153)</f>
        <v>4.7399807197174333</v>
      </c>
      <c r="N153" s="27">
        <f>IF('RPT4'!$J153="","",'RPT4'!$J153)</f>
        <v>10.100451067171919</v>
      </c>
    </row>
    <row r="154" spans="1:14" x14ac:dyDescent="0.35">
      <c r="A154" s="16" t="s">
        <v>154</v>
      </c>
      <c r="B154" s="2"/>
      <c r="C154" s="26">
        <f t="shared" si="7"/>
        <v>53.507786426858431</v>
      </c>
      <c r="D154" s="2"/>
      <c r="E154" s="4"/>
      <c r="F154" s="2"/>
      <c r="G154" s="26">
        <f t="shared" si="8"/>
        <v>53.507786426858431</v>
      </c>
      <c r="H154" s="2"/>
      <c r="I154" s="4"/>
      <c r="J154" s="2"/>
      <c r="K154" s="27">
        <f>IF('RPT1'!$J154="","",'RPT1'!$J154)</f>
        <v>21.695408808566359</v>
      </c>
      <c r="L154" s="27">
        <f>IF('RPT2'!$J154="","",'RPT2'!$J154)</f>
        <v>18.984768109263271</v>
      </c>
      <c r="M154" s="27">
        <f>IF('RPT3'!$J154="","",'RPT3'!$J154)</f>
        <v>3.6947327214850798</v>
      </c>
      <c r="N154" s="27">
        <f>IF('RPT4'!$J154="","",'RPT4'!$J154)</f>
        <v>9.1328767875437187</v>
      </c>
    </row>
    <row r="155" spans="1:14" x14ac:dyDescent="0.35">
      <c r="A155" s="16" t="s">
        <v>155</v>
      </c>
      <c r="B155" s="2"/>
      <c r="C155" s="26">
        <f t="shared" si="7"/>
        <v>48.534430348421104</v>
      </c>
      <c r="D155" s="2"/>
      <c r="E155" s="4"/>
      <c r="F155" s="2"/>
      <c r="G155" s="26">
        <f t="shared" si="8"/>
        <v>48.534430348421104</v>
      </c>
      <c r="H155" s="2"/>
      <c r="I155" s="4"/>
      <c r="J155" s="2"/>
      <c r="K155" s="27">
        <f>IF('RPT1'!$J155="","",'RPT1'!$J155)</f>
        <v>19.158569603577739</v>
      </c>
      <c r="L155" s="27">
        <f>IF('RPT2'!$J155="","",'RPT2'!$J155)</f>
        <v>16.546790146767769</v>
      </c>
      <c r="M155" s="27">
        <f>IF('RPT3'!$J155="","",'RPT3'!$J155)</f>
        <v>3.6162402916064749</v>
      </c>
      <c r="N155" s="27">
        <f>IF('RPT4'!$J155="","",'RPT4'!$J155)</f>
        <v>9.2128303064691206</v>
      </c>
    </row>
    <row r="156" spans="1:14" x14ac:dyDescent="0.35">
      <c r="A156" s="16" t="s">
        <v>156</v>
      </c>
      <c r="B156" s="2"/>
      <c r="C156" s="26">
        <f t="shared" si="7"/>
        <v>49.437150033142856</v>
      </c>
      <c r="D156" s="2"/>
      <c r="E156" s="4"/>
      <c r="F156" s="2"/>
      <c r="G156" s="26">
        <f t="shared" si="8"/>
        <v>49.437150033142856</v>
      </c>
      <c r="H156" s="2"/>
      <c r="I156" s="4"/>
      <c r="J156" s="2"/>
      <c r="K156" s="27">
        <f>IF('RPT1'!$J156="","",'RPT1'!$J156)</f>
        <v>19.499276459042349</v>
      </c>
      <c r="L156" s="27">
        <f>IF('RPT2'!$J156="","",'RPT2'!$J156)</f>
        <v>16.899887060937189</v>
      </c>
      <c r="M156" s="27">
        <f>IF('RPT3'!$J156="","",'RPT3'!$J156)</f>
        <v>3.6247491184260481</v>
      </c>
      <c r="N156" s="27">
        <f>IF('RPT4'!$J156="","",'RPT4'!$J156)</f>
        <v>9.4132373947372745</v>
      </c>
    </row>
    <row r="157" spans="1:14" x14ac:dyDescent="0.35">
      <c r="A157" s="16" t="s">
        <v>157</v>
      </c>
      <c r="B157" s="2"/>
      <c r="C157" s="26">
        <f t="shared" si="7"/>
        <v>12.510928118011076</v>
      </c>
      <c r="D157" s="2"/>
      <c r="E157" s="4"/>
      <c r="F157" s="2"/>
      <c r="G157" s="26">
        <f t="shared" si="8"/>
        <v>12.510928118011076</v>
      </c>
      <c r="H157" s="2"/>
      <c r="I157" s="4"/>
      <c r="J157" s="2"/>
      <c r="K157" s="27">
        <f>IF('RPT1'!$J157="","",'RPT1'!$J157)</f>
        <v>5.3810210812372672</v>
      </c>
      <c r="L157" s="27">
        <f>IF('RPT2'!$J157="","",'RPT2'!$J157)</f>
        <v>3.6133581283952791</v>
      </c>
      <c r="M157" s="27">
        <f>IF('RPT3'!$J157="","",'RPT3'!$J157)</f>
        <v>1.763907553380899</v>
      </c>
      <c r="N157" s="27">
        <f>IF('RPT4'!$J157="","",'RPT4'!$J157)</f>
        <v>1.752641354997631</v>
      </c>
    </row>
    <row r="158" spans="1:14" x14ac:dyDescent="0.35">
      <c r="A158" s="16" t="s">
        <v>158</v>
      </c>
      <c r="B158" s="2"/>
      <c r="C158" s="26">
        <f t="shared" si="7"/>
        <v>15.832251532551467</v>
      </c>
      <c r="D158" s="2"/>
      <c r="E158" s="4"/>
      <c r="F158" s="2"/>
      <c r="G158" s="26">
        <f t="shared" si="8"/>
        <v>15.832251532551467</v>
      </c>
      <c r="H158" s="2"/>
      <c r="I158" s="4"/>
      <c r="J158" s="2"/>
      <c r="K158" s="27">
        <f>IF('RPT1'!$J158="","",'RPT1'!$J158)</f>
        <v>6.9130782708436183</v>
      </c>
      <c r="L158" s="27">
        <f>IF('RPT2'!$J158="","",'RPT2'!$J158)</f>
        <v>4.8845731027553052</v>
      </c>
      <c r="M158" s="27">
        <f>IF('RPT3'!$J158="","",'RPT3'!$J158)</f>
        <v>2.0253167284389728</v>
      </c>
      <c r="N158" s="27">
        <f>IF('RPT4'!$J158="","",'RPT4'!$J158)</f>
        <v>2.0092834305135692</v>
      </c>
    </row>
    <row r="159" spans="1:14" x14ac:dyDescent="0.35">
      <c r="A159" s="16" t="s">
        <v>159</v>
      </c>
      <c r="B159" s="2"/>
      <c r="C159" s="26">
        <f t="shared" si="7"/>
        <v>29.856160814504872</v>
      </c>
      <c r="D159" s="2"/>
      <c r="E159" s="4"/>
      <c r="F159" s="2"/>
      <c r="G159" s="26">
        <f t="shared" si="8"/>
        <v>29.856160814504872</v>
      </c>
      <c r="H159" s="2"/>
      <c r="I159" s="4"/>
      <c r="J159" s="2"/>
      <c r="K159" s="27">
        <f>IF('RPT1'!$J159="","",'RPT1'!$J159)</f>
        <v>13.451748263923889</v>
      </c>
      <c r="L159" s="27">
        <f>IF('RPT2'!$J159="","",'RPT2'!$J159)</f>
        <v>10.46868986857346</v>
      </c>
      <c r="M159" s="27">
        <f>IF('RPT3'!$J159="","",'RPT3'!$J159)</f>
        <v>2.9786942717210629</v>
      </c>
      <c r="N159" s="27">
        <f>IF('RPT4'!$J159="","",'RPT4'!$J159)</f>
        <v>2.957028410286457</v>
      </c>
    </row>
    <row r="160" spans="1:14" x14ac:dyDescent="0.35">
      <c r="A160" s="16" t="s">
        <v>160</v>
      </c>
      <c r="B160" s="2"/>
      <c r="C160" s="26">
        <f t="shared" si="7"/>
        <v>36.77577426524703</v>
      </c>
      <c r="D160" s="2"/>
      <c r="E160" s="4"/>
      <c r="F160" s="2"/>
      <c r="G160" s="26">
        <f t="shared" si="8"/>
        <v>36.77577426524703</v>
      </c>
      <c r="H160" s="2"/>
      <c r="I160" s="4"/>
      <c r="J160" s="2"/>
      <c r="K160" s="27">
        <f>IF('RPT1'!$J160="","",'RPT1'!$J160)</f>
        <v>16.935264214576161</v>
      </c>
      <c r="L160" s="27">
        <f>IF('RPT2'!$J160="","",'RPT2'!$J160)</f>
        <v>13.991047197910209</v>
      </c>
      <c r="M160" s="27">
        <f>IF('RPT3'!$J160="","",'RPT3'!$J160)</f>
        <v>2.938653250002405</v>
      </c>
      <c r="N160" s="27">
        <f>IF('RPT4'!$J160="","",'RPT4'!$J160)</f>
        <v>2.910809602758254</v>
      </c>
    </row>
    <row r="161" spans="1:14" x14ac:dyDescent="0.35">
      <c r="A161" s="16" t="s">
        <v>161</v>
      </c>
      <c r="B161" s="2"/>
      <c r="C161" s="26">
        <f t="shared" si="7"/>
        <v>38.070349021586296</v>
      </c>
      <c r="D161" s="2"/>
      <c r="E161" s="4"/>
      <c r="F161" s="2"/>
      <c r="G161" s="26">
        <f t="shared" si="8"/>
        <v>38.070349021586296</v>
      </c>
      <c r="H161" s="2"/>
      <c r="I161" s="4"/>
      <c r="J161" s="2"/>
      <c r="K161" s="27">
        <f>IF('RPT1'!$J161="","",'RPT1'!$J161)</f>
        <v>17.642379036595269</v>
      </c>
      <c r="L161" s="27">
        <f>IF('RPT2'!$J161="","",'RPT2'!$J161)</f>
        <v>14.808645522787071</v>
      </c>
      <c r="M161" s="27">
        <f>IF('RPT3'!$J161="","",'RPT3'!$J161)</f>
        <v>2.8269240642988249</v>
      </c>
      <c r="N161" s="27">
        <f>IF('RPT4'!$J161="","",'RPT4'!$J161)</f>
        <v>2.7924003979051362</v>
      </c>
    </row>
    <row r="162" spans="1:14" x14ac:dyDescent="0.35">
      <c r="A162" s="24"/>
      <c r="B162" s="2"/>
      <c r="C162" s="14"/>
      <c r="D162" s="2"/>
      <c r="E162" s="4"/>
      <c r="F162" s="2"/>
      <c r="G162" s="14"/>
      <c r="H162" s="2"/>
      <c r="I162" s="4"/>
      <c r="J162" s="2"/>
      <c r="K162" s="25"/>
      <c r="L162" s="25"/>
      <c r="M162" s="25"/>
      <c r="N162" s="25"/>
    </row>
    <row r="163" spans="1:14" x14ac:dyDescent="0.35">
      <c r="A163" s="12" t="s">
        <v>162</v>
      </c>
      <c r="B163" s="2"/>
      <c r="C163" s="14"/>
      <c r="D163" s="2"/>
      <c r="E163" s="4"/>
      <c r="F163" s="2"/>
      <c r="G163" s="14"/>
      <c r="H163" s="2"/>
      <c r="I163" s="4"/>
      <c r="J163" s="2"/>
      <c r="K163" s="25" t="str">
        <f>IF('RPT1'!$J163="","",'RPT1'!$J163)</f>
        <v/>
      </c>
      <c r="L163" s="25" t="str">
        <f>IF('RPT2'!$J163="","",'RPT2'!$J163)</f>
        <v/>
      </c>
      <c r="M163" s="25" t="str">
        <f>IF('RPT3'!$J163="","",'RPT3'!$J163)</f>
        <v/>
      </c>
      <c r="N163" s="25" t="str">
        <f>IF('RPT4'!$J163="","",'RPT4'!$J163)</f>
        <v/>
      </c>
    </row>
    <row r="164" spans="1:14" x14ac:dyDescent="0.35">
      <c r="A164" s="16" t="s">
        <v>163</v>
      </c>
      <c r="B164" s="2"/>
      <c r="C164" s="28">
        <f t="shared" ref="C164:C203" si="9">IF(Combine="Y", $G164, 0)</f>
        <v>4923.6186414101903</v>
      </c>
      <c r="D164" s="2"/>
      <c r="E164" s="4"/>
      <c r="F164" s="2"/>
      <c r="G164" s="28">
        <f t="shared" ref="G164:G203" si="10">IF(G80=0,0,SUMPRODUCT($K80:$N80,$K164:$N164)/G80)</f>
        <v>4923.6186414101903</v>
      </c>
      <c r="H164" s="2"/>
      <c r="I164" s="4"/>
      <c r="J164" s="2"/>
      <c r="K164" s="29">
        <f>IF('RPT1'!$J164="","",'RPT1'!$J164)</f>
        <v>1142.258780966868</v>
      </c>
      <c r="L164" s="29">
        <f>IF('RPT2'!$J164="","",'RPT2'!$J164)</f>
        <v>1260.582016927367</v>
      </c>
      <c r="M164" s="29">
        <f>IF('RPT3'!$J164="","",'RPT3'!$J164)</f>
        <v>1260.1958265885889</v>
      </c>
      <c r="N164" s="29">
        <f>IF('RPT4'!$J164="","",'RPT4'!$J164)</f>
        <v>1260.582016927367</v>
      </c>
    </row>
    <row r="165" spans="1:14" x14ac:dyDescent="0.35">
      <c r="A165" s="16" t="s">
        <v>164</v>
      </c>
      <c r="B165" s="2"/>
      <c r="C165" s="28">
        <f t="shared" si="9"/>
        <v>1311.768765826175</v>
      </c>
      <c r="D165" s="2"/>
      <c r="E165" s="4"/>
      <c r="F165" s="2"/>
      <c r="G165" s="28">
        <f t="shared" si="10"/>
        <v>1311.768765826175</v>
      </c>
      <c r="H165" s="2"/>
      <c r="I165" s="4"/>
      <c r="J165" s="2"/>
      <c r="K165" s="29">
        <f>IF('RPT1'!$J165="","",'RPT1'!$J165)</f>
        <v>1260.202312807553</v>
      </c>
      <c r="L165" s="29">
        <f>IF('RPT2'!$J165="","",'RPT2'!$J165)</f>
        <v>1327.6504431284579</v>
      </c>
      <c r="M165" s="29">
        <f>IF('RPT3'!$J165="","",'RPT3'!$J165)</f>
        <v>1327.0826926733091</v>
      </c>
      <c r="N165" s="29">
        <f>IF('RPT4'!$J165="","",'RPT4'!$J165)</f>
        <v>1327.6504431284579</v>
      </c>
    </row>
    <row r="166" spans="1:14" x14ac:dyDescent="0.35">
      <c r="A166" s="16" t="s">
        <v>165</v>
      </c>
      <c r="B166" s="2"/>
      <c r="C166" s="28">
        <f t="shared" si="9"/>
        <v>1416.5329227583281</v>
      </c>
      <c r="D166" s="2"/>
      <c r="E166" s="4"/>
      <c r="F166" s="2"/>
      <c r="G166" s="28">
        <f t="shared" si="10"/>
        <v>1416.5329227583281</v>
      </c>
      <c r="H166" s="2"/>
      <c r="I166" s="4"/>
      <c r="J166" s="2"/>
      <c r="K166" s="29">
        <f>IF('RPT1'!$J166="","",'RPT1'!$J166)</f>
        <v>1393.3715987279829</v>
      </c>
      <c r="L166" s="29">
        <f>IF('RPT2'!$J166="","",'RPT2'!$J166)</f>
        <v>1424.176666959944</v>
      </c>
      <c r="M166" s="29">
        <f>IF('RPT3'!$J166="","",'RPT3'!$J166)</f>
        <v>1423.5100132497021</v>
      </c>
      <c r="N166" s="29">
        <f>IF('RPT4'!$J166="","",'RPT4'!$J166)</f>
        <v>1424.176666959944</v>
      </c>
    </row>
    <row r="167" spans="1:14" x14ac:dyDescent="0.35">
      <c r="A167" s="16" t="s">
        <v>166</v>
      </c>
      <c r="B167" s="2"/>
      <c r="C167" s="28">
        <f t="shared" si="9"/>
        <v>1591.5119364634886</v>
      </c>
      <c r="D167" s="2"/>
      <c r="E167" s="4"/>
      <c r="F167" s="2"/>
      <c r="G167" s="28">
        <f t="shared" si="10"/>
        <v>1591.5119364634886</v>
      </c>
      <c r="H167" s="2"/>
      <c r="I167" s="4"/>
      <c r="J167" s="2"/>
      <c r="K167" s="29">
        <f>IF('RPT1'!$J167="","",'RPT1'!$J167)</f>
        <v>1573.5443240034019</v>
      </c>
      <c r="L167" s="29">
        <f>IF('RPT2'!$J167="","",'RPT2'!$J167)</f>
        <v>1597.551947895322</v>
      </c>
      <c r="M167" s="29">
        <f>IF('RPT3'!$J167="","",'RPT3'!$J167)</f>
        <v>1596.75266696317</v>
      </c>
      <c r="N167" s="29">
        <f>IF('RPT4'!$J167="","",'RPT4'!$J167)</f>
        <v>1597.551947895322</v>
      </c>
    </row>
    <row r="168" spans="1:14" x14ac:dyDescent="0.35">
      <c r="A168" s="16" t="s">
        <v>167</v>
      </c>
      <c r="B168" s="2"/>
      <c r="C168" s="28">
        <f t="shared" si="9"/>
        <v>1725.620631999936</v>
      </c>
      <c r="D168" s="2"/>
      <c r="E168" s="4"/>
      <c r="F168" s="2"/>
      <c r="G168" s="28">
        <f t="shared" si="10"/>
        <v>1725.620631999936</v>
      </c>
      <c r="H168" s="2"/>
      <c r="I168" s="4"/>
      <c r="J168" s="2"/>
      <c r="K168" s="29">
        <f>IF('RPT1'!$J168="","",'RPT1'!$J168)</f>
        <v>1710.0301917894069</v>
      </c>
      <c r="L168" s="29">
        <f>IF('RPT2'!$J168="","",'RPT2'!$J168)</f>
        <v>1730.867377726815</v>
      </c>
      <c r="M168" s="29">
        <f>IF('RPT3'!$J168="","",'RPT3'!$J168)</f>
        <v>1730.1214892332709</v>
      </c>
      <c r="N168" s="29">
        <f>IF('RPT4'!$J168="","",'RPT4'!$J168)</f>
        <v>1730.867377726815</v>
      </c>
    </row>
    <row r="169" spans="1:14" x14ac:dyDescent="0.35">
      <c r="A169" s="16" t="s">
        <v>168</v>
      </c>
      <c r="B169" s="2"/>
      <c r="C169" s="28">
        <f t="shared" si="9"/>
        <v>1641.4338307438459</v>
      </c>
      <c r="D169" s="2"/>
      <c r="E169" s="4"/>
      <c r="F169" s="2"/>
      <c r="G169" s="28">
        <f t="shared" si="10"/>
        <v>1641.4338307438459</v>
      </c>
      <c r="H169" s="2"/>
      <c r="I169" s="4"/>
      <c r="J169" s="2"/>
      <c r="K169" s="29">
        <f>IF('RPT1'!$J169="","",'RPT1'!$J169)</f>
        <v>1641.4338307438461</v>
      </c>
      <c r="L169" s="29">
        <f>IF('RPT2'!$J169="","",'RPT2'!$J169)</f>
        <v>1641.4338307438461</v>
      </c>
      <c r="M169" s="29">
        <f>IF('RPT3'!$J169="","",'RPT3'!$J169)</f>
        <v>1641.4338307438461</v>
      </c>
      <c r="N169" s="29">
        <f>IF('RPT4'!$J169="","",'RPT4'!$J169)</f>
        <v>1641.4338307438461</v>
      </c>
    </row>
    <row r="170" spans="1:14" x14ac:dyDescent="0.35">
      <c r="A170" s="16" t="s">
        <v>169</v>
      </c>
      <c r="B170" s="2"/>
      <c r="C170" s="28">
        <f t="shared" si="9"/>
        <v>1741.5715035000071</v>
      </c>
      <c r="D170" s="2"/>
      <c r="E170" s="4"/>
      <c r="F170" s="2"/>
      <c r="G170" s="28">
        <f t="shared" si="10"/>
        <v>1741.5715035000071</v>
      </c>
      <c r="H170" s="2"/>
      <c r="I170" s="4"/>
      <c r="J170" s="2"/>
      <c r="K170" s="29">
        <f>IF('RPT1'!$J170="","",'RPT1'!$J170)</f>
        <v>1741.5715035000071</v>
      </c>
      <c r="L170" s="29">
        <f>IF('RPT2'!$J170="","",'RPT2'!$J170)</f>
        <v>1741.5715035000071</v>
      </c>
      <c r="M170" s="29">
        <f>IF('RPT3'!$J170="","",'RPT3'!$J170)</f>
        <v>1741.5715035000071</v>
      </c>
      <c r="N170" s="29">
        <f>IF('RPT4'!$J170="","",'RPT4'!$J170)</f>
        <v>1741.5715035000071</v>
      </c>
    </row>
    <row r="171" spans="1:14" x14ac:dyDescent="0.35">
      <c r="A171" s="16" t="s">
        <v>170</v>
      </c>
      <c r="B171" s="2"/>
      <c r="C171" s="28">
        <f t="shared" si="9"/>
        <v>1681.2776035570766</v>
      </c>
      <c r="D171" s="2"/>
      <c r="E171" s="4"/>
      <c r="F171" s="2"/>
      <c r="G171" s="28">
        <f t="shared" si="10"/>
        <v>1681.2776035570766</v>
      </c>
      <c r="H171" s="2"/>
      <c r="I171" s="4"/>
      <c r="J171" s="2"/>
      <c r="K171" s="29">
        <f>IF('RPT1'!$J171="","",'RPT1'!$J171)</f>
        <v>1681.2776035570771</v>
      </c>
      <c r="L171" s="29">
        <f>IF('RPT2'!$J171="","",'RPT2'!$J171)</f>
        <v>1681.2776035570771</v>
      </c>
      <c r="M171" s="29">
        <f>IF('RPT3'!$J171="","",'RPT3'!$J171)</f>
        <v>1681.2776035570771</v>
      </c>
      <c r="N171" s="29">
        <f>IF('RPT4'!$J171="","",'RPT4'!$J171)</f>
        <v>1681.2776035570771</v>
      </c>
    </row>
    <row r="172" spans="1:14" x14ac:dyDescent="0.35">
      <c r="A172" s="16" t="s">
        <v>171</v>
      </c>
      <c r="B172" s="2"/>
      <c r="C172" s="28">
        <f t="shared" si="9"/>
        <v>1555.1807368526461</v>
      </c>
      <c r="D172" s="2"/>
      <c r="E172" s="4"/>
      <c r="F172" s="2"/>
      <c r="G172" s="28">
        <f t="shared" si="10"/>
        <v>1555.1807368526461</v>
      </c>
      <c r="H172" s="2"/>
      <c r="I172" s="4"/>
      <c r="J172" s="2"/>
      <c r="K172" s="29">
        <f>IF('RPT1'!$J172="","",'RPT1'!$J172)</f>
        <v>1555.1807368526461</v>
      </c>
      <c r="L172" s="29">
        <f>IF('RPT2'!$J172="","",'RPT2'!$J172)</f>
        <v>1555.1807368526461</v>
      </c>
      <c r="M172" s="29">
        <f>IF('RPT3'!$J172="","",'RPT3'!$J172)</f>
        <v>1555.1807368526461</v>
      </c>
      <c r="N172" s="29">
        <f>IF('RPT4'!$J172="","",'RPT4'!$J172)</f>
        <v>1555.1807368526461</v>
      </c>
    </row>
    <row r="173" spans="1:14" x14ac:dyDescent="0.35">
      <c r="A173" s="16" t="s">
        <v>172</v>
      </c>
      <c r="B173" s="2"/>
      <c r="C173" s="28">
        <f t="shared" si="9"/>
        <v>1643.589276722247</v>
      </c>
      <c r="D173" s="2"/>
      <c r="E173" s="4"/>
      <c r="F173" s="2"/>
      <c r="G173" s="28">
        <f t="shared" si="10"/>
        <v>1643.589276722247</v>
      </c>
      <c r="H173" s="2"/>
      <c r="I173" s="4"/>
      <c r="J173" s="2"/>
      <c r="K173" s="29">
        <f>IF('RPT1'!$J173="","",'RPT1'!$J173)</f>
        <v>1643.589276722247</v>
      </c>
      <c r="L173" s="29">
        <f>IF('RPT2'!$J173="","",'RPT2'!$J173)</f>
        <v>1643.589276722247</v>
      </c>
      <c r="M173" s="29">
        <f>IF('RPT3'!$J173="","",'RPT3'!$J173)</f>
        <v>1643.589276722247</v>
      </c>
      <c r="N173" s="29">
        <f>IF('RPT4'!$J173="","",'RPT4'!$J173)</f>
        <v>1643.589276722247</v>
      </c>
    </row>
    <row r="174" spans="1:14" x14ac:dyDescent="0.35">
      <c r="A174" s="16" t="s">
        <v>173</v>
      </c>
      <c r="B174" s="2"/>
      <c r="C174" s="28">
        <f t="shared" si="9"/>
        <v>671.74404216137452</v>
      </c>
      <c r="D174" s="2"/>
      <c r="E174" s="4"/>
      <c r="F174" s="2"/>
      <c r="G174" s="28">
        <f t="shared" si="10"/>
        <v>671.74404216137452</v>
      </c>
      <c r="H174" s="2"/>
      <c r="I174" s="4"/>
      <c r="J174" s="2"/>
      <c r="K174" s="29">
        <f>IF('RPT1'!$J174="","",'RPT1'!$J174)</f>
        <v>654.23585148319739</v>
      </c>
      <c r="L174" s="29">
        <f>IF('RPT2'!$J174="","",'RPT2'!$J174)</f>
        <v>675.9085062929089</v>
      </c>
      <c r="M174" s="29">
        <f>IF('RPT3'!$J174="","",'RPT3'!$J174)</f>
        <v>675.85941753985821</v>
      </c>
      <c r="N174" s="29">
        <f>IF('RPT4'!$J174="","",'RPT4'!$J174)</f>
        <v>675.90850629290878</v>
      </c>
    </row>
    <row r="175" spans="1:14" x14ac:dyDescent="0.35">
      <c r="A175" s="16" t="s">
        <v>174</v>
      </c>
      <c r="B175" s="2"/>
      <c r="C175" s="28">
        <f t="shared" si="9"/>
        <v>700.29137133643519</v>
      </c>
      <c r="D175" s="2"/>
      <c r="E175" s="4"/>
      <c r="F175" s="2"/>
      <c r="G175" s="28">
        <f t="shared" si="10"/>
        <v>700.29137133643519</v>
      </c>
      <c r="H175" s="2"/>
      <c r="I175" s="4"/>
      <c r="J175" s="2"/>
      <c r="K175" s="29">
        <f>IF('RPT1'!$J175="","",'RPT1'!$J175)</f>
        <v>693.99322280199135</v>
      </c>
      <c r="L175" s="29">
        <f>IF('RPT2'!$J175="","",'RPT2'!$J175)</f>
        <v>701.93827906522495</v>
      </c>
      <c r="M175" s="29">
        <f>IF('RPT3'!$J175="","",'RPT3'!$J175)</f>
        <v>701.86727864109946</v>
      </c>
      <c r="N175" s="29">
        <f>IF('RPT4'!$J175="","",'RPT4'!$J175)</f>
        <v>701.93827906522483</v>
      </c>
    </row>
    <row r="176" spans="1:14" x14ac:dyDescent="0.35">
      <c r="A176" s="16" t="s">
        <v>175</v>
      </c>
      <c r="B176" s="2"/>
      <c r="C176" s="28">
        <f t="shared" si="9"/>
        <v>741.45762835202197</v>
      </c>
      <c r="D176" s="2"/>
      <c r="E176" s="4"/>
      <c r="F176" s="2"/>
      <c r="G176" s="28">
        <f t="shared" si="10"/>
        <v>741.45762835202197</v>
      </c>
      <c r="H176" s="2"/>
      <c r="I176" s="4"/>
      <c r="J176" s="2"/>
      <c r="K176" s="29">
        <f>IF('RPT1'!$J176="","",'RPT1'!$J176)</f>
        <v>741.20954989883899</v>
      </c>
      <c r="L176" s="29">
        <f>IF('RPT2'!$J176="","",'RPT2'!$J176)</f>
        <v>741.57743572772654</v>
      </c>
      <c r="M176" s="29">
        <f>IF('RPT3'!$J176="","",'RPT3'!$J176)</f>
        <v>741.44151001623436</v>
      </c>
      <c r="N176" s="29">
        <f>IF('RPT4'!$J176="","",'RPT4'!$J176)</f>
        <v>741.57743572772665</v>
      </c>
    </row>
    <row r="177" spans="1:14" x14ac:dyDescent="0.35">
      <c r="A177" s="16" t="s">
        <v>176</v>
      </c>
      <c r="B177" s="2"/>
      <c r="C177" s="28">
        <f t="shared" si="9"/>
        <v>765.43765341556468</v>
      </c>
      <c r="D177" s="2"/>
      <c r="E177" s="4"/>
      <c r="F177" s="2"/>
      <c r="G177" s="28">
        <f t="shared" si="10"/>
        <v>765.43765341556468</v>
      </c>
      <c r="H177" s="2"/>
      <c r="I177" s="4"/>
      <c r="J177" s="2"/>
      <c r="K177" s="29">
        <f>IF('RPT1'!$J177="","",'RPT1'!$J177)</f>
        <v>766.52080445336958</v>
      </c>
      <c r="L177" s="29">
        <f>IF('RPT2'!$J177="","",'RPT2'!$J177)</f>
        <v>765.1386647628907</v>
      </c>
      <c r="M177" s="29">
        <f>IF('RPT3'!$J177="","",'RPT3'!$J177)</f>
        <v>765.05135159876374</v>
      </c>
      <c r="N177" s="29">
        <f>IF('RPT4'!$J177="","",'RPT4'!$J177)</f>
        <v>765.13866476289081</v>
      </c>
    </row>
    <row r="178" spans="1:14" x14ac:dyDescent="0.35">
      <c r="A178" s="16" t="s">
        <v>177</v>
      </c>
      <c r="B178" s="2"/>
      <c r="C178" s="28">
        <f t="shared" si="9"/>
        <v>800.36410910239874</v>
      </c>
      <c r="D178" s="2"/>
      <c r="E178" s="4"/>
      <c r="F178" s="2"/>
      <c r="G178" s="28">
        <f t="shared" si="10"/>
        <v>800.36410910239874</v>
      </c>
      <c r="H178" s="2"/>
      <c r="I178" s="4"/>
      <c r="J178" s="2"/>
      <c r="K178" s="29">
        <f>IF('RPT1'!$J178="","",'RPT1'!$J178)</f>
        <v>804.30804355294526</v>
      </c>
      <c r="L178" s="29">
        <f>IF('RPT2'!$J178="","",'RPT2'!$J178)</f>
        <v>799.17217058085646</v>
      </c>
      <c r="M178" s="29">
        <f>IF('RPT3'!$J178="","",'RPT3'!$J178)</f>
        <v>799.20143736272098</v>
      </c>
      <c r="N178" s="29">
        <f>IF('RPT4'!$J178="","",'RPT4'!$J178)</f>
        <v>799.17217058085657</v>
      </c>
    </row>
    <row r="179" spans="1:14" x14ac:dyDescent="0.35">
      <c r="A179" s="16" t="s">
        <v>178</v>
      </c>
      <c r="B179" s="2"/>
      <c r="C179" s="28">
        <f t="shared" si="9"/>
        <v>588.37462685936782</v>
      </c>
      <c r="D179" s="2"/>
      <c r="E179" s="4"/>
      <c r="F179" s="2"/>
      <c r="G179" s="28">
        <f t="shared" si="10"/>
        <v>588.37462685936782</v>
      </c>
      <c r="H179" s="2"/>
      <c r="I179" s="4"/>
      <c r="J179" s="2"/>
      <c r="K179" s="29">
        <f>IF('RPT1'!$J179="","",'RPT1'!$J179)</f>
        <v>588.37462685936771</v>
      </c>
      <c r="L179" s="29">
        <f>IF('RPT2'!$J179="","",'RPT2'!$J179)</f>
        <v>588.37462685936771</v>
      </c>
      <c r="M179" s="29">
        <f>IF('RPT3'!$J179="","",'RPT3'!$J179)</f>
        <v>588.37462685936771</v>
      </c>
      <c r="N179" s="29">
        <f>IF('RPT4'!$J179="","",'RPT4'!$J179)</f>
        <v>588.37462685936771</v>
      </c>
    </row>
    <row r="180" spans="1:14" x14ac:dyDescent="0.35">
      <c r="A180" s="16" t="s">
        <v>179</v>
      </c>
      <c r="B180" s="2"/>
      <c r="C180" s="28">
        <f t="shared" si="9"/>
        <v>633.75468942277928</v>
      </c>
      <c r="D180" s="2"/>
      <c r="E180" s="4"/>
      <c r="F180" s="2"/>
      <c r="G180" s="28">
        <f t="shared" si="10"/>
        <v>633.75468942277928</v>
      </c>
      <c r="H180" s="2"/>
      <c r="I180" s="4"/>
      <c r="J180" s="2"/>
      <c r="K180" s="29">
        <f>IF('RPT1'!$J180="","",'RPT1'!$J180)</f>
        <v>633.75468942277928</v>
      </c>
      <c r="L180" s="29">
        <f>IF('RPT2'!$J180="","",'RPT2'!$J180)</f>
        <v>633.75468942277928</v>
      </c>
      <c r="M180" s="29">
        <f>IF('RPT3'!$J180="","",'RPT3'!$J180)</f>
        <v>633.75468942277928</v>
      </c>
      <c r="N180" s="29">
        <f>IF('RPT4'!$J180="","",'RPT4'!$J180)</f>
        <v>633.75468942277928</v>
      </c>
    </row>
    <row r="181" spans="1:14" x14ac:dyDescent="0.35">
      <c r="A181" s="16" t="s">
        <v>180</v>
      </c>
      <c r="B181" s="2"/>
      <c r="C181" s="28">
        <f t="shared" si="9"/>
        <v>637.74857056454766</v>
      </c>
      <c r="D181" s="2"/>
      <c r="E181" s="4"/>
      <c r="F181" s="2"/>
      <c r="G181" s="28">
        <f t="shared" si="10"/>
        <v>637.74857056454766</v>
      </c>
      <c r="H181" s="2"/>
      <c r="I181" s="4"/>
      <c r="J181" s="2"/>
      <c r="K181" s="29">
        <f>IF('RPT1'!$J181="","",'RPT1'!$J181)</f>
        <v>637.74857056454766</v>
      </c>
      <c r="L181" s="29">
        <f>IF('RPT2'!$J181="","",'RPT2'!$J181)</f>
        <v>637.74857056454766</v>
      </c>
      <c r="M181" s="29">
        <f>IF('RPT3'!$J181="","",'RPT3'!$J181)</f>
        <v>637.74857056454766</v>
      </c>
      <c r="N181" s="29">
        <f>IF('RPT4'!$J181="","",'RPT4'!$J181)</f>
        <v>637.74857056454766</v>
      </c>
    </row>
    <row r="182" spans="1:14" x14ac:dyDescent="0.35">
      <c r="A182" s="16" t="s">
        <v>181</v>
      </c>
      <c r="B182" s="2"/>
      <c r="C182" s="28">
        <f t="shared" si="9"/>
        <v>672.99993857016716</v>
      </c>
      <c r="D182" s="2"/>
      <c r="E182" s="4"/>
      <c r="F182" s="2"/>
      <c r="G182" s="28">
        <f t="shared" si="10"/>
        <v>672.99993857016716</v>
      </c>
      <c r="H182" s="2"/>
      <c r="I182" s="4"/>
      <c r="J182" s="2"/>
      <c r="K182" s="29">
        <f>IF('RPT1'!$J182="","",'RPT1'!$J182)</f>
        <v>672.99993857016716</v>
      </c>
      <c r="L182" s="29">
        <f>IF('RPT2'!$J182="","",'RPT2'!$J182)</f>
        <v>672.99993857016716</v>
      </c>
      <c r="M182" s="29">
        <f>IF('RPT3'!$J182="","",'RPT3'!$J182)</f>
        <v>672.99993857016716</v>
      </c>
      <c r="N182" s="29">
        <f>IF('RPT4'!$J182="","",'RPT4'!$J182)</f>
        <v>672.99993857016716</v>
      </c>
    </row>
    <row r="183" spans="1:14" x14ac:dyDescent="0.35">
      <c r="A183" s="16" t="s">
        <v>182</v>
      </c>
      <c r="B183" s="2"/>
      <c r="C183" s="28">
        <f t="shared" si="9"/>
        <v>697.11632773592623</v>
      </c>
      <c r="D183" s="2"/>
      <c r="E183" s="4"/>
      <c r="F183" s="2"/>
      <c r="G183" s="28">
        <f t="shared" si="10"/>
        <v>697.11632773592623</v>
      </c>
      <c r="H183" s="2"/>
      <c r="I183" s="4"/>
      <c r="J183" s="2"/>
      <c r="K183" s="29">
        <f>IF('RPT1'!$J183="","",'RPT1'!$J183)</f>
        <v>697.11632773592612</v>
      </c>
      <c r="L183" s="29">
        <f>IF('RPT2'!$J183="","",'RPT2'!$J183)</f>
        <v>697.11632773592612</v>
      </c>
      <c r="M183" s="29">
        <f>IF('RPT3'!$J183="","",'RPT3'!$J183)</f>
        <v>697.11632773592612</v>
      </c>
      <c r="N183" s="29">
        <f>IF('RPT4'!$J183="","",'RPT4'!$J183)</f>
        <v>697.11632773592612</v>
      </c>
    </row>
    <row r="184" spans="1:14" x14ac:dyDescent="0.35">
      <c r="A184" s="16" t="s">
        <v>183</v>
      </c>
      <c r="B184" s="2"/>
      <c r="C184" s="28">
        <f t="shared" si="9"/>
        <v>1843.0089849449123</v>
      </c>
      <c r="D184" s="2"/>
      <c r="E184" s="4"/>
      <c r="F184" s="2"/>
      <c r="G184" s="28">
        <f t="shared" si="10"/>
        <v>1843.0089849449123</v>
      </c>
      <c r="H184" s="2"/>
      <c r="I184" s="4"/>
      <c r="J184" s="2"/>
      <c r="K184" s="29">
        <f>IF('RPT1'!$J184="","",'RPT1'!$J184)</f>
        <v>1713.2257833791989</v>
      </c>
      <c r="L184" s="29">
        <f>IF('RPT2'!$J184="","",'RPT2'!$J184)</f>
        <v>1872.644401598101</v>
      </c>
      <c r="M184" s="29">
        <f>IF('RPT3'!$J184="","",'RPT3'!$J184)</f>
        <v>1872.318657485715</v>
      </c>
      <c r="N184" s="29">
        <f>IF('RPT4'!$J184="","",'RPT4'!$J184)</f>
        <v>1872.644401598101</v>
      </c>
    </row>
    <row r="185" spans="1:14" x14ac:dyDescent="0.35">
      <c r="A185" s="16" t="s">
        <v>184</v>
      </c>
      <c r="B185" s="2"/>
      <c r="C185" s="28">
        <f t="shared" si="9"/>
        <v>1883.7091364336177</v>
      </c>
      <c r="D185" s="2"/>
      <c r="E185" s="4"/>
      <c r="F185" s="2"/>
      <c r="G185" s="28">
        <f t="shared" si="10"/>
        <v>1883.7091364336177</v>
      </c>
      <c r="H185" s="2"/>
      <c r="I185" s="4"/>
      <c r="J185" s="2"/>
      <c r="K185" s="29">
        <f>IF('RPT1'!$J185="","",'RPT1'!$J185)</f>
        <v>1804.555331151822</v>
      </c>
      <c r="L185" s="29">
        <f>IF('RPT2'!$J185="","",'RPT2'!$J185)</f>
        <v>1904.0138290349689</v>
      </c>
      <c r="M185" s="29">
        <f>IF('RPT3'!$J185="","",'RPT3'!$J185)</f>
        <v>1903.5369866098099</v>
      </c>
      <c r="N185" s="29">
        <f>IF('RPT4'!$J185="","",'RPT4'!$J185)</f>
        <v>1904.0138290349701</v>
      </c>
    </row>
    <row r="186" spans="1:14" x14ac:dyDescent="0.35">
      <c r="A186" s="16" t="s">
        <v>185</v>
      </c>
      <c r="B186" s="2"/>
      <c r="C186" s="28">
        <f t="shared" si="9"/>
        <v>1938.8374697564002</v>
      </c>
      <c r="D186" s="2"/>
      <c r="E186" s="4"/>
      <c r="F186" s="2"/>
      <c r="G186" s="28">
        <f t="shared" si="10"/>
        <v>1938.8374697564002</v>
      </c>
      <c r="H186" s="2"/>
      <c r="I186" s="4"/>
      <c r="J186" s="2"/>
      <c r="K186" s="29">
        <f>IF('RPT1'!$J186="","",'RPT1'!$J186)</f>
        <v>1896.2056580419739</v>
      </c>
      <c r="L186" s="29">
        <f>IF('RPT2'!$J186="","",'RPT2'!$J186)</f>
        <v>1951.0986785898599</v>
      </c>
      <c r="M186" s="29">
        <f>IF('RPT3'!$J186="","",'RPT3'!$J186)</f>
        <v>1950.5822030994241</v>
      </c>
      <c r="N186" s="29">
        <f>IF('RPT4'!$J186="","",'RPT4'!$J186)</f>
        <v>1951.0986785898599</v>
      </c>
    </row>
    <row r="187" spans="1:14" x14ac:dyDescent="0.35">
      <c r="A187" s="16" t="s">
        <v>186</v>
      </c>
      <c r="B187" s="2"/>
      <c r="C187" s="28">
        <f t="shared" si="9"/>
        <v>2030.4144062150224</v>
      </c>
      <c r="D187" s="2"/>
      <c r="E187" s="4"/>
      <c r="F187" s="2"/>
      <c r="G187" s="28">
        <f t="shared" si="10"/>
        <v>2030.4144062150224</v>
      </c>
      <c r="H187" s="2"/>
      <c r="I187" s="4"/>
      <c r="J187" s="2"/>
      <c r="K187" s="29">
        <f>IF('RPT1'!$J187="","",'RPT1'!$J187)</f>
        <v>1998.5806931215529</v>
      </c>
      <c r="L187" s="29">
        <f>IF('RPT2'!$J187="","",'RPT2'!$J187)</f>
        <v>2039.6208497124469</v>
      </c>
      <c r="M187" s="29">
        <f>IF('RPT3'!$J187="","",'RPT3'!$J187)</f>
        <v>2039.0805131245729</v>
      </c>
      <c r="N187" s="29">
        <f>IF('RPT4'!$J187="","",'RPT4'!$J187)</f>
        <v>2039.620849712446</v>
      </c>
    </row>
    <row r="188" spans="1:14" x14ac:dyDescent="0.35">
      <c r="A188" s="16" t="s">
        <v>187</v>
      </c>
      <c r="B188" s="2"/>
      <c r="C188" s="28">
        <f t="shared" si="9"/>
        <v>2129.1770398736835</v>
      </c>
      <c r="D188" s="2"/>
      <c r="E188" s="4"/>
      <c r="F188" s="2"/>
      <c r="G188" s="28">
        <f t="shared" si="10"/>
        <v>2129.1770398736835</v>
      </c>
      <c r="H188" s="2"/>
      <c r="I188" s="4"/>
      <c r="J188" s="2"/>
      <c r="K188" s="29">
        <f>IF('RPT1'!$J188="","",'RPT1'!$J188)</f>
        <v>2107.8918156060431</v>
      </c>
      <c r="L188" s="29">
        <f>IF('RPT2'!$J188="","",'RPT2'!$J188)</f>
        <v>2135.286627523295</v>
      </c>
      <c r="M188" s="29">
        <f>IF('RPT3'!$J188="","",'RPT3'!$J188)</f>
        <v>2134.7990081895682</v>
      </c>
      <c r="N188" s="29">
        <f>IF('RPT4'!$J188="","",'RPT4'!$J188)</f>
        <v>2135.286627523295</v>
      </c>
    </row>
    <row r="189" spans="1:14" x14ac:dyDescent="0.35">
      <c r="A189" s="16" t="s">
        <v>188</v>
      </c>
      <c r="B189" s="2"/>
      <c r="C189" s="28">
        <f t="shared" si="9"/>
        <v>1635.5176978331158</v>
      </c>
      <c r="D189" s="2"/>
      <c r="E189" s="4"/>
      <c r="F189" s="2"/>
      <c r="G189" s="28">
        <f t="shared" si="10"/>
        <v>1635.5176978331158</v>
      </c>
      <c r="H189" s="2"/>
      <c r="I189" s="4"/>
      <c r="J189" s="2"/>
      <c r="K189" s="29">
        <f>IF('RPT1'!$J189="","",'RPT1'!$J189)</f>
        <v>1635.517697833116</v>
      </c>
      <c r="L189" s="29">
        <f>IF('RPT2'!$J189="","",'RPT2'!$J189)</f>
        <v>1635.517697833116</v>
      </c>
      <c r="M189" s="29">
        <f>IF('RPT3'!$J189="","",'RPT3'!$J189)</f>
        <v>1635.517697833116</v>
      </c>
      <c r="N189" s="29">
        <f>IF('RPT4'!$J189="","",'RPT4'!$J189)</f>
        <v>1635.517697833116</v>
      </c>
    </row>
    <row r="190" spans="1:14" x14ac:dyDescent="0.35">
      <c r="A190" s="16" t="s">
        <v>189</v>
      </c>
      <c r="B190" s="2"/>
      <c r="C190" s="28">
        <f t="shared" si="9"/>
        <v>1816.5025302216566</v>
      </c>
      <c r="D190" s="2"/>
      <c r="E190" s="4"/>
      <c r="F190" s="2"/>
      <c r="G190" s="28">
        <f t="shared" si="10"/>
        <v>1816.5025302216566</v>
      </c>
      <c r="H190" s="2"/>
      <c r="I190" s="4"/>
      <c r="J190" s="2"/>
      <c r="K190" s="29">
        <f>IF('RPT1'!$J190="","",'RPT1'!$J190)</f>
        <v>1816.502530221657</v>
      </c>
      <c r="L190" s="29">
        <f>IF('RPT2'!$J190="","",'RPT2'!$J190)</f>
        <v>1816.502530221657</v>
      </c>
      <c r="M190" s="29">
        <f>IF('RPT3'!$J190="","",'RPT3'!$J190)</f>
        <v>1816.502530221657</v>
      </c>
      <c r="N190" s="29">
        <f>IF('RPT4'!$J190="","",'RPT4'!$J190)</f>
        <v>1816.502530221657</v>
      </c>
    </row>
    <row r="191" spans="1:14" x14ac:dyDescent="0.35">
      <c r="A191" s="16" t="s">
        <v>190</v>
      </c>
      <c r="B191" s="2"/>
      <c r="C191" s="28">
        <f t="shared" si="9"/>
        <v>1896.2570773463665</v>
      </c>
      <c r="D191" s="2"/>
      <c r="E191" s="4"/>
      <c r="F191" s="2"/>
      <c r="G191" s="28">
        <f t="shared" si="10"/>
        <v>1896.2570773463665</v>
      </c>
      <c r="H191" s="2"/>
      <c r="I191" s="4"/>
      <c r="J191" s="2"/>
      <c r="K191" s="29">
        <f>IF('RPT1'!$J191="","",'RPT1'!$J191)</f>
        <v>1896.257077346366</v>
      </c>
      <c r="L191" s="29">
        <f>IF('RPT2'!$J191="","",'RPT2'!$J191)</f>
        <v>1896.257077346366</v>
      </c>
      <c r="M191" s="29">
        <f>IF('RPT3'!$J191="","",'RPT3'!$J191)</f>
        <v>1896.257077346366</v>
      </c>
      <c r="N191" s="29">
        <f>IF('RPT4'!$J191="","",'RPT4'!$J191)</f>
        <v>1896.257077346366</v>
      </c>
    </row>
    <row r="192" spans="1:14" x14ac:dyDescent="0.35">
      <c r="A192" s="16" t="s">
        <v>191</v>
      </c>
      <c r="B192" s="2"/>
      <c r="C192" s="28">
        <f t="shared" si="9"/>
        <v>1944.2703893991811</v>
      </c>
      <c r="D192" s="2"/>
      <c r="E192" s="4"/>
      <c r="F192" s="2"/>
      <c r="G192" s="28">
        <f t="shared" si="10"/>
        <v>1944.2703893991811</v>
      </c>
      <c r="H192" s="2"/>
      <c r="I192" s="4"/>
      <c r="J192" s="2"/>
      <c r="K192" s="29">
        <f>IF('RPT1'!$J192="","",'RPT1'!$J192)</f>
        <v>1944.2703893991811</v>
      </c>
      <c r="L192" s="29">
        <f>IF('RPT2'!$J192="","",'RPT2'!$J192)</f>
        <v>1944.2703893991811</v>
      </c>
      <c r="M192" s="29">
        <f>IF('RPT3'!$J192="","",'RPT3'!$J192)</f>
        <v>1944.2703893991811</v>
      </c>
      <c r="N192" s="29">
        <f>IF('RPT4'!$J192="","",'RPT4'!$J192)</f>
        <v>1944.2703893991811</v>
      </c>
    </row>
    <row r="193" spans="1:14" x14ac:dyDescent="0.35">
      <c r="A193" s="16" t="s">
        <v>192</v>
      </c>
      <c r="B193" s="2"/>
      <c r="C193" s="28">
        <f t="shared" si="9"/>
        <v>1996.685743610652</v>
      </c>
      <c r="D193" s="2"/>
      <c r="E193" s="4"/>
      <c r="F193" s="2"/>
      <c r="G193" s="28">
        <f t="shared" si="10"/>
        <v>1996.685743610652</v>
      </c>
      <c r="H193" s="2"/>
      <c r="I193" s="4"/>
      <c r="J193" s="2"/>
      <c r="K193" s="29">
        <f>IF('RPT1'!$J193="","",'RPT1'!$J193)</f>
        <v>1996.685743610652</v>
      </c>
      <c r="L193" s="29">
        <f>IF('RPT2'!$J193="","",'RPT2'!$J193)</f>
        <v>1996.685743610652</v>
      </c>
      <c r="M193" s="29">
        <f>IF('RPT3'!$J193="","",'RPT3'!$J193)</f>
        <v>1996.685743610652</v>
      </c>
      <c r="N193" s="29">
        <f>IF('RPT4'!$J193="","",'RPT4'!$J193)</f>
        <v>1996.685743610652</v>
      </c>
    </row>
    <row r="194" spans="1:14" x14ac:dyDescent="0.35">
      <c r="A194" s="16" t="s">
        <v>193</v>
      </c>
      <c r="B194" s="2"/>
      <c r="C194" s="28">
        <f t="shared" si="9"/>
        <v>22371.606821738587</v>
      </c>
      <c r="D194" s="2"/>
      <c r="E194" s="4"/>
      <c r="F194" s="2"/>
      <c r="G194" s="28">
        <f t="shared" si="10"/>
        <v>22371.606821738587</v>
      </c>
      <c r="H194" s="2"/>
      <c r="I194" s="4"/>
      <c r="J194" s="2"/>
      <c r="K194" s="29">
        <f>IF('RPT1'!$J194="","",'RPT1'!$J194)</f>
        <v>21698.11674868604</v>
      </c>
      <c r="L194" s="29">
        <f>IF('RPT2'!$J194="","",'RPT2'!$J194)</f>
        <v>22573.268903651559</v>
      </c>
      <c r="M194" s="29">
        <f>IF('RPT3'!$J194="","",'RPT3'!$J194)</f>
        <v>22573.123322911051</v>
      </c>
      <c r="N194" s="29">
        <f>IF('RPT4'!$J194="","",'RPT4'!$J194)</f>
        <v>22573.60087929005</v>
      </c>
    </row>
    <row r="195" spans="1:14" x14ac:dyDescent="0.35">
      <c r="A195" s="16" t="s">
        <v>194</v>
      </c>
      <c r="B195" s="2"/>
      <c r="C195" s="28">
        <f t="shared" si="9"/>
        <v>21473.885769636112</v>
      </c>
      <c r="D195" s="2"/>
      <c r="E195" s="4"/>
      <c r="F195" s="2"/>
      <c r="G195" s="28">
        <f t="shared" si="10"/>
        <v>21473.885769636112</v>
      </c>
      <c r="H195" s="2"/>
      <c r="I195" s="4"/>
      <c r="J195" s="2"/>
      <c r="K195" s="29">
        <f>IF('RPT1'!$J195="","",'RPT1'!$J195)</f>
        <v>20623.105003301462</v>
      </c>
      <c r="L195" s="29">
        <f>IF('RPT2'!$J195="","",'RPT2'!$J195)</f>
        <v>21727.935446718911</v>
      </c>
      <c r="M195" s="29">
        <f>IF('RPT3'!$J195="","",'RPT3'!$J195)</f>
        <v>21726.52858928252</v>
      </c>
      <c r="N195" s="29">
        <f>IF('RPT4'!$J195="","",'RPT4'!$J195)</f>
        <v>21728.311822130261</v>
      </c>
    </row>
    <row r="196" spans="1:14" x14ac:dyDescent="0.35">
      <c r="A196" s="16" t="s">
        <v>195</v>
      </c>
      <c r="B196" s="2"/>
      <c r="C196" s="28">
        <f t="shared" si="9"/>
        <v>22340.013147681606</v>
      </c>
      <c r="D196" s="2"/>
      <c r="E196" s="4"/>
      <c r="F196" s="2"/>
      <c r="G196" s="28">
        <f t="shared" si="10"/>
        <v>22340.013147681606</v>
      </c>
      <c r="H196" s="2"/>
      <c r="I196" s="4"/>
      <c r="J196" s="2"/>
      <c r="K196" s="29">
        <f>IF('RPT1'!$J196="","",'RPT1'!$J196)</f>
        <v>21253.57349776127</v>
      </c>
      <c r="L196" s="29">
        <f>IF('RPT2'!$J196="","",'RPT2'!$J196)</f>
        <v>22656.85945806438</v>
      </c>
      <c r="M196" s="29">
        <f>IF('RPT3'!$J196="","",'RPT3'!$J196)</f>
        <v>22653.203874555751</v>
      </c>
      <c r="N196" s="29">
        <f>IF('RPT4'!$J196="","",'RPT4'!$J196)</f>
        <v>22653.576726509811</v>
      </c>
    </row>
    <row r="197" spans="1:14" x14ac:dyDescent="0.35">
      <c r="A197" s="16" t="s">
        <v>196</v>
      </c>
      <c r="B197" s="2"/>
      <c r="C197" s="28">
        <f t="shared" si="9"/>
        <v>22949.870541585264</v>
      </c>
      <c r="D197" s="2"/>
      <c r="E197" s="4"/>
      <c r="F197" s="2"/>
      <c r="G197" s="28">
        <f t="shared" si="10"/>
        <v>22949.870541585264</v>
      </c>
      <c r="H197" s="2"/>
      <c r="I197" s="4"/>
      <c r="J197" s="2"/>
      <c r="K197" s="29">
        <f>IF('RPT1'!$J197="","",'RPT1'!$J197)</f>
        <v>21664.522293526341</v>
      </c>
      <c r="L197" s="29">
        <f>IF('RPT2'!$J197="","",'RPT2'!$J197)</f>
        <v>23320.534257853411</v>
      </c>
      <c r="M197" s="29">
        <f>IF('RPT3'!$J197="","",'RPT3'!$J197)</f>
        <v>23316.053660870271</v>
      </c>
      <c r="N197" s="29">
        <f>IF('RPT4'!$J197="","",'RPT4'!$J197)</f>
        <v>23306.94556863268</v>
      </c>
    </row>
    <row r="198" spans="1:14" x14ac:dyDescent="0.35">
      <c r="A198" s="16" t="s">
        <v>197</v>
      </c>
      <c r="B198" s="2"/>
      <c r="C198" s="28">
        <f t="shared" si="9"/>
        <v>23720.7313907524</v>
      </c>
      <c r="D198" s="2"/>
      <c r="E198" s="4"/>
      <c r="F198" s="2"/>
      <c r="G198" s="28">
        <f t="shared" si="10"/>
        <v>23720.7313907524</v>
      </c>
      <c r="H198" s="2"/>
      <c r="I198" s="4"/>
      <c r="J198" s="2"/>
      <c r="K198" s="29">
        <f>IF('RPT1'!$J198="","",'RPT1'!$J198)</f>
        <v>22421.74947277438</v>
      </c>
      <c r="L198" s="29">
        <f>IF('RPT2'!$J198="","",'RPT2'!$J198)</f>
        <v>24097.16043961886</v>
      </c>
      <c r="M198" s="29">
        <f>IF('RPT3'!$J198="","",'RPT3'!$J198)</f>
        <v>24092.09270339353</v>
      </c>
      <c r="N198" s="29">
        <f>IF('RPT4'!$J198="","",'RPT4'!$J198)</f>
        <v>24077.958697134891</v>
      </c>
    </row>
    <row r="199" spans="1:14" x14ac:dyDescent="0.35">
      <c r="A199" s="16" t="s">
        <v>198</v>
      </c>
      <c r="B199" s="2"/>
      <c r="C199" s="28">
        <f t="shared" si="9"/>
        <v>18120.569923426294</v>
      </c>
      <c r="D199" s="2"/>
      <c r="E199" s="4"/>
      <c r="F199" s="2"/>
      <c r="G199" s="28">
        <f t="shared" si="10"/>
        <v>18120.569923426294</v>
      </c>
      <c r="H199" s="2"/>
      <c r="I199" s="4"/>
      <c r="J199" s="2"/>
      <c r="K199" s="29">
        <f>IF('RPT1'!$J199="","",'RPT1'!$J199)</f>
        <v>18128.807941329</v>
      </c>
      <c r="L199" s="29">
        <f>IF('RPT2'!$J199="","",'RPT2'!$J199)</f>
        <v>18111.63499275106</v>
      </c>
      <c r="M199" s="29">
        <f>IF('RPT3'!$J199="","",'RPT3'!$J199)</f>
        <v>18104.2090474857</v>
      </c>
      <c r="N199" s="29">
        <f>IF('RPT4'!$J199="","",'RPT4'!$J199)</f>
        <v>18137.618117948168</v>
      </c>
    </row>
    <row r="200" spans="1:14" x14ac:dyDescent="0.35">
      <c r="A200" s="16" t="s">
        <v>199</v>
      </c>
      <c r="B200" s="2"/>
      <c r="C200" s="28">
        <f t="shared" si="9"/>
        <v>26061.60254907444</v>
      </c>
      <c r="D200" s="2"/>
      <c r="E200" s="4"/>
      <c r="F200" s="2"/>
      <c r="G200" s="28">
        <f t="shared" si="10"/>
        <v>26061.60254907444</v>
      </c>
      <c r="H200" s="2"/>
      <c r="I200" s="4"/>
      <c r="J200" s="2"/>
      <c r="K200" s="29">
        <f>IF('RPT1'!$J200="","",'RPT1'!$J200)</f>
        <v>26075.569528425069</v>
      </c>
      <c r="L200" s="29">
        <f>IF('RPT2'!$J200="","",'RPT2'!$J200)</f>
        <v>26052.697307969898</v>
      </c>
      <c r="M200" s="29">
        <f>IF('RPT3'!$J200="","",'RPT3'!$J200)</f>
        <v>26027.945723590539</v>
      </c>
      <c r="N200" s="29">
        <f>IF('RPT4'!$J200="","",'RPT4'!$J200)</f>
        <v>26090.17828404723</v>
      </c>
    </row>
    <row r="201" spans="1:14" x14ac:dyDescent="0.35">
      <c r="A201" s="16" t="s">
        <v>200</v>
      </c>
      <c r="B201" s="2"/>
      <c r="C201" s="28">
        <f t="shared" si="9"/>
        <v>23850.094752115048</v>
      </c>
      <c r="D201" s="2"/>
      <c r="E201" s="4"/>
      <c r="F201" s="2"/>
      <c r="G201" s="28">
        <f t="shared" si="10"/>
        <v>23850.094752115048</v>
      </c>
      <c r="H201" s="2"/>
      <c r="I201" s="4"/>
      <c r="J201" s="2"/>
      <c r="K201" s="29">
        <f>IF('RPT1'!$J201="","",'RPT1'!$J201)</f>
        <v>23846.44159897526</v>
      </c>
      <c r="L201" s="29">
        <f>IF('RPT2'!$J201="","",'RPT2'!$J201)</f>
        <v>23848.922978060771</v>
      </c>
      <c r="M201" s="29">
        <f>IF('RPT3'!$J201="","",'RPT3'!$J201)</f>
        <v>23834.0515519906</v>
      </c>
      <c r="N201" s="29">
        <f>IF('RPT4'!$J201="","",'RPT4'!$J201)</f>
        <v>23870.966438452881</v>
      </c>
    </row>
    <row r="202" spans="1:14" x14ac:dyDescent="0.35">
      <c r="A202" s="16" t="s">
        <v>201</v>
      </c>
      <c r="B202" s="2"/>
      <c r="C202" s="28">
        <f t="shared" si="9"/>
        <v>24340.375102453698</v>
      </c>
      <c r="D202" s="2"/>
      <c r="E202" s="4"/>
      <c r="F202" s="2"/>
      <c r="G202" s="28">
        <f t="shared" si="10"/>
        <v>24340.375102453698</v>
      </c>
      <c r="H202" s="2"/>
      <c r="I202" s="4"/>
      <c r="J202" s="2"/>
      <c r="K202" s="29">
        <f>IF('RPT1'!$J202="","",'RPT1'!$J202)</f>
        <v>24329.209905621301</v>
      </c>
      <c r="L202" s="29">
        <f>IF('RPT2'!$J202="","",'RPT2'!$J202)</f>
        <v>24341.700539551672</v>
      </c>
      <c r="M202" s="29">
        <f>IF('RPT3'!$J202="","",'RPT3'!$J202)</f>
        <v>24327.364674791199</v>
      </c>
      <c r="N202" s="29">
        <f>IF('RPT4'!$J202="","",'RPT4'!$J202)</f>
        <v>24363.23630506156</v>
      </c>
    </row>
    <row r="203" spans="1:14" x14ac:dyDescent="0.35">
      <c r="A203" s="16" t="s">
        <v>202</v>
      </c>
      <c r="B203" s="2"/>
      <c r="C203" s="28">
        <f t="shared" si="9"/>
        <v>25278.078824036096</v>
      </c>
      <c r="D203" s="2"/>
      <c r="E203" s="4"/>
      <c r="F203" s="2"/>
      <c r="G203" s="28">
        <f t="shared" si="10"/>
        <v>25278.078824036096</v>
      </c>
      <c r="H203" s="2"/>
      <c r="I203" s="4"/>
      <c r="J203" s="2"/>
      <c r="K203" s="29">
        <f>IF('RPT1'!$J203="","",'RPT1'!$J203)</f>
        <v>25263.265456074882</v>
      </c>
      <c r="L203" s="29">
        <f>IF('RPT2'!$J203="","",'RPT2'!$J203)</f>
        <v>25279.978351645201</v>
      </c>
      <c r="M203" s="29">
        <f>IF('RPT3'!$J203="","",'RPT3'!$J203)</f>
        <v>25262.908703588939</v>
      </c>
      <c r="N203" s="29">
        <f>IF('RPT4'!$J203="","",'RPT4'!$J203)</f>
        <v>25306.179957318091</v>
      </c>
    </row>
    <row r="204" spans="1:14" x14ac:dyDescent="0.35">
      <c r="A204" s="24"/>
      <c r="B204" s="2"/>
      <c r="C204" s="14"/>
      <c r="D204" s="2"/>
      <c r="E204" s="4"/>
      <c r="F204" s="2"/>
      <c r="G204" s="14"/>
      <c r="H204" s="2"/>
      <c r="I204" s="4"/>
      <c r="J204" s="2"/>
      <c r="K204" s="25"/>
      <c r="L204" s="25"/>
      <c r="M204" s="25"/>
      <c r="N204" s="25"/>
    </row>
    <row r="205" spans="1:14" x14ac:dyDescent="0.35">
      <c r="A205" s="12" t="s">
        <v>203</v>
      </c>
      <c r="B205" s="2"/>
      <c r="C205" s="14"/>
      <c r="D205" s="2"/>
      <c r="E205" s="4"/>
      <c r="F205" s="2"/>
      <c r="G205" s="14"/>
      <c r="H205" s="2"/>
      <c r="I205" s="4"/>
      <c r="J205" s="2"/>
      <c r="K205" s="25" t="str">
        <f>IF('RPT1'!$J205="","",'RPT1'!$J205)</f>
        <v/>
      </c>
      <c r="L205" s="25" t="str">
        <f>IF('RPT2'!$J205="","",'RPT2'!$J205)</f>
        <v/>
      </c>
      <c r="M205" s="25" t="str">
        <f>IF('RPT3'!$J205="","",'RPT3'!$J205)</f>
        <v/>
      </c>
      <c r="N205" s="25" t="str">
        <f>IF('RPT4'!$J205="","",'RPT4'!$J205)</f>
        <v/>
      </c>
    </row>
    <row r="206" spans="1:14" x14ac:dyDescent="0.35">
      <c r="A206" s="16" t="s">
        <v>204</v>
      </c>
      <c r="B206" s="2"/>
      <c r="C206" s="28">
        <f t="shared" ref="C206:C245" si="11">IF(Combine="Y", $G206, 0)</f>
        <v>1185.2625453178955</v>
      </c>
      <c r="D206" s="2"/>
      <c r="E206" s="4"/>
      <c r="F206" s="2"/>
      <c r="G206" s="28">
        <f t="shared" ref="G206:G245" si="12">IF(G122=0,0,SUMPRODUCT($K122:$N122,$K206:$N206)/G122)</f>
        <v>1185.2625453178955</v>
      </c>
      <c r="H206" s="2"/>
      <c r="I206" s="4"/>
      <c r="J206" s="2"/>
      <c r="K206" s="29">
        <f>IF('RPT1'!$J206="","",'RPT1'!$J206)</f>
        <v>1142.258780966868</v>
      </c>
      <c r="L206" s="29">
        <f>IF('RPT2'!$J206="","",'RPT2'!$J206)</f>
        <v>1260.582016927367</v>
      </c>
      <c r="M206" s="29">
        <f>IF('RPT3'!$J206="","",'RPT3'!$J206)</f>
        <v>1045.3163336004459</v>
      </c>
      <c r="N206" s="29">
        <f>IF('RPT4'!$J206="","",'RPT4'!$J206)</f>
        <v>1260.582016927367</v>
      </c>
    </row>
    <row r="207" spans="1:14" x14ac:dyDescent="0.35">
      <c r="A207" s="16" t="s">
        <v>205</v>
      </c>
      <c r="B207" s="2"/>
      <c r="C207" s="28">
        <f t="shared" si="11"/>
        <v>1268.6087015117903</v>
      </c>
      <c r="D207" s="2"/>
      <c r="E207" s="4"/>
      <c r="F207" s="2"/>
      <c r="G207" s="28">
        <f t="shared" si="12"/>
        <v>1268.6087015117903</v>
      </c>
      <c r="H207" s="2"/>
      <c r="I207" s="4"/>
      <c r="J207" s="2"/>
      <c r="K207" s="29">
        <f>IF('RPT1'!$J207="","",'RPT1'!$J207)</f>
        <v>1260.202312807553</v>
      </c>
      <c r="L207" s="29">
        <f>IF('RPT2'!$J207="","",'RPT2'!$J207)</f>
        <v>1327.6504431284579</v>
      </c>
      <c r="M207" s="29">
        <f>IF('RPT3'!$J207="","",'RPT3'!$J207)</f>
        <v>1136.5205894959961</v>
      </c>
      <c r="N207" s="29">
        <f>IF('RPT4'!$J207="","",'RPT4'!$J207)</f>
        <v>1327.6504431284579</v>
      </c>
    </row>
    <row r="208" spans="1:14" x14ac:dyDescent="0.35">
      <c r="A208" s="16" t="s">
        <v>206</v>
      </c>
      <c r="B208" s="2"/>
      <c r="C208" s="28">
        <f t="shared" si="11"/>
        <v>1382.66214344016</v>
      </c>
      <c r="D208" s="2"/>
      <c r="E208" s="4"/>
      <c r="F208" s="2"/>
      <c r="G208" s="28">
        <f t="shared" si="12"/>
        <v>1382.66214344016</v>
      </c>
      <c r="H208" s="2"/>
      <c r="I208" s="4"/>
      <c r="J208" s="2"/>
      <c r="K208" s="29">
        <f>IF('RPT1'!$J208="","",'RPT1'!$J208)</f>
        <v>1393.3715987279829</v>
      </c>
      <c r="L208" s="29">
        <f>IF('RPT2'!$J208="","",'RPT2'!$J208)</f>
        <v>1424.176666959944</v>
      </c>
      <c r="M208" s="29">
        <f>IF('RPT3'!$J208="","",'RPT3'!$J208)</f>
        <v>1276.6257432468769</v>
      </c>
      <c r="N208" s="29">
        <f>IF('RPT4'!$J208="","",'RPT4'!$J208)</f>
        <v>1424.176666959944</v>
      </c>
    </row>
    <row r="209" spans="1:14" x14ac:dyDescent="0.35">
      <c r="A209" s="16" t="s">
        <v>207</v>
      </c>
      <c r="B209" s="2"/>
      <c r="C209" s="28">
        <f t="shared" si="11"/>
        <v>1561.197523576478</v>
      </c>
      <c r="D209" s="2"/>
      <c r="E209" s="4"/>
      <c r="F209" s="2"/>
      <c r="G209" s="28">
        <f t="shared" si="12"/>
        <v>1561.197523576478</v>
      </c>
      <c r="H209" s="2"/>
      <c r="I209" s="4"/>
      <c r="J209" s="2"/>
      <c r="K209" s="29">
        <f>IF('RPT1'!$J209="","",'RPT1'!$J209)</f>
        <v>1573.5443240034019</v>
      </c>
      <c r="L209" s="29">
        <f>IF('RPT2'!$J209="","",'RPT2'!$J209)</f>
        <v>1597.551947895322</v>
      </c>
      <c r="M209" s="29">
        <f>IF('RPT3'!$J209="","",'RPT3'!$J209)</f>
        <v>1465.1014012167579</v>
      </c>
      <c r="N209" s="29">
        <f>IF('RPT4'!$J209="","",'RPT4'!$J209)</f>
        <v>1597.551947895322</v>
      </c>
    </row>
    <row r="210" spans="1:14" x14ac:dyDescent="0.35">
      <c r="A210" s="16" t="s">
        <v>208</v>
      </c>
      <c r="B210" s="2"/>
      <c r="C210" s="28">
        <f t="shared" si="11"/>
        <v>1703.1642808100637</v>
      </c>
      <c r="D210" s="2"/>
      <c r="E210" s="4"/>
      <c r="F210" s="2"/>
      <c r="G210" s="28">
        <f t="shared" si="12"/>
        <v>1703.1642808100637</v>
      </c>
      <c r="H210" s="2"/>
      <c r="I210" s="4"/>
      <c r="J210" s="2"/>
      <c r="K210" s="29">
        <f>IF('RPT1'!$J210="","",'RPT1'!$J210)</f>
        <v>1710.030191789408</v>
      </c>
      <c r="L210" s="29">
        <f>IF('RPT2'!$J210="","",'RPT2'!$J210)</f>
        <v>1730.867377726815</v>
      </c>
      <c r="M210" s="29">
        <f>IF('RPT3'!$J210="","",'RPT3'!$J210)</f>
        <v>1633.9949073146211</v>
      </c>
      <c r="N210" s="29">
        <f>IF('RPT4'!$J210="","",'RPT4'!$J210)</f>
        <v>1730.867377726815</v>
      </c>
    </row>
    <row r="211" spans="1:14" x14ac:dyDescent="0.35">
      <c r="A211" s="16" t="s">
        <v>209</v>
      </c>
      <c r="B211" s="2"/>
      <c r="C211" s="28">
        <f t="shared" si="11"/>
        <v>1641.4338307438459</v>
      </c>
      <c r="D211" s="2"/>
      <c r="E211" s="4"/>
      <c r="F211" s="2"/>
      <c r="G211" s="28">
        <f t="shared" si="12"/>
        <v>1641.4338307438459</v>
      </c>
      <c r="H211" s="2"/>
      <c r="I211" s="4"/>
      <c r="J211" s="2"/>
      <c r="K211" s="29">
        <f>IF('RPT1'!$J211="","",'RPT1'!$J211)</f>
        <v>1641.4338307438461</v>
      </c>
      <c r="L211" s="29">
        <f>IF('RPT2'!$J211="","",'RPT2'!$J211)</f>
        <v>1641.4338307438461</v>
      </c>
      <c r="M211" s="29">
        <f>IF('RPT3'!$J211="","",'RPT3'!$J211)</f>
        <v>1641.4338307438461</v>
      </c>
      <c r="N211" s="29">
        <f>IF('RPT4'!$J211="","",'RPT4'!$J211)</f>
        <v>1641.4338307438461</v>
      </c>
    </row>
    <row r="212" spans="1:14" x14ac:dyDescent="0.35">
      <c r="A212" s="16" t="s">
        <v>210</v>
      </c>
      <c r="B212" s="2"/>
      <c r="C212" s="28">
        <f t="shared" si="11"/>
        <v>1741.5715035000071</v>
      </c>
      <c r="D212" s="2"/>
      <c r="E212" s="4"/>
      <c r="F212" s="2"/>
      <c r="G212" s="28">
        <f t="shared" si="12"/>
        <v>1741.5715035000071</v>
      </c>
      <c r="H212" s="2"/>
      <c r="I212" s="4"/>
      <c r="J212" s="2"/>
      <c r="K212" s="29">
        <f>IF('RPT1'!$J212="","",'RPT1'!$J212)</f>
        <v>1741.5715035000071</v>
      </c>
      <c r="L212" s="29">
        <f>IF('RPT2'!$J212="","",'RPT2'!$J212)</f>
        <v>1741.5715035000071</v>
      </c>
      <c r="M212" s="29">
        <f>IF('RPT3'!$J212="","",'RPT3'!$J212)</f>
        <v>1741.5715035000071</v>
      </c>
      <c r="N212" s="29">
        <f>IF('RPT4'!$J212="","",'RPT4'!$J212)</f>
        <v>1741.5715035000071</v>
      </c>
    </row>
    <row r="213" spans="1:14" x14ac:dyDescent="0.35">
      <c r="A213" s="16" t="s">
        <v>211</v>
      </c>
      <c r="B213" s="2"/>
      <c r="C213" s="28">
        <f t="shared" si="11"/>
        <v>1681.2776035570766</v>
      </c>
      <c r="D213" s="2"/>
      <c r="E213" s="4"/>
      <c r="F213" s="2"/>
      <c r="G213" s="28">
        <f t="shared" si="12"/>
        <v>1681.2776035570766</v>
      </c>
      <c r="H213" s="2"/>
      <c r="I213" s="4"/>
      <c r="J213" s="2"/>
      <c r="K213" s="29">
        <f>IF('RPT1'!$J213="","",'RPT1'!$J213)</f>
        <v>1681.2776035570771</v>
      </c>
      <c r="L213" s="29">
        <f>IF('RPT2'!$J213="","",'RPT2'!$J213)</f>
        <v>1681.2776035570771</v>
      </c>
      <c r="M213" s="29">
        <f>IF('RPT3'!$J213="","",'RPT3'!$J213)</f>
        <v>1681.2776035570771</v>
      </c>
      <c r="N213" s="29">
        <f>IF('RPT4'!$J213="","",'RPT4'!$J213)</f>
        <v>1681.2776035570771</v>
      </c>
    </row>
    <row r="214" spans="1:14" x14ac:dyDescent="0.35">
      <c r="A214" s="16" t="s">
        <v>212</v>
      </c>
      <c r="B214" s="2"/>
      <c r="C214" s="28">
        <f t="shared" si="11"/>
        <v>1555.1807368526461</v>
      </c>
      <c r="D214" s="2"/>
      <c r="E214" s="4"/>
      <c r="F214" s="2"/>
      <c r="G214" s="28">
        <f t="shared" si="12"/>
        <v>1555.1807368526461</v>
      </c>
      <c r="H214" s="2"/>
      <c r="I214" s="4"/>
      <c r="J214" s="2"/>
      <c r="K214" s="29">
        <f>IF('RPT1'!$J214="","",'RPT1'!$J214)</f>
        <v>1555.1807368526461</v>
      </c>
      <c r="L214" s="29">
        <f>IF('RPT2'!$J214="","",'RPT2'!$J214)</f>
        <v>1555.1807368526461</v>
      </c>
      <c r="M214" s="29">
        <f>IF('RPT3'!$J214="","",'RPT3'!$J214)</f>
        <v>1555.1807368526461</v>
      </c>
      <c r="N214" s="29">
        <f>IF('RPT4'!$J214="","",'RPT4'!$J214)</f>
        <v>1555.1807368526461</v>
      </c>
    </row>
    <row r="215" spans="1:14" x14ac:dyDescent="0.35">
      <c r="A215" s="16" t="s">
        <v>213</v>
      </c>
      <c r="B215" s="2"/>
      <c r="C215" s="28">
        <f t="shared" si="11"/>
        <v>1643.589276722247</v>
      </c>
      <c r="D215" s="2"/>
      <c r="E215" s="4"/>
      <c r="F215" s="2"/>
      <c r="G215" s="28">
        <f t="shared" si="12"/>
        <v>1643.589276722247</v>
      </c>
      <c r="H215" s="2"/>
      <c r="I215" s="4"/>
      <c r="J215" s="2"/>
      <c r="K215" s="29">
        <f>IF('RPT1'!$J215="","",'RPT1'!$J215)</f>
        <v>1643.589276722247</v>
      </c>
      <c r="L215" s="29">
        <f>IF('RPT2'!$J215="","",'RPT2'!$J215)</f>
        <v>1643.589276722247</v>
      </c>
      <c r="M215" s="29">
        <f>IF('RPT3'!$J215="","",'RPT3'!$J215)</f>
        <v>1643.589276722247</v>
      </c>
      <c r="N215" s="29">
        <f>IF('RPT4'!$J215="","",'RPT4'!$J215)</f>
        <v>1643.589276722247</v>
      </c>
    </row>
    <row r="216" spans="1:14" x14ac:dyDescent="0.35">
      <c r="A216" s="16" t="s">
        <v>214</v>
      </c>
      <c r="B216" s="2"/>
      <c r="C216" s="28">
        <f t="shared" si="11"/>
        <v>664.73143507753389</v>
      </c>
      <c r="D216" s="2"/>
      <c r="E216" s="4"/>
      <c r="F216" s="2"/>
      <c r="G216" s="28">
        <f t="shared" si="12"/>
        <v>664.73143507753389</v>
      </c>
      <c r="H216" s="2"/>
      <c r="I216" s="4"/>
      <c r="J216" s="2"/>
      <c r="K216" s="29">
        <f>IF('RPT1'!$J216="","",'RPT1'!$J216)</f>
        <v>654.23585148319739</v>
      </c>
      <c r="L216" s="29">
        <f>IF('RPT2'!$J216="","",'RPT2'!$J216)</f>
        <v>675.9085062929089</v>
      </c>
      <c r="M216" s="29">
        <f>IF('RPT3'!$J216="","",'RPT3'!$J216)</f>
        <v>643.03325767416663</v>
      </c>
      <c r="N216" s="29">
        <f>IF('RPT4'!$J216="","",'RPT4'!$J216)</f>
        <v>675.9085062929089</v>
      </c>
    </row>
    <row r="217" spans="1:14" x14ac:dyDescent="0.35">
      <c r="A217" s="16" t="s">
        <v>215</v>
      </c>
      <c r="B217" s="2"/>
      <c r="C217" s="28">
        <f t="shared" si="11"/>
        <v>695.16631480835815</v>
      </c>
      <c r="D217" s="2"/>
      <c r="E217" s="4"/>
      <c r="F217" s="2"/>
      <c r="G217" s="28">
        <f t="shared" si="12"/>
        <v>695.16631480835815</v>
      </c>
      <c r="H217" s="2"/>
      <c r="I217" s="4"/>
      <c r="J217" s="2"/>
      <c r="K217" s="29">
        <f>IF('RPT1'!$J217="","",'RPT1'!$J217)</f>
        <v>693.99322280199135</v>
      </c>
      <c r="L217" s="29">
        <f>IF('RPT2'!$J217="","",'RPT2'!$J217)</f>
        <v>701.93827906522483</v>
      </c>
      <c r="M217" s="29">
        <f>IF('RPT3'!$J217="","",'RPT3'!$J217)</f>
        <v>677.8751579196213</v>
      </c>
      <c r="N217" s="29">
        <f>IF('RPT4'!$J217="","",'RPT4'!$J217)</f>
        <v>701.93827906522472</v>
      </c>
    </row>
    <row r="218" spans="1:14" x14ac:dyDescent="0.35">
      <c r="A218" s="16" t="s">
        <v>216</v>
      </c>
      <c r="B218" s="2"/>
      <c r="C218" s="28">
        <f t="shared" si="11"/>
        <v>736.00494652594784</v>
      </c>
      <c r="D218" s="2"/>
      <c r="E218" s="4"/>
      <c r="F218" s="2"/>
      <c r="G218" s="28">
        <f t="shared" si="12"/>
        <v>736.00494652594784</v>
      </c>
      <c r="H218" s="2"/>
      <c r="I218" s="4"/>
      <c r="J218" s="2"/>
      <c r="K218" s="29">
        <f>IF('RPT1'!$J218="","",'RPT1'!$J218)</f>
        <v>741.20954989883887</v>
      </c>
      <c r="L218" s="29">
        <f>IF('RPT2'!$J218="","",'RPT2'!$J218)</f>
        <v>741.57743572772654</v>
      </c>
      <c r="M218" s="29">
        <f>IF('RPT3'!$J218="","",'RPT3'!$J218)</f>
        <v>717.86422570359002</v>
      </c>
      <c r="N218" s="29">
        <f>IF('RPT4'!$J218="","",'RPT4'!$J218)</f>
        <v>741.57743572772654</v>
      </c>
    </row>
    <row r="219" spans="1:14" x14ac:dyDescent="0.35">
      <c r="A219" s="16" t="s">
        <v>217</v>
      </c>
      <c r="B219" s="2"/>
      <c r="C219" s="28">
        <f t="shared" si="11"/>
        <v>762.89845856061856</v>
      </c>
      <c r="D219" s="2"/>
      <c r="E219" s="4"/>
      <c r="F219" s="2"/>
      <c r="G219" s="28">
        <f t="shared" si="12"/>
        <v>762.89845856061856</v>
      </c>
      <c r="H219" s="2"/>
      <c r="I219" s="4"/>
      <c r="J219" s="2"/>
      <c r="K219" s="29">
        <f>IF('RPT1'!$J219="","",'RPT1'!$J219)</f>
        <v>766.52080445336958</v>
      </c>
      <c r="L219" s="29">
        <f>IF('RPT2'!$J219="","",'RPT2'!$J219)</f>
        <v>765.13866476289081</v>
      </c>
      <c r="M219" s="29">
        <f>IF('RPT3'!$J219="","",'RPT3'!$J219)</f>
        <v>754.28430511731449</v>
      </c>
      <c r="N219" s="29">
        <f>IF('RPT4'!$J219="","",'RPT4'!$J219)</f>
        <v>765.13866476289081</v>
      </c>
    </row>
    <row r="220" spans="1:14" x14ac:dyDescent="0.35">
      <c r="A220" s="16" t="s">
        <v>218</v>
      </c>
      <c r="B220" s="2"/>
      <c r="C220" s="28">
        <f t="shared" si="11"/>
        <v>801.05719074291778</v>
      </c>
      <c r="D220" s="2"/>
      <c r="E220" s="4"/>
      <c r="F220" s="2"/>
      <c r="G220" s="28">
        <f t="shared" si="12"/>
        <v>801.05719074291778</v>
      </c>
      <c r="H220" s="2"/>
      <c r="I220" s="4"/>
      <c r="J220" s="2"/>
      <c r="K220" s="29">
        <f>IF('RPT1'!$J220="","",'RPT1'!$J220)</f>
        <v>804.30804355294538</v>
      </c>
      <c r="L220" s="29">
        <f>IF('RPT2'!$J220="","",'RPT2'!$J220)</f>
        <v>799.17217058085669</v>
      </c>
      <c r="M220" s="29">
        <f>IF('RPT3'!$J220="","",'RPT3'!$J220)</f>
        <v>801.98801292620658</v>
      </c>
      <c r="N220" s="29">
        <f>IF('RPT4'!$J220="","",'RPT4'!$J220)</f>
        <v>799.17217058085669</v>
      </c>
    </row>
    <row r="221" spans="1:14" x14ac:dyDescent="0.35">
      <c r="A221" s="16" t="s">
        <v>219</v>
      </c>
      <c r="B221" s="2"/>
      <c r="C221" s="28">
        <f t="shared" si="11"/>
        <v>588.37462685936782</v>
      </c>
      <c r="D221" s="2"/>
      <c r="E221" s="4"/>
      <c r="F221" s="2"/>
      <c r="G221" s="28">
        <f t="shared" si="12"/>
        <v>588.37462685936782</v>
      </c>
      <c r="H221" s="2"/>
      <c r="I221" s="4"/>
      <c r="J221" s="2"/>
      <c r="K221" s="29">
        <f>IF('RPT1'!$J221="","",'RPT1'!$J221)</f>
        <v>588.37462685936771</v>
      </c>
      <c r="L221" s="29">
        <f>IF('RPT2'!$J221="","",'RPT2'!$J221)</f>
        <v>588.37462685936771</v>
      </c>
      <c r="M221" s="29">
        <f>IF('RPT3'!$J221="","",'RPT3'!$J221)</f>
        <v>588.37462685936771</v>
      </c>
      <c r="N221" s="29">
        <f>IF('RPT4'!$J221="","",'RPT4'!$J221)</f>
        <v>588.37462685936771</v>
      </c>
    </row>
    <row r="222" spans="1:14" x14ac:dyDescent="0.35">
      <c r="A222" s="16" t="s">
        <v>220</v>
      </c>
      <c r="B222" s="2"/>
      <c r="C222" s="28">
        <f t="shared" si="11"/>
        <v>633.75468942277928</v>
      </c>
      <c r="D222" s="2"/>
      <c r="E222" s="4"/>
      <c r="F222" s="2"/>
      <c r="G222" s="28">
        <f t="shared" si="12"/>
        <v>633.75468942277928</v>
      </c>
      <c r="H222" s="2"/>
      <c r="I222" s="4"/>
      <c r="J222" s="2"/>
      <c r="K222" s="29">
        <f>IF('RPT1'!$J222="","",'RPT1'!$J222)</f>
        <v>633.75468942277928</v>
      </c>
      <c r="L222" s="29">
        <f>IF('RPT2'!$J222="","",'RPT2'!$J222)</f>
        <v>633.75468942277928</v>
      </c>
      <c r="M222" s="29">
        <f>IF('RPT3'!$J222="","",'RPT3'!$J222)</f>
        <v>633.75468942277928</v>
      </c>
      <c r="N222" s="29">
        <f>IF('RPT4'!$J222="","",'RPT4'!$J222)</f>
        <v>633.75468942277928</v>
      </c>
    </row>
    <row r="223" spans="1:14" x14ac:dyDescent="0.35">
      <c r="A223" s="16" t="s">
        <v>221</v>
      </c>
      <c r="B223" s="2"/>
      <c r="C223" s="28">
        <f t="shared" si="11"/>
        <v>637.74857056454766</v>
      </c>
      <c r="D223" s="2"/>
      <c r="E223" s="4"/>
      <c r="F223" s="2"/>
      <c r="G223" s="28">
        <f t="shared" si="12"/>
        <v>637.74857056454766</v>
      </c>
      <c r="H223" s="2"/>
      <c r="I223" s="4"/>
      <c r="J223" s="2"/>
      <c r="K223" s="29">
        <f>IF('RPT1'!$J223="","",'RPT1'!$J223)</f>
        <v>637.74857056454766</v>
      </c>
      <c r="L223" s="29">
        <f>IF('RPT2'!$J223="","",'RPT2'!$J223)</f>
        <v>637.74857056454766</v>
      </c>
      <c r="M223" s="29">
        <f>IF('RPT3'!$J223="","",'RPT3'!$J223)</f>
        <v>637.74857056454766</v>
      </c>
      <c r="N223" s="29">
        <f>IF('RPT4'!$J223="","",'RPT4'!$J223)</f>
        <v>637.74857056454766</v>
      </c>
    </row>
    <row r="224" spans="1:14" x14ac:dyDescent="0.35">
      <c r="A224" s="16" t="s">
        <v>222</v>
      </c>
      <c r="B224" s="2"/>
      <c r="C224" s="28">
        <f t="shared" si="11"/>
        <v>672.99993857016716</v>
      </c>
      <c r="D224" s="2"/>
      <c r="E224" s="4"/>
      <c r="F224" s="2"/>
      <c r="G224" s="28">
        <f t="shared" si="12"/>
        <v>672.99993857016716</v>
      </c>
      <c r="H224" s="2"/>
      <c r="I224" s="4"/>
      <c r="J224" s="2"/>
      <c r="K224" s="29">
        <f>IF('RPT1'!$J224="","",'RPT1'!$J224)</f>
        <v>672.99993857016716</v>
      </c>
      <c r="L224" s="29">
        <f>IF('RPT2'!$J224="","",'RPT2'!$J224)</f>
        <v>672.99993857016716</v>
      </c>
      <c r="M224" s="29">
        <f>IF('RPT3'!$J224="","",'RPT3'!$J224)</f>
        <v>672.99993857016716</v>
      </c>
      <c r="N224" s="29">
        <f>IF('RPT4'!$J224="","",'RPT4'!$J224)</f>
        <v>672.99993857016716</v>
      </c>
    </row>
    <row r="225" spans="1:14" x14ac:dyDescent="0.35">
      <c r="A225" s="16" t="s">
        <v>223</v>
      </c>
      <c r="B225" s="2"/>
      <c r="C225" s="28">
        <f t="shared" si="11"/>
        <v>697.11632773592623</v>
      </c>
      <c r="D225" s="2"/>
      <c r="E225" s="4"/>
      <c r="F225" s="2"/>
      <c r="G225" s="28">
        <f t="shared" si="12"/>
        <v>697.11632773592623</v>
      </c>
      <c r="H225" s="2"/>
      <c r="I225" s="4"/>
      <c r="J225" s="2"/>
      <c r="K225" s="29">
        <f>IF('RPT1'!$J225="","",'RPT1'!$J225)</f>
        <v>697.11632773592612</v>
      </c>
      <c r="L225" s="29">
        <f>IF('RPT2'!$J225="","",'RPT2'!$J225)</f>
        <v>697.11632773592612</v>
      </c>
      <c r="M225" s="29">
        <f>IF('RPT3'!$J225="","",'RPT3'!$J225)</f>
        <v>697.11632773592612</v>
      </c>
      <c r="N225" s="29">
        <f>IF('RPT4'!$J225="","",'RPT4'!$J225)</f>
        <v>697.11632773592612</v>
      </c>
    </row>
    <row r="226" spans="1:14" x14ac:dyDescent="0.35">
      <c r="A226" s="16" t="s">
        <v>224</v>
      </c>
      <c r="B226" s="2"/>
      <c r="C226" s="28">
        <f t="shared" si="11"/>
        <v>1802.4368002831709</v>
      </c>
      <c r="D226" s="2"/>
      <c r="E226" s="4"/>
      <c r="F226" s="2"/>
      <c r="G226" s="28">
        <f t="shared" si="12"/>
        <v>1802.4368002831709</v>
      </c>
      <c r="H226" s="2"/>
      <c r="I226" s="4"/>
      <c r="J226" s="2"/>
      <c r="K226" s="29">
        <f>IF('RPT1'!$J226="","",'RPT1'!$J226)</f>
        <v>1713.2257833791989</v>
      </c>
      <c r="L226" s="29">
        <f>IF('RPT2'!$J226="","",'RPT2'!$J226)</f>
        <v>1872.644401598101</v>
      </c>
      <c r="M226" s="29">
        <f>IF('RPT3'!$J226="","",'RPT3'!$J226)</f>
        <v>1680.7999821213471</v>
      </c>
      <c r="N226" s="29">
        <f>IF('RPT4'!$J226="","",'RPT4'!$J226)</f>
        <v>1872.644401598101</v>
      </c>
    </row>
    <row r="227" spans="1:14" x14ac:dyDescent="0.35">
      <c r="A227" s="16" t="s">
        <v>225</v>
      </c>
      <c r="B227" s="2"/>
      <c r="C227" s="28">
        <f t="shared" si="11"/>
        <v>1853.1801061567853</v>
      </c>
      <c r="D227" s="2"/>
      <c r="E227" s="4"/>
      <c r="F227" s="2"/>
      <c r="G227" s="28">
        <f t="shared" si="12"/>
        <v>1853.1801061567853</v>
      </c>
      <c r="H227" s="2"/>
      <c r="I227" s="4"/>
      <c r="J227" s="2"/>
      <c r="K227" s="29">
        <f>IF('RPT1'!$J227="","",'RPT1'!$J227)</f>
        <v>1804.555331151822</v>
      </c>
      <c r="L227" s="29">
        <f>IF('RPT2'!$J227="","",'RPT2'!$J227)</f>
        <v>1904.0138290349689</v>
      </c>
      <c r="M227" s="29">
        <f>IF('RPT3'!$J227="","",'RPT3'!$J227)</f>
        <v>1763.0481816366701</v>
      </c>
      <c r="N227" s="29">
        <f>IF('RPT4'!$J227="","",'RPT4'!$J227)</f>
        <v>1904.0138290349689</v>
      </c>
    </row>
    <row r="228" spans="1:14" x14ac:dyDescent="0.35">
      <c r="A228" s="16" t="s">
        <v>226</v>
      </c>
      <c r="B228" s="2"/>
      <c r="C228" s="28">
        <f t="shared" si="11"/>
        <v>1918.5203358327008</v>
      </c>
      <c r="D228" s="2"/>
      <c r="E228" s="4"/>
      <c r="F228" s="2"/>
      <c r="G228" s="28">
        <f t="shared" si="12"/>
        <v>1918.5203358327008</v>
      </c>
      <c r="H228" s="2"/>
      <c r="I228" s="4"/>
      <c r="J228" s="2"/>
      <c r="K228" s="29">
        <f>IF('RPT1'!$J228="","",'RPT1'!$J228)</f>
        <v>1896.2056580419739</v>
      </c>
      <c r="L228" s="29">
        <f>IF('RPT2'!$J228="","",'RPT2'!$J228)</f>
        <v>1951.098678589859</v>
      </c>
      <c r="M228" s="29">
        <f>IF('RPT3'!$J228="","",'RPT3'!$J228)</f>
        <v>1861.4277318231129</v>
      </c>
      <c r="N228" s="29">
        <f>IF('RPT4'!$J228="","",'RPT4'!$J228)</f>
        <v>1951.098678589859</v>
      </c>
    </row>
    <row r="229" spans="1:14" x14ac:dyDescent="0.35">
      <c r="A229" s="16" t="s">
        <v>227</v>
      </c>
      <c r="B229" s="2"/>
      <c r="C229" s="28">
        <f t="shared" si="11"/>
        <v>2014.2071696500675</v>
      </c>
      <c r="D229" s="2"/>
      <c r="E229" s="4"/>
      <c r="F229" s="2"/>
      <c r="G229" s="28">
        <f t="shared" si="12"/>
        <v>2014.2071696500675</v>
      </c>
      <c r="H229" s="2"/>
      <c r="I229" s="4"/>
      <c r="J229" s="2"/>
      <c r="K229" s="29">
        <f>IF('RPT1'!$J229="","",'RPT1'!$J229)</f>
        <v>1998.5806931215529</v>
      </c>
      <c r="L229" s="29">
        <f>IF('RPT2'!$J229="","",'RPT2'!$J229)</f>
        <v>2039.6208497124469</v>
      </c>
      <c r="M229" s="29">
        <f>IF('RPT3'!$J229="","",'RPT3'!$J229)</f>
        <v>1968.8197493980981</v>
      </c>
      <c r="N229" s="29">
        <f>IF('RPT4'!$J229="","",'RPT4'!$J229)</f>
        <v>2039.620849712446</v>
      </c>
    </row>
    <row r="230" spans="1:14" x14ac:dyDescent="0.35">
      <c r="A230" s="16" t="s">
        <v>228</v>
      </c>
      <c r="B230" s="2"/>
      <c r="C230" s="28">
        <f t="shared" si="11"/>
        <v>2117.3403086667822</v>
      </c>
      <c r="D230" s="2"/>
      <c r="E230" s="4"/>
      <c r="F230" s="2"/>
      <c r="G230" s="28">
        <f t="shared" si="12"/>
        <v>2117.3403086667822</v>
      </c>
      <c r="H230" s="2"/>
      <c r="I230" s="4"/>
      <c r="J230" s="2"/>
      <c r="K230" s="29">
        <f>IF('RPT1'!$J230="","",'RPT1'!$J230)</f>
        <v>2107.8918156060431</v>
      </c>
      <c r="L230" s="29">
        <f>IF('RPT2'!$J230="","",'RPT2'!$J230)</f>
        <v>2135.286627523295</v>
      </c>
      <c r="M230" s="29">
        <f>IF('RPT3'!$J230="","",'RPT3'!$J230)</f>
        <v>2083.288229583814</v>
      </c>
      <c r="N230" s="29">
        <f>IF('RPT4'!$J230="","",'RPT4'!$J230)</f>
        <v>2135.286627523295</v>
      </c>
    </row>
    <row r="231" spans="1:14" x14ac:dyDescent="0.35">
      <c r="A231" s="16" t="s">
        <v>229</v>
      </c>
      <c r="B231" s="2"/>
      <c r="C231" s="28">
        <f t="shared" si="11"/>
        <v>1635.5176978331158</v>
      </c>
      <c r="D231" s="2"/>
      <c r="E231" s="4"/>
      <c r="F231" s="2"/>
      <c r="G231" s="28">
        <f t="shared" si="12"/>
        <v>1635.5176978331158</v>
      </c>
      <c r="H231" s="2"/>
      <c r="I231" s="4"/>
      <c r="J231" s="2"/>
      <c r="K231" s="29">
        <f>IF('RPT1'!$J231="","",'RPT1'!$J231)</f>
        <v>1635.517697833116</v>
      </c>
      <c r="L231" s="29">
        <f>IF('RPT2'!$J231="","",'RPT2'!$J231)</f>
        <v>1635.517697833116</v>
      </c>
      <c r="M231" s="29">
        <f>IF('RPT3'!$J231="","",'RPT3'!$J231)</f>
        <v>1635.517697833116</v>
      </c>
      <c r="N231" s="29">
        <f>IF('RPT4'!$J231="","",'RPT4'!$J231)</f>
        <v>1635.517697833116</v>
      </c>
    </row>
    <row r="232" spans="1:14" x14ac:dyDescent="0.35">
      <c r="A232" s="16" t="s">
        <v>230</v>
      </c>
      <c r="B232" s="2"/>
      <c r="C232" s="28">
        <f t="shared" si="11"/>
        <v>1816.5025302216566</v>
      </c>
      <c r="D232" s="2"/>
      <c r="E232" s="4"/>
      <c r="F232" s="2"/>
      <c r="G232" s="28">
        <f t="shared" si="12"/>
        <v>1816.5025302216566</v>
      </c>
      <c r="H232" s="2"/>
      <c r="I232" s="4"/>
      <c r="J232" s="2"/>
      <c r="K232" s="29">
        <f>IF('RPT1'!$J232="","",'RPT1'!$J232)</f>
        <v>1816.502530221657</v>
      </c>
      <c r="L232" s="29">
        <f>IF('RPT2'!$J232="","",'RPT2'!$J232)</f>
        <v>1816.502530221657</v>
      </c>
      <c r="M232" s="29">
        <f>IF('RPT3'!$J232="","",'RPT3'!$J232)</f>
        <v>1816.502530221657</v>
      </c>
      <c r="N232" s="29">
        <f>IF('RPT4'!$J232="","",'RPT4'!$J232)</f>
        <v>1816.502530221657</v>
      </c>
    </row>
    <row r="233" spans="1:14" x14ac:dyDescent="0.35">
      <c r="A233" s="16" t="s">
        <v>231</v>
      </c>
      <c r="B233" s="2"/>
      <c r="C233" s="28">
        <f t="shared" si="11"/>
        <v>1896.2570773463665</v>
      </c>
      <c r="D233" s="2"/>
      <c r="E233" s="4"/>
      <c r="F233" s="2"/>
      <c r="G233" s="28">
        <f t="shared" si="12"/>
        <v>1896.2570773463665</v>
      </c>
      <c r="H233" s="2"/>
      <c r="I233" s="4"/>
      <c r="J233" s="2"/>
      <c r="K233" s="29">
        <f>IF('RPT1'!$J233="","",'RPT1'!$J233)</f>
        <v>1896.257077346366</v>
      </c>
      <c r="L233" s="29">
        <f>IF('RPT2'!$J233="","",'RPT2'!$J233)</f>
        <v>1896.257077346366</v>
      </c>
      <c r="M233" s="29">
        <f>IF('RPT3'!$J233="","",'RPT3'!$J233)</f>
        <v>1896.257077346366</v>
      </c>
      <c r="N233" s="29">
        <f>IF('RPT4'!$J233="","",'RPT4'!$J233)</f>
        <v>1896.257077346366</v>
      </c>
    </row>
    <row r="234" spans="1:14" x14ac:dyDescent="0.35">
      <c r="A234" s="16" t="s">
        <v>232</v>
      </c>
      <c r="B234" s="2"/>
      <c r="C234" s="28">
        <f t="shared" si="11"/>
        <v>1944.2703893991811</v>
      </c>
      <c r="D234" s="2"/>
      <c r="E234" s="4"/>
      <c r="F234" s="2"/>
      <c r="G234" s="28">
        <f t="shared" si="12"/>
        <v>1944.2703893991811</v>
      </c>
      <c r="H234" s="2"/>
      <c r="I234" s="4"/>
      <c r="J234" s="2"/>
      <c r="K234" s="29">
        <f>IF('RPT1'!$J234="","",'RPT1'!$J234)</f>
        <v>1944.2703893991811</v>
      </c>
      <c r="L234" s="29">
        <f>IF('RPT2'!$J234="","",'RPT2'!$J234)</f>
        <v>1944.2703893991811</v>
      </c>
      <c r="M234" s="29">
        <f>IF('RPT3'!$J234="","",'RPT3'!$J234)</f>
        <v>1944.2703893991811</v>
      </c>
      <c r="N234" s="29">
        <f>IF('RPT4'!$J234="","",'RPT4'!$J234)</f>
        <v>1944.2703893991811</v>
      </c>
    </row>
    <row r="235" spans="1:14" x14ac:dyDescent="0.35">
      <c r="A235" s="16" t="s">
        <v>233</v>
      </c>
      <c r="B235" s="2"/>
      <c r="C235" s="28">
        <f t="shared" si="11"/>
        <v>1996.685743610652</v>
      </c>
      <c r="D235" s="2"/>
      <c r="E235" s="4"/>
      <c r="F235" s="2"/>
      <c r="G235" s="28">
        <f t="shared" si="12"/>
        <v>1996.685743610652</v>
      </c>
      <c r="H235" s="2"/>
      <c r="I235" s="4"/>
      <c r="J235" s="2"/>
      <c r="K235" s="29">
        <f>IF('RPT1'!$J235="","",'RPT1'!$J235)</f>
        <v>1996.685743610652</v>
      </c>
      <c r="L235" s="29">
        <f>IF('RPT2'!$J235="","",'RPT2'!$J235)</f>
        <v>1996.685743610652</v>
      </c>
      <c r="M235" s="29">
        <f>IF('RPT3'!$J235="","",'RPT3'!$J235)</f>
        <v>1996.685743610652</v>
      </c>
      <c r="N235" s="29">
        <f>IF('RPT4'!$J235="","",'RPT4'!$J235)</f>
        <v>1996.685743610652</v>
      </c>
    </row>
    <row r="236" spans="1:14" x14ac:dyDescent="0.35">
      <c r="A236" s="16" t="s">
        <v>234</v>
      </c>
      <c r="B236" s="2"/>
      <c r="C236" s="28">
        <f t="shared" si="11"/>
        <v>23304.200464274654</v>
      </c>
      <c r="D236" s="2"/>
      <c r="E236" s="4"/>
      <c r="F236" s="2"/>
      <c r="G236" s="28">
        <f t="shared" si="12"/>
        <v>23304.200464274654</v>
      </c>
      <c r="H236" s="2"/>
      <c r="I236" s="4"/>
      <c r="J236" s="2"/>
      <c r="K236" s="29">
        <f>IF('RPT1'!$J236="","",'RPT1'!$J236)</f>
        <v>21698.11674868604</v>
      </c>
      <c r="L236" s="29">
        <f>IF('RPT2'!$J236="","",'RPT2'!$J236)</f>
        <v>25880.377544767482</v>
      </c>
      <c r="M236" s="29">
        <f>IF('RPT3'!$J236="","",'RPT3'!$J236)</f>
        <v>12080.259490804459</v>
      </c>
      <c r="N236" s="29">
        <f>IF('RPT4'!$J236="","",'RPT4'!$J236)</f>
        <v>27657.149108257989</v>
      </c>
    </row>
    <row r="237" spans="1:14" x14ac:dyDescent="0.35">
      <c r="A237" s="16" t="s">
        <v>235</v>
      </c>
      <c r="B237" s="2"/>
      <c r="C237" s="28">
        <f t="shared" si="11"/>
        <v>21512.514077396292</v>
      </c>
      <c r="D237" s="2"/>
      <c r="E237" s="4"/>
      <c r="F237" s="2"/>
      <c r="G237" s="28">
        <f t="shared" si="12"/>
        <v>21512.514077396292</v>
      </c>
      <c r="H237" s="2"/>
      <c r="I237" s="4"/>
      <c r="J237" s="2"/>
      <c r="K237" s="29">
        <f>IF('RPT1'!$J237="","",'RPT1'!$J237)</f>
        <v>20623.105003301469</v>
      </c>
      <c r="L237" s="29">
        <f>IF('RPT2'!$J237="","",'RPT2'!$J237)</f>
        <v>24397.988333197791</v>
      </c>
      <c r="M237" s="29">
        <f>IF('RPT3'!$J237="","",'RPT3'!$J237)</f>
        <v>4304.5241318216158</v>
      </c>
      <c r="N237" s="29">
        <f>IF('RPT4'!$J237="","",'RPT4'!$J237)</f>
        <v>25306.126266214571</v>
      </c>
    </row>
    <row r="238" spans="1:14" x14ac:dyDescent="0.35">
      <c r="A238" s="16" t="s">
        <v>236</v>
      </c>
      <c r="B238" s="2"/>
      <c r="C238" s="28">
        <f t="shared" si="11"/>
        <v>22720.420670582516</v>
      </c>
      <c r="D238" s="2"/>
      <c r="E238" s="4"/>
      <c r="F238" s="2"/>
      <c r="G238" s="28">
        <f t="shared" si="12"/>
        <v>22720.420670582516</v>
      </c>
      <c r="H238" s="2"/>
      <c r="I238" s="4"/>
      <c r="J238" s="2"/>
      <c r="K238" s="29">
        <f>IF('RPT1'!$J238="","",'RPT1'!$J238)</f>
        <v>21253.57349776127</v>
      </c>
      <c r="L238" s="29">
        <f>IF('RPT2'!$J238="","",'RPT2'!$J238)</f>
        <v>25046.435764600788</v>
      </c>
      <c r="M238" s="29">
        <f>IF('RPT3'!$J238="","",'RPT3'!$J238)</f>
        <v>4819.846689361043</v>
      </c>
      <c r="N238" s="29">
        <f>IF('RPT4'!$J238="","",'RPT4'!$J238)</f>
        <v>28611.535767046818</v>
      </c>
    </row>
    <row r="239" spans="1:14" x14ac:dyDescent="0.35">
      <c r="A239" s="16" t="s">
        <v>237</v>
      </c>
      <c r="B239" s="2"/>
      <c r="C239" s="28">
        <f t="shared" si="11"/>
        <v>23492.489897430271</v>
      </c>
      <c r="D239" s="2"/>
      <c r="E239" s="4"/>
      <c r="F239" s="2"/>
      <c r="G239" s="28">
        <f t="shared" si="12"/>
        <v>23492.489897430271</v>
      </c>
      <c r="H239" s="2"/>
      <c r="I239" s="4"/>
      <c r="J239" s="2"/>
      <c r="K239" s="29">
        <f>IF('RPT1'!$J239="","",'RPT1'!$J239)</f>
        <v>21664.522293526348</v>
      </c>
      <c r="L239" s="29">
        <f>IF('RPT2'!$J239="","",'RPT2'!$J239)</f>
        <v>26017.818355858519</v>
      </c>
      <c r="M239" s="29">
        <f>IF('RPT3'!$J239="","",'RPT3'!$J239)</f>
        <v>5066.5737408614004</v>
      </c>
      <c r="N239" s="29">
        <f>IF('RPT4'!$J239="","",'RPT4'!$J239)</f>
        <v>29990.786614381032</v>
      </c>
    </row>
    <row r="240" spans="1:14" x14ac:dyDescent="0.35">
      <c r="A240" s="16" t="s">
        <v>238</v>
      </c>
      <c r="B240" s="2"/>
      <c r="C240" s="28">
        <f t="shared" si="11"/>
        <v>24358.375380411399</v>
      </c>
      <c r="D240" s="2"/>
      <c r="E240" s="4"/>
      <c r="F240" s="2"/>
      <c r="G240" s="28">
        <f t="shared" si="12"/>
        <v>24358.375380411399</v>
      </c>
      <c r="H240" s="2"/>
      <c r="I240" s="4"/>
      <c r="J240" s="2"/>
      <c r="K240" s="29">
        <f>IF('RPT1'!$J240="","",'RPT1'!$J240)</f>
        <v>22421.74947277438</v>
      </c>
      <c r="L240" s="29">
        <f>IF('RPT2'!$J240="","",'RPT2'!$J240)</f>
        <v>26829.974015150921</v>
      </c>
      <c r="M240" s="29">
        <f>IF('RPT3'!$J240="","",'RPT3'!$J240)</f>
        <v>5287.4578037007068</v>
      </c>
      <c r="N240" s="29">
        <f>IF('RPT4'!$J240="","",'RPT4'!$J240)</f>
        <v>31276.330928186992</v>
      </c>
    </row>
    <row r="241" spans="1:14" x14ac:dyDescent="0.35">
      <c r="A241" s="16" t="s">
        <v>239</v>
      </c>
      <c r="B241" s="2"/>
      <c r="C241" s="28">
        <f t="shared" si="11"/>
        <v>16615.80441480851</v>
      </c>
      <c r="D241" s="2"/>
      <c r="E241" s="4"/>
      <c r="F241" s="2"/>
      <c r="G241" s="28">
        <f t="shared" si="12"/>
        <v>16615.80441480851</v>
      </c>
      <c r="H241" s="2"/>
      <c r="I241" s="4"/>
      <c r="J241" s="2"/>
      <c r="K241" s="29">
        <f>IF('RPT1'!$J241="","",'RPT1'!$J241)</f>
        <v>18128.807941329</v>
      </c>
      <c r="L241" s="29">
        <f>IF('RPT2'!$J241="","",'RPT2'!$J241)</f>
        <v>23334.945249300559</v>
      </c>
      <c r="M241" s="29">
        <f>IF('RPT3'!$J241="","",'RPT3'!$J241)</f>
        <v>7396.4911428977302</v>
      </c>
      <c r="N241" s="29">
        <f>IF('RPT4'!$J241="","",'RPT4'!$J241)</f>
        <v>7396.4911428977302</v>
      </c>
    </row>
    <row r="242" spans="1:14" x14ac:dyDescent="0.35">
      <c r="A242" s="16" t="s">
        <v>240</v>
      </c>
      <c r="B242" s="2"/>
      <c r="C242" s="28">
        <f t="shared" si="11"/>
        <v>23648.913251206766</v>
      </c>
      <c r="D242" s="2"/>
      <c r="E242" s="4"/>
      <c r="F242" s="2"/>
      <c r="G242" s="28">
        <f t="shared" si="12"/>
        <v>23648.913251206766</v>
      </c>
      <c r="H242" s="2"/>
      <c r="I242" s="4"/>
      <c r="J242" s="2"/>
      <c r="K242" s="29">
        <f>IF('RPT1'!$J242="","",'RPT1'!$J242)</f>
        <v>26075.569528425069</v>
      </c>
      <c r="L242" s="29">
        <f>IF('RPT2'!$J242="","",'RPT2'!$J242)</f>
        <v>33889.126020554009</v>
      </c>
      <c r="M242" s="29">
        <f>IF('RPT3'!$J242="","",'RPT3'!$J242)</f>
        <v>7093.4356303884106</v>
      </c>
      <c r="N242" s="29">
        <f>IF('RPT4'!$J242="","",'RPT4'!$J242)</f>
        <v>7093.4356303884106</v>
      </c>
    </row>
    <row r="243" spans="1:14" x14ac:dyDescent="0.35">
      <c r="A243" s="16" t="s">
        <v>241</v>
      </c>
      <c r="B243" s="2"/>
      <c r="C243" s="28">
        <f t="shared" si="11"/>
        <v>22075.985547195025</v>
      </c>
      <c r="D243" s="2"/>
      <c r="E243" s="4"/>
      <c r="F243" s="2"/>
      <c r="G243" s="28">
        <f t="shared" si="12"/>
        <v>22075.985547195025</v>
      </c>
      <c r="H243" s="2"/>
      <c r="I243" s="4"/>
      <c r="J243" s="2"/>
      <c r="K243" s="29">
        <f>IF('RPT1'!$J243="","",'RPT1'!$J243)</f>
        <v>23846.44159897526</v>
      </c>
      <c r="L243" s="29">
        <f>IF('RPT2'!$J243="","",'RPT2'!$J243)</f>
        <v>28909.232207895559</v>
      </c>
      <c r="M243" s="29">
        <f>IF('RPT3'!$J243="","",'RPT3'!$J243)</f>
        <v>6012.0832533333723</v>
      </c>
      <c r="N243" s="29">
        <f>IF('RPT4'!$J243="","",'RPT4'!$J243)</f>
        <v>6012.0832533333714</v>
      </c>
    </row>
    <row r="244" spans="1:14" x14ac:dyDescent="0.35">
      <c r="A244" s="16" t="s">
        <v>242</v>
      </c>
      <c r="B244" s="2"/>
      <c r="C244" s="28">
        <f t="shared" si="11"/>
        <v>22903.812613664304</v>
      </c>
      <c r="D244" s="2"/>
      <c r="E244" s="4"/>
      <c r="F244" s="2"/>
      <c r="G244" s="28">
        <f t="shared" si="12"/>
        <v>22903.812613664304</v>
      </c>
      <c r="H244" s="2"/>
      <c r="I244" s="4"/>
      <c r="J244" s="2"/>
      <c r="K244" s="29">
        <f>IF('RPT1'!$J244="","",'RPT1'!$J244)</f>
        <v>24329.209905621301</v>
      </c>
      <c r="L244" s="29">
        <f>IF('RPT2'!$J244="","",'RPT2'!$J244)</f>
        <v>28113.301263936839</v>
      </c>
      <c r="M244" s="29">
        <f>IF('RPT3'!$J244="","",'RPT3'!$J244)</f>
        <v>6316.7030319387914</v>
      </c>
      <c r="N244" s="29">
        <f>IF('RPT4'!$J244="","",'RPT4'!$J244)</f>
        <v>6316.7030319387914</v>
      </c>
    </row>
    <row r="245" spans="1:14" x14ac:dyDescent="0.35">
      <c r="A245" s="16" t="s">
        <v>243</v>
      </c>
      <c r="B245" s="2"/>
      <c r="C245" s="28">
        <f t="shared" si="11"/>
        <v>23904.184194573976</v>
      </c>
      <c r="D245" s="2"/>
      <c r="E245" s="4"/>
      <c r="F245" s="2"/>
      <c r="G245" s="28">
        <f t="shared" si="12"/>
        <v>23904.184194573976</v>
      </c>
      <c r="H245" s="2"/>
      <c r="I245" s="4"/>
      <c r="J245" s="2"/>
      <c r="K245" s="29">
        <f>IF('RPT1'!$J245="","",'RPT1'!$J245)</f>
        <v>25263.265456074882</v>
      </c>
      <c r="L245" s="29">
        <f>IF('RPT2'!$J245="","",'RPT2'!$J245)</f>
        <v>28806.11721059983</v>
      </c>
      <c r="M245" s="29">
        <f>IF('RPT3'!$J245="","",'RPT3'!$J245)</f>
        <v>6719.1264857276856</v>
      </c>
      <c r="N245" s="29">
        <f>IF('RPT4'!$J245="","",'RPT4'!$J245)</f>
        <v>6719.1264857276856</v>
      </c>
    </row>
    <row r="246" spans="1:14" x14ac:dyDescent="0.35">
      <c r="A246" s="24"/>
      <c r="B246" s="2"/>
      <c r="C246" s="14"/>
      <c r="D246" s="2"/>
      <c r="E246" s="4"/>
      <c r="F246" s="2"/>
      <c r="G246" s="14"/>
      <c r="H246" s="2"/>
      <c r="I246" s="4"/>
      <c r="J246" s="2"/>
      <c r="K246" s="25"/>
      <c r="L246" s="25"/>
      <c r="M246" s="25"/>
      <c r="N246" s="25"/>
    </row>
    <row r="247" spans="1:14" x14ac:dyDescent="0.35">
      <c r="A247" s="12" t="s">
        <v>244</v>
      </c>
      <c r="B247" s="2"/>
      <c r="C247" s="14"/>
      <c r="D247" s="2"/>
      <c r="E247" s="4"/>
      <c r="F247" s="2"/>
      <c r="G247" s="14"/>
      <c r="H247" s="2"/>
      <c r="I247" s="4"/>
      <c r="J247" s="2"/>
      <c r="K247" s="25" t="str">
        <f>IF('RPT1'!$J247="","",'RPT1'!$J247)</f>
        <v/>
      </c>
      <c r="L247" s="25" t="str">
        <f>IF('RPT2'!$J247="","",'RPT2'!$J247)</f>
        <v/>
      </c>
      <c r="M247" s="25" t="str">
        <f>IF('RPT3'!$J247="","",'RPT3'!$J247)</f>
        <v/>
      </c>
      <c r="N247" s="25" t="str">
        <f>IF('RPT4'!$J247="","",'RPT4'!$J247)</f>
        <v/>
      </c>
    </row>
    <row r="248" spans="1:14" x14ac:dyDescent="0.35">
      <c r="A248" s="16" t="s">
        <v>245</v>
      </c>
      <c r="B248" s="2"/>
      <c r="C248" s="26">
        <f t="shared" ref="C248:C271" si="13">IF(Combine="Y", $G248, 0)</f>
        <v>692</v>
      </c>
      <c r="D248" s="2"/>
      <c r="E248" s="4"/>
      <c r="F248" s="2"/>
      <c r="G248" s="26">
        <f t="shared" ref="G248:G271" si="14">SUM($K248:$N248)</f>
        <v>692</v>
      </c>
      <c r="H248" s="2"/>
      <c r="I248" s="4"/>
      <c r="J248" s="2"/>
      <c r="K248" s="27">
        <f>IF('RPT1'!$J248="","",'RPT1'!$J248)</f>
        <v>173</v>
      </c>
      <c r="L248" s="27">
        <f>IF('RPT2'!$J248="","",'RPT2'!$J248)</f>
        <v>173</v>
      </c>
      <c r="M248" s="27">
        <f>IF('RPT3'!$J248="","",'RPT3'!$J248)</f>
        <v>173</v>
      </c>
      <c r="N248" s="27">
        <f>IF('RPT4'!$J248="","",'RPT4'!$J248)</f>
        <v>173</v>
      </c>
    </row>
    <row r="249" spans="1:14" x14ac:dyDescent="0.35">
      <c r="A249" s="16" t="s">
        <v>246</v>
      </c>
      <c r="B249" s="2"/>
      <c r="C249" s="26">
        <f t="shared" si="13"/>
        <v>0</v>
      </c>
      <c r="D249" s="2"/>
      <c r="E249" s="4"/>
      <c r="F249" s="2"/>
      <c r="G249" s="26">
        <f t="shared" si="14"/>
        <v>0</v>
      </c>
      <c r="H249" s="2"/>
      <c r="I249" s="4"/>
      <c r="J249" s="2"/>
      <c r="K249" s="27">
        <f>IF('RPT1'!$J249="","",'RPT1'!$J249)</f>
        <v>0</v>
      </c>
      <c r="L249" s="27">
        <f>IF('RPT2'!$J249="","",'RPT2'!$J249)</f>
        <v>0</v>
      </c>
      <c r="M249" s="27">
        <f>IF('RPT3'!$J249="","",'RPT3'!$J249)</f>
        <v>0</v>
      </c>
      <c r="N249" s="27">
        <f>IF('RPT4'!$J249="","",'RPT4'!$J249)</f>
        <v>0</v>
      </c>
    </row>
    <row r="250" spans="1:14" x14ac:dyDescent="0.35">
      <c r="A250" s="16" t="s">
        <v>247</v>
      </c>
      <c r="B250" s="2"/>
      <c r="C250" s="26">
        <f t="shared" si="13"/>
        <v>768</v>
      </c>
      <c r="D250" s="2"/>
      <c r="E250" s="4"/>
      <c r="F250" s="2"/>
      <c r="G250" s="26">
        <f t="shared" si="14"/>
        <v>768</v>
      </c>
      <c r="H250" s="2"/>
      <c r="I250" s="4"/>
      <c r="J250" s="2"/>
      <c r="K250" s="27">
        <f>IF('RPT1'!$J250="","",'RPT1'!$J250)</f>
        <v>192</v>
      </c>
      <c r="L250" s="27">
        <f>IF('RPT2'!$J250="","",'RPT2'!$J250)</f>
        <v>192</v>
      </c>
      <c r="M250" s="27">
        <f>IF('RPT3'!$J250="","",'RPT3'!$J250)</f>
        <v>192</v>
      </c>
      <c r="N250" s="27">
        <f>IF('RPT4'!$J250="","",'RPT4'!$J250)</f>
        <v>192</v>
      </c>
    </row>
    <row r="251" spans="1:14" x14ac:dyDescent="0.35">
      <c r="A251" s="16" t="s">
        <v>248</v>
      </c>
      <c r="B251" s="2"/>
      <c r="C251" s="26">
        <f t="shared" si="13"/>
        <v>0</v>
      </c>
      <c r="D251" s="2"/>
      <c r="E251" s="4"/>
      <c r="F251" s="2"/>
      <c r="G251" s="26">
        <f t="shared" si="14"/>
        <v>0</v>
      </c>
      <c r="H251" s="2"/>
      <c r="I251" s="4"/>
      <c r="J251" s="2"/>
      <c r="K251" s="27">
        <f>IF('RPT1'!$J251="","",'RPT1'!$J251)</f>
        <v>0</v>
      </c>
      <c r="L251" s="27">
        <f>IF('RPT2'!$J251="","",'RPT2'!$J251)</f>
        <v>0</v>
      </c>
      <c r="M251" s="27">
        <f>IF('RPT3'!$J251="","",'RPT3'!$J251)</f>
        <v>0</v>
      </c>
      <c r="N251" s="27">
        <f>IF('RPT4'!$J251="","",'RPT4'!$J251)</f>
        <v>0</v>
      </c>
    </row>
    <row r="252" spans="1:14" x14ac:dyDescent="0.35">
      <c r="A252" s="16" t="s">
        <v>249</v>
      </c>
      <c r="B252" s="2"/>
      <c r="C252" s="26">
        <f t="shared" si="13"/>
        <v>584</v>
      </c>
      <c r="D252" s="2"/>
      <c r="E252" s="4"/>
      <c r="F252" s="2"/>
      <c r="G252" s="26">
        <f t="shared" si="14"/>
        <v>584</v>
      </c>
      <c r="H252" s="2"/>
      <c r="I252" s="4"/>
      <c r="J252" s="2"/>
      <c r="K252" s="27">
        <f>IF('RPT1'!$J252="","",'RPT1'!$J252)</f>
        <v>146</v>
      </c>
      <c r="L252" s="27">
        <f>IF('RPT2'!$J252="","",'RPT2'!$J252)</f>
        <v>146</v>
      </c>
      <c r="M252" s="27">
        <f>IF('RPT3'!$J252="","",'RPT3'!$J252)</f>
        <v>146</v>
      </c>
      <c r="N252" s="27">
        <f>IF('RPT4'!$J252="","",'RPT4'!$J252)</f>
        <v>146</v>
      </c>
    </row>
    <row r="253" spans="1:14" x14ac:dyDescent="0.35">
      <c r="A253" s="16" t="s">
        <v>250</v>
      </c>
      <c r="B253" s="2"/>
      <c r="C253" s="26">
        <f t="shared" si="13"/>
        <v>0</v>
      </c>
      <c r="D253" s="2"/>
      <c r="E253" s="4"/>
      <c r="F253" s="2"/>
      <c r="G253" s="26">
        <f t="shared" si="14"/>
        <v>0</v>
      </c>
      <c r="H253" s="2"/>
      <c r="I253" s="4"/>
      <c r="J253" s="2"/>
      <c r="K253" s="27">
        <f>IF('RPT1'!$J253="","",'RPT1'!$J253)</f>
        <v>0</v>
      </c>
      <c r="L253" s="27">
        <f>IF('RPT2'!$J253="","",'RPT2'!$J253)</f>
        <v>0</v>
      </c>
      <c r="M253" s="27">
        <f>IF('RPT3'!$J253="","",'RPT3'!$J253)</f>
        <v>0</v>
      </c>
      <c r="N253" s="27">
        <f>IF('RPT4'!$J253="","",'RPT4'!$J253)</f>
        <v>0</v>
      </c>
    </row>
    <row r="254" spans="1:14" x14ac:dyDescent="0.35">
      <c r="A254" s="16" t="s">
        <v>251</v>
      </c>
      <c r="B254" s="2"/>
      <c r="C254" s="26">
        <f t="shared" si="13"/>
        <v>56</v>
      </c>
      <c r="D254" s="2"/>
      <c r="E254" s="4"/>
      <c r="F254" s="2"/>
      <c r="G254" s="26">
        <f t="shared" si="14"/>
        <v>56</v>
      </c>
      <c r="H254" s="2"/>
      <c r="I254" s="4"/>
      <c r="J254" s="2"/>
      <c r="K254" s="27">
        <f>IF('RPT1'!$J254="","",'RPT1'!$J254)</f>
        <v>14</v>
      </c>
      <c r="L254" s="27">
        <f>IF('RPT2'!$J254="","",'RPT2'!$J254)</f>
        <v>14</v>
      </c>
      <c r="M254" s="27">
        <f>IF('RPT3'!$J254="","",'RPT3'!$J254)</f>
        <v>14</v>
      </c>
      <c r="N254" s="27">
        <f>IF('RPT4'!$J254="","",'RPT4'!$J254)</f>
        <v>14</v>
      </c>
    </row>
    <row r="255" spans="1:14" x14ac:dyDescent="0.35">
      <c r="A255" s="16" t="s">
        <v>252</v>
      </c>
      <c r="B255" s="2"/>
      <c r="C255" s="26">
        <f t="shared" si="13"/>
        <v>0</v>
      </c>
      <c r="D255" s="2"/>
      <c r="E255" s="4"/>
      <c r="F255" s="2"/>
      <c r="G255" s="26">
        <f t="shared" si="14"/>
        <v>0</v>
      </c>
      <c r="H255" s="2"/>
      <c r="I255" s="4"/>
      <c r="J255" s="2"/>
      <c r="K255" s="27">
        <f>IF('RPT1'!$J255="","",'RPT1'!$J255)</f>
        <v>0</v>
      </c>
      <c r="L255" s="27">
        <f>IF('RPT2'!$J255="","",'RPT2'!$J255)</f>
        <v>0</v>
      </c>
      <c r="M255" s="27">
        <f>IF('RPT3'!$J255="","",'RPT3'!$J255)</f>
        <v>0</v>
      </c>
      <c r="N255" s="27">
        <f>IF('RPT4'!$J255="","",'RPT4'!$J255)</f>
        <v>0</v>
      </c>
    </row>
    <row r="256" spans="1:14" x14ac:dyDescent="0.35">
      <c r="A256" s="16" t="s">
        <v>253</v>
      </c>
      <c r="B256" s="2"/>
      <c r="C256" s="26">
        <f t="shared" si="13"/>
        <v>80</v>
      </c>
      <c r="D256" s="2"/>
      <c r="E256" s="4"/>
      <c r="F256" s="2"/>
      <c r="G256" s="26">
        <f t="shared" si="14"/>
        <v>80</v>
      </c>
      <c r="H256" s="2"/>
      <c r="I256" s="4"/>
      <c r="J256" s="2"/>
      <c r="K256" s="27">
        <f>IF('RPT1'!$J256="","",'RPT1'!$J256)</f>
        <v>20</v>
      </c>
      <c r="L256" s="27">
        <f>IF('RPT2'!$J256="","",'RPT2'!$J256)</f>
        <v>20</v>
      </c>
      <c r="M256" s="27">
        <f>IF('RPT3'!$J256="","",'RPT3'!$J256)</f>
        <v>20</v>
      </c>
      <c r="N256" s="27">
        <f>IF('RPT4'!$J256="","",'RPT4'!$J256)</f>
        <v>20</v>
      </c>
    </row>
    <row r="257" spans="1:14" x14ac:dyDescent="0.35">
      <c r="A257" s="16" t="s">
        <v>254</v>
      </c>
      <c r="B257" s="2"/>
      <c r="C257" s="26">
        <f t="shared" si="13"/>
        <v>0</v>
      </c>
      <c r="D257" s="2"/>
      <c r="E257" s="4"/>
      <c r="F257" s="2"/>
      <c r="G257" s="26">
        <f t="shared" si="14"/>
        <v>0</v>
      </c>
      <c r="H257" s="2"/>
      <c r="I257" s="4"/>
      <c r="J257" s="2"/>
      <c r="K257" s="27">
        <f>IF('RPT1'!$J257="","",'RPT1'!$J257)</f>
        <v>0</v>
      </c>
      <c r="L257" s="27">
        <f>IF('RPT2'!$J257="","",'RPT2'!$J257)</f>
        <v>0</v>
      </c>
      <c r="M257" s="27">
        <f>IF('RPT3'!$J257="","",'RPT3'!$J257)</f>
        <v>0</v>
      </c>
      <c r="N257" s="27">
        <f>IF('RPT4'!$J257="","",'RPT4'!$J257)</f>
        <v>0</v>
      </c>
    </row>
    <row r="258" spans="1:14" x14ac:dyDescent="0.35">
      <c r="A258" s="16" t="s">
        <v>255</v>
      </c>
      <c r="B258" s="2"/>
      <c r="C258" s="26">
        <f t="shared" si="13"/>
        <v>256</v>
      </c>
      <c r="D258" s="2"/>
      <c r="E258" s="4"/>
      <c r="F258" s="2"/>
      <c r="G258" s="26">
        <f t="shared" si="14"/>
        <v>256</v>
      </c>
      <c r="H258" s="2"/>
      <c r="I258" s="4"/>
      <c r="J258" s="2"/>
      <c r="K258" s="27">
        <f>IF('RPT1'!$J258="","",'RPT1'!$J258)</f>
        <v>64</v>
      </c>
      <c r="L258" s="27">
        <f>IF('RPT2'!$J258="","",'RPT2'!$J258)</f>
        <v>64</v>
      </c>
      <c r="M258" s="27">
        <f>IF('RPT3'!$J258="","",'RPT3'!$J258)</f>
        <v>64</v>
      </c>
      <c r="N258" s="27">
        <f>IF('RPT4'!$J258="","",'RPT4'!$J258)</f>
        <v>64</v>
      </c>
    </row>
    <row r="259" spans="1:14" x14ac:dyDescent="0.35">
      <c r="A259" s="16" t="s">
        <v>256</v>
      </c>
      <c r="B259" s="2"/>
      <c r="C259" s="26">
        <f t="shared" si="13"/>
        <v>0</v>
      </c>
      <c r="D259" s="2"/>
      <c r="E259" s="4"/>
      <c r="F259" s="2"/>
      <c r="G259" s="26">
        <f t="shared" si="14"/>
        <v>0</v>
      </c>
      <c r="H259" s="2"/>
      <c r="I259" s="4"/>
      <c r="J259" s="2"/>
      <c r="K259" s="27">
        <f>IF('RPT1'!$J259="","",'RPT1'!$J259)</f>
        <v>0</v>
      </c>
      <c r="L259" s="27">
        <f>IF('RPT2'!$J259="","",'RPT2'!$J259)</f>
        <v>0</v>
      </c>
      <c r="M259" s="27">
        <f>IF('RPT3'!$J259="","",'RPT3'!$J259)</f>
        <v>0</v>
      </c>
      <c r="N259" s="27">
        <f>IF('RPT4'!$J259="","",'RPT4'!$J259)</f>
        <v>0</v>
      </c>
    </row>
    <row r="260" spans="1:14" x14ac:dyDescent="0.35">
      <c r="A260" s="16" t="s">
        <v>257</v>
      </c>
      <c r="B260" s="2"/>
      <c r="C260" s="26">
        <f t="shared" si="13"/>
        <v>48</v>
      </c>
      <c r="D260" s="2"/>
      <c r="E260" s="4"/>
      <c r="F260" s="2"/>
      <c r="G260" s="26">
        <f t="shared" si="14"/>
        <v>48</v>
      </c>
      <c r="H260" s="2"/>
      <c r="I260" s="4"/>
      <c r="J260" s="2"/>
      <c r="K260" s="27">
        <f>IF('RPT1'!$J260="","",'RPT1'!$J260)</f>
        <v>12</v>
      </c>
      <c r="L260" s="27">
        <f>IF('RPT2'!$J260="","",'RPT2'!$J260)</f>
        <v>12</v>
      </c>
      <c r="M260" s="27">
        <f>IF('RPT3'!$J260="","",'RPT3'!$J260)</f>
        <v>12</v>
      </c>
      <c r="N260" s="27">
        <f>IF('RPT4'!$J260="","",'RPT4'!$J260)</f>
        <v>12</v>
      </c>
    </row>
    <row r="261" spans="1:14" x14ac:dyDescent="0.35">
      <c r="A261" s="16" t="s">
        <v>258</v>
      </c>
      <c r="B261" s="2"/>
      <c r="C261" s="26">
        <f t="shared" si="13"/>
        <v>0</v>
      </c>
      <c r="D261" s="2"/>
      <c r="E261" s="4"/>
      <c r="F261" s="2"/>
      <c r="G261" s="26">
        <f t="shared" si="14"/>
        <v>0</v>
      </c>
      <c r="H261" s="2"/>
      <c r="I261" s="4"/>
      <c r="J261" s="2"/>
      <c r="K261" s="27">
        <f>IF('RPT1'!$J261="","",'RPT1'!$J261)</f>
        <v>0</v>
      </c>
      <c r="L261" s="27">
        <f>IF('RPT2'!$J261="","",'RPT2'!$J261)</f>
        <v>0</v>
      </c>
      <c r="M261" s="27">
        <f>IF('RPT3'!$J261="","",'RPT3'!$J261)</f>
        <v>0</v>
      </c>
      <c r="N261" s="27">
        <f>IF('RPT4'!$J261="","",'RPT4'!$J261)</f>
        <v>0</v>
      </c>
    </row>
    <row r="262" spans="1:14" x14ac:dyDescent="0.35">
      <c r="A262" s="16" t="s">
        <v>259</v>
      </c>
      <c r="B262" s="2"/>
      <c r="C262" s="26">
        <f t="shared" si="13"/>
        <v>80</v>
      </c>
      <c r="D262" s="2"/>
      <c r="E262" s="4"/>
      <c r="F262" s="2"/>
      <c r="G262" s="26">
        <f t="shared" si="14"/>
        <v>80</v>
      </c>
      <c r="H262" s="2"/>
      <c r="I262" s="4"/>
      <c r="J262" s="2"/>
      <c r="K262" s="27">
        <f>IF('RPT1'!$J262="","",'RPT1'!$J262)</f>
        <v>20</v>
      </c>
      <c r="L262" s="27">
        <f>IF('RPT2'!$J262="","",'RPT2'!$J262)</f>
        <v>20</v>
      </c>
      <c r="M262" s="27">
        <f>IF('RPT3'!$J262="","",'RPT3'!$J262)</f>
        <v>20</v>
      </c>
      <c r="N262" s="27">
        <f>IF('RPT4'!$J262="","",'RPT4'!$J262)</f>
        <v>20</v>
      </c>
    </row>
    <row r="263" spans="1:14" x14ac:dyDescent="0.35">
      <c r="A263" s="16" t="s">
        <v>260</v>
      </c>
      <c r="B263" s="2"/>
      <c r="C263" s="26">
        <f t="shared" si="13"/>
        <v>0</v>
      </c>
      <c r="D263" s="2"/>
      <c r="E263" s="4"/>
      <c r="F263" s="2"/>
      <c r="G263" s="26">
        <f t="shared" si="14"/>
        <v>0</v>
      </c>
      <c r="H263" s="2"/>
      <c r="I263" s="4"/>
      <c r="J263" s="2"/>
      <c r="K263" s="27">
        <f>IF('RPT1'!$J263="","",'RPT1'!$J263)</f>
        <v>0</v>
      </c>
      <c r="L263" s="27">
        <f>IF('RPT2'!$J263="","",'RPT2'!$J263)</f>
        <v>0</v>
      </c>
      <c r="M263" s="27">
        <f>IF('RPT3'!$J263="","",'RPT3'!$J263)</f>
        <v>0</v>
      </c>
      <c r="N263" s="27">
        <f>IF('RPT4'!$J263="","",'RPT4'!$J263)</f>
        <v>0</v>
      </c>
    </row>
    <row r="264" spans="1:14" x14ac:dyDescent="0.35">
      <c r="A264" s="16" t="s">
        <v>261</v>
      </c>
      <c r="B264" s="2"/>
      <c r="C264" s="26">
        <f t="shared" si="13"/>
        <v>772</v>
      </c>
      <c r="D264" s="2"/>
      <c r="E264" s="4"/>
      <c r="F264" s="2"/>
      <c r="G264" s="26">
        <f t="shared" si="14"/>
        <v>772</v>
      </c>
      <c r="H264" s="2"/>
      <c r="I264" s="4"/>
      <c r="J264" s="2"/>
      <c r="K264" s="27">
        <f>IF('RPT1'!$J264="","",'RPT1'!$J264)</f>
        <v>193</v>
      </c>
      <c r="L264" s="27">
        <f>IF('RPT2'!$J264="","",'RPT2'!$J264)</f>
        <v>193</v>
      </c>
      <c r="M264" s="27">
        <f>IF('RPT3'!$J264="","",'RPT3'!$J264)</f>
        <v>193</v>
      </c>
      <c r="N264" s="27">
        <f>IF('RPT4'!$J264="","",'RPT4'!$J264)</f>
        <v>193</v>
      </c>
    </row>
    <row r="265" spans="1:14" x14ac:dyDescent="0.35">
      <c r="A265" s="16" t="s">
        <v>262</v>
      </c>
      <c r="B265" s="2"/>
      <c r="C265" s="26">
        <f t="shared" si="13"/>
        <v>0</v>
      </c>
      <c r="D265" s="2"/>
      <c r="E265" s="4"/>
      <c r="F265" s="2"/>
      <c r="G265" s="26">
        <f t="shared" si="14"/>
        <v>0</v>
      </c>
      <c r="H265" s="2"/>
      <c r="I265" s="4"/>
      <c r="J265" s="2"/>
      <c r="K265" s="27">
        <f>IF('RPT1'!$J265="","",'RPT1'!$J265)</f>
        <v>0</v>
      </c>
      <c r="L265" s="27">
        <f>IF('RPT2'!$J265="","",'RPT2'!$J265)</f>
        <v>0</v>
      </c>
      <c r="M265" s="27">
        <f>IF('RPT3'!$J265="","",'RPT3'!$J265)</f>
        <v>0</v>
      </c>
      <c r="N265" s="27">
        <f>IF('RPT4'!$J265="","",'RPT4'!$J265)</f>
        <v>0</v>
      </c>
    </row>
    <row r="266" spans="1:14" x14ac:dyDescent="0.35">
      <c r="A266" s="16" t="s">
        <v>263</v>
      </c>
      <c r="B266" s="2"/>
      <c r="C266" s="26">
        <f t="shared" si="13"/>
        <v>1024</v>
      </c>
      <c r="D266" s="2"/>
      <c r="E266" s="4"/>
      <c r="F266" s="2"/>
      <c r="G266" s="26">
        <f t="shared" si="14"/>
        <v>1024</v>
      </c>
      <c r="H266" s="2"/>
      <c r="I266" s="4"/>
      <c r="J266" s="2"/>
      <c r="K266" s="27">
        <f>IF('RPT1'!$J266="","",'RPT1'!$J266)</f>
        <v>256</v>
      </c>
      <c r="L266" s="27">
        <f>IF('RPT2'!$J266="","",'RPT2'!$J266)</f>
        <v>256</v>
      </c>
      <c r="M266" s="27">
        <f>IF('RPT3'!$J266="","",'RPT3'!$J266)</f>
        <v>256</v>
      </c>
      <c r="N266" s="27">
        <f>IF('RPT4'!$J266="","",'RPT4'!$J266)</f>
        <v>256</v>
      </c>
    </row>
    <row r="267" spans="1:14" x14ac:dyDescent="0.35">
      <c r="A267" s="16" t="s">
        <v>264</v>
      </c>
      <c r="B267" s="2"/>
      <c r="C267" s="26">
        <f t="shared" si="13"/>
        <v>0</v>
      </c>
      <c r="D267" s="2"/>
      <c r="E267" s="4"/>
      <c r="F267" s="2"/>
      <c r="G267" s="26">
        <f t="shared" si="14"/>
        <v>0</v>
      </c>
      <c r="H267" s="2"/>
      <c r="I267" s="4"/>
      <c r="J267" s="2"/>
      <c r="K267" s="27">
        <f>IF('RPT1'!$J267="","",'RPT1'!$J267)</f>
        <v>0</v>
      </c>
      <c r="L267" s="27">
        <f>IF('RPT2'!$J267="","",'RPT2'!$J267)</f>
        <v>0</v>
      </c>
      <c r="M267" s="27">
        <f>IF('RPT3'!$J267="","",'RPT3'!$J267)</f>
        <v>0</v>
      </c>
      <c r="N267" s="27">
        <f>IF('RPT4'!$J267="","",'RPT4'!$J267)</f>
        <v>0</v>
      </c>
    </row>
    <row r="268" spans="1:14" x14ac:dyDescent="0.35">
      <c r="A268" s="16" t="s">
        <v>265</v>
      </c>
      <c r="B268" s="2"/>
      <c r="C268" s="26">
        <f t="shared" si="13"/>
        <v>632</v>
      </c>
      <c r="D268" s="2"/>
      <c r="E268" s="4"/>
      <c r="F268" s="2"/>
      <c r="G268" s="26">
        <f t="shared" si="14"/>
        <v>632</v>
      </c>
      <c r="H268" s="2"/>
      <c r="I268" s="4"/>
      <c r="J268" s="2"/>
      <c r="K268" s="27">
        <f>IF('RPT1'!$J268="","",'RPT1'!$J268)</f>
        <v>158</v>
      </c>
      <c r="L268" s="27">
        <f>IF('RPT2'!$J268="","",'RPT2'!$J268)</f>
        <v>158</v>
      </c>
      <c r="M268" s="27">
        <f>IF('RPT3'!$J268="","",'RPT3'!$J268)</f>
        <v>158</v>
      </c>
      <c r="N268" s="27">
        <f>IF('RPT4'!$J268="","",'RPT4'!$J268)</f>
        <v>158</v>
      </c>
    </row>
    <row r="269" spans="1:14" x14ac:dyDescent="0.35">
      <c r="A269" s="16" t="s">
        <v>266</v>
      </c>
      <c r="B269" s="2"/>
      <c r="C269" s="26">
        <f t="shared" si="13"/>
        <v>0</v>
      </c>
      <c r="D269" s="2"/>
      <c r="E269" s="4"/>
      <c r="F269" s="2"/>
      <c r="G269" s="26">
        <f t="shared" si="14"/>
        <v>0</v>
      </c>
      <c r="H269" s="2"/>
      <c r="I269" s="4"/>
      <c r="J269" s="2"/>
      <c r="K269" s="27">
        <f>IF('RPT1'!$J269="","",'RPT1'!$J269)</f>
        <v>0</v>
      </c>
      <c r="L269" s="27">
        <f>IF('RPT2'!$J269="","",'RPT2'!$J269)</f>
        <v>0</v>
      </c>
      <c r="M269" s="27">
        <f>IF('RPT3'!$J269="","",'RPT3'!$J269)</f>
        <v>0</v>
      </c>
      <c r="N269" s="27">
        <f>IF('RPT4'!$J269="","",'RPT4'!$J269)</f>
        <v>0</v>
      </c>
    </row>
    <row r="270" spans="1:14" x14ac:dyDescent="0.35">
      <c r="A270" s="16" t="s">
        <v>267</v>
      </c>
      <c r="B270" s="2"/>
      <c r="C270" s="26">
        <f t="shared" si="13"/>
        <v>136</v>
      </c>
      <c r="D270" s="2"/>
      <c r="E270" s="4"/>
      <c r="F270" s="2"/>
      <c r="G270" s="26">
        <f t="shared" si="14"/>
        <v>136</v>
      </c>
      <c r="H270" s="2"/>
      <c r="I270" s="4"/>
      <c r="J270" s="2"/>
      <c r="K270" s="27">
        <f>IF('RPT1'!$J270="","",'RPT1'!$J270)</f>
        <v>34</v>
      </c>
      <c r="L270" s="27">
        <f>IF('RPT2'!$J270="","",'RPT2'!$J270)</f>
        <v>34</v>
      </c>
      <c r="M270" s="27">
        <f>IF('RPT3'!$J270="","",'RPT3'!$J270)</f>
        <v>34</v>
      </c>
      <c r="N270" s="27">
        <f>IF('RPT4'!$J270="","",'RPT4'!$J270)</f>
        <v>34</v>
      </c>
    </row>
    <row r="271" spans="1:14" x14ac:dyDescent="0.35">
      <c r="A271" s="16" t="s">
        <v>268</v>
      </c>
      <c r="B271" s="2"/>
      <c r="C271" s="26">
        <f t="shared" si="13"/>
        <v>0</v>
      </c>
      <c r="D271" s="2"/>
      <c r="E271" s="4"/>
      <c r="F271" s="2"/>
      <c r="G271" s="26">
        <f t="shared" si="14"/>
        <v>0</v>
      </c>
      <c r="H271" s="2"/>
      <c r="I271" s="4"/>
      <c r="J271" s="2"/>
      <c r="K271" s="27">
        <f>IF('RPT1'!$J271="","",'RPT1'!$J271)</f>
        <v>0</v>
      </c>
      <c r="L271" s="27">
        <f>IF('RPT2'!$J271="","",'RPT2'!$J271)</f>
        <v>0</v>
      </c>
      <c r="M271" s="27">
        <f>IF('RPT3'!$J271="","",'RPT3'!$J271)</f>
        <v>0</v>
      </c>
      <c r="N271" s="27">
        <f>IF('RPT4'!$J271="","",'RPT4'!$J271)</f>
        <v>0</v>
      </c>
    </row>
    <row r="272" spans="1:14" x14ac:dyDescent="0.35">
      <c r="A272" s="24"/>
      <c r="B272" s="2"/>
      <c r="C272" s="14"/>
      <c r="D272" s="2"/>
      <c r="E272" s="4"/>
      <c r="F272" s="2"/>
      <c r="G272" s="14"/>
      <c r="H272" s="2"/>
      <c r="I272" s="4"/>
      <c r="J272" s="2"/>
      <c r="K272" s="25"/>
      <c r="L272" s="25"/>
      <c r="M272" s="25"/>
      <c r="N272" s="25"/>
    </row>
    <row r="273" spans="1:14" x14ac:dyDescent="0.35">
      <c r="A273" s="12" t="s">
        <v>269</v>
      </c>
      <c r="B273" s="2"/>
      <c r="C273" s="14"/>
      <c r="D273" s="2"/>
      <c r="E273" s="4"/>
      <c r="F273" s="2"/>
      <c r="G273" s="14"/>
      <c r="H273" s="2"/>
      <c r="I273" s="4"/>
      <c r="J273" s="2"/>
      <c r="K273" s="25" t="str">
        <f>IF('RPT1'!$J273="","",'RPT1'!$J273)</f>
        <v/>
      </c>
      <c r="L273" s="25" t="str">
        <f>IF('RPT2'!$J273="","",'RPT2'!$J273)</f>
        <v/>
      </c>
      <c r="M273" s="25" t="str">
        <f>IF('RPT3'!$J273="","",'RPT3'!$J273)</f>
        <v/>
      </c>
      <c r="N273" s="25" t="str">
        <f>IF('RPT4'!$J273="","",'RPT4'!$J273)</f>
        <v/>
      </c>
    </row>
    <row r="274" spans="1:14" x14ac:dyDescent="0.35">
      <c r="A274" s="16" t="s">
        <v>270</v>
      </c>
      <c r="B274" s="2"/>
      <c r="C274" s="26">
        <f t="shared" ref="C274:C297" si="15">IF(Combine="Y", $G274, 0)</f>
        <v>650</v>
      </c>
      <c r="D274" s="2"/>
      <c r="E274" s="4"/>
      <c r="F274" s="2"/>
      <c r="G274" s="26">
        <f t="shared" ref="G274:G297" si="16">SUM($K274:$N274)</f>
        <v>650</v>
      </c>
      <c r="H274" s="2"/>
      <c r="I274" s="4"/>
      <c r="J274" s="2"/>
      <c r="K274" s="27">
        <f>IF('RPT1'!$J274="","",'RPT1'!$J274)</f>
        <v>173</v>
      </c>
      <c r="L274" s="27">
        <f>IF('RPT2'!$J274="","",'RPT2'!$J274)</f>
        <v>173</v>
      </c>
      <c r="M274" s="27">
        <f>IF('RPT3'!$J274="","",'RPT3'!$J274)</f>
        <v>131</v>
      </c>
      <c r="N274" s="27">
        <f>IF('RPT4'!$J274="","",'RPT4'!$J274)</f>
        <v>173</v>
      </c>
    </row>
    <row r="275" spans="1:14" x14ac:dyDescent="0.35">
      <c r="A275" s="16" t="s">
        <v>271</v>
      </c>
      <c r="B275" s="2"/>
      <c r="C275" s="26">
        <f t="shared" si="15"/>
        <v>0</v>
      </c>
      <c r="D275" s="2"/>
      <c r="E275" s="4"/>
      <c r="F275" s="2"/>
      <c r="G275" s="26">
        <f t="shared" si="16"/>
        <v>0</v>
      </c>
      <c r="H275" s="2"/>
      <c r="I275" s="4"/>
      <c r="J275" s="2"/>
      <c r="K275" s="27">
        <f>IF('RPT1'!$J275="","",'RPT1'!$J275)</f>
        <v>0</v>
      </c>
      <c r="L275" s="27">
        <f>IF('RPT2'!$J275="","",'RPT2'!$J275)</f>
        <v>0</v>
      </c>
      <c r="M275" s="27">
        <f>IF('RPT3'!$J275="","",'RPT3'!$J275)</f>
        <v>0</v>
      </c>
      <c r="N275" s="27">
        <f>IF('RPT4'!$J275="","",'RPT4'!$J275)</f>
        <v>0</v>
      </c>
    </row>
    <row r="276" spans="1:14" x14ac:dyDescent="0.35">
      <c r="A276" s="16" t="s">
        <v>272</v>
      </c>
      <c r="B276" s="2"/>
      <c r="C276" s="26">
        <f t="shared" si="15"/>
        <v>690</v>
      </c>
      <c r="D276" s="2"/>
      <c r="E276" s="4"/>
      <c r="F276" s="2"/>
      <c r="G276" s="26">
        <f t="shared" si="16"/>
        <v>690</v>
      </c>
      <c r="H276" s="2"/>
      <c r="I276" s="4"/>
      <c r="J276" s="2"/>
      <c r="K276" s="27">
        <f>IF('RPT1'!$J276="","",'RPT1'!$J276)</f>
        <v>192</v>
      </c>
      <c r="L276" s="27">
        <f>IF('RPT2'!$J276="","",'RPT2'!$J276)</f>
        <v>192</v>
      </c>
      <c r="M276" s="27">
        <f>IF('RPT3'!$J276="","",'RPT3'!$J276)</f>
        <v>114</v>
      </c>
      <c r="N276" s="27">
        <f>IF('RPT4'!$J276="","",'RPT4'!$J276)</f>
        <v>192</v>
      </c>
    </row>
    <row r="277" spans="1:14" x14ac:dyDescent="0.35">
      <c r="A277" s="16" t="s">
        <v>273</v>
      </c>
      <c r="B277" s="2"/>
      <c r="C277" s="26">
        <f t="shared" si="15"/>
        <v>0</v>
      </c>
      <c r="D277" s="2"/>
      <c r="E277" s="4"/>
      <c r="F277" s="2"/>
      <c r="G277" s="26">
        <f t="shared" si="16"/>
        <v>0</v>
      </c>
      <c r="H277" s="2"/>
      <c r="I277" s="4"/>
      <c r="J277" s="2"/>
      <c r="K277" s="27">
        <f>IF('RPT1'!$J277="","",'RPT1'!$J277)</f>
        <v>0</v>
      </c>
      <c r="L277" s="27">
        <f>IF('RPT2'!$J277="","",'RPT2'!$J277)</f>
        <v>0</v>
      </c>
      <c r="M277" s="27">
        <f>IF('RPT3'!$J277="","",'RPT3'!$J277)</f>
        <v>0</v>
      </c>
      <c r="N277" s="27">
        <f>IF('RPT4'!$J277="","",'RPT4'!$J277)</f>
        <v>0</v>
      </c>
    </row>
    <row r="278" spans="1:14" x14ac:dyDescent="0.35">
      <c r="A278" s="16" t="s">
        <v>274</v>
      </c>
      <c r="B278" s="2"/>
      <c r="C278" s="26">
        <f t="shared" si="15"/>
        <v>528</v>
      </c>
      <c r="D278" s="2"/>
      <c r="E278" s="4"/>
      <c r="F278" s="2"/>
      <c r="G278" s="26">
        <f t="shared" si="16"/>
        <v>528</v>
      </c>
      <c r="H278" s="2"/>
      <c r="I278" s="4"/>
      <c r="J278" s="2"/>
      <c r="K278" s="27">
        <f>IF('RPT1'!$J278="","",'RPT1'!$J278)</f>
        <v>146</v>
      </c>
      <c r="L278" s="27">
        <f>IF('RPT2'!$J278="","",'RPT2'!$J278)</f>
        <v>146</v>
      </c>
      <c r="M278" s="27">
        <f>IF('RPT3'!$J278="","",'RPT3'!$J278)</f>
        <v>90</v>
      </c>
      <c r="N278" s="27">
        <f>IF('RPT4'!$J278="","",'RPT4'!$J278)</f>
        <v>146</v>
      </c>
    </row>
    <row r="279" spans="1:14" x14ac:dyDescent="0.35">
      <c r="A279" s="16" t="s">
        <v>275</v>
      </c>
      <c r="B279" s="2"/>
      <c r="C279" s="26">
        <f t="shared" si="15"/>
        <v>0</v>
      </c>
      <c r="D279" s="2"/>
      <c r="E279" s="4"/>
      <c r="F279" s="2"/>
      <c r="G279" s="26">
        <f t="shared" si="16"/>
        <v>0</v>
      </c>
      <c r="H279" s="2"/>
      <c r="I279" s="4"/>
      <c r="J279" s="2"/>
      <c r="K279" s="27">
        <f>IF('RPT1'!$J279="","",'RPT1'!$J279)</f>
        <v>0</v>
      </c>
      <c r="L279" s="27">
        <f>IF('RPT2'!$J279="","",'RPT2'!$J279)</f>
        <v>0</v>
      </c>
      <c r="M279" s="27">
        <f>IF('RPT3'!$J279="","",'RPT3'!$J279)</f>
        <v>0</v>
      </c>
      <c r="N279" s="27">
        <f>IF('RPT4'!$J279="","",'RPT4'!$J279)</f>
        <v>0</v>
      </c>
    </row>
    <row r="280" spans="1:14" x14ac:dyDescent="0.35">
      <c r="A280" s="16" t="s">
        <v>276</v>
      </c>
      <c r="B280" s="2"/>
      <c r="C280" s="26">
        <f t="shared" si="15"/>
        <v>34</v>
      </c>
      <c r="D280" s="2"/>
      <c r="E280" s="4"/>
      <c r="F280" s="2"/>
      <c r="G280" s="26">
        <f t="shared" si="16"/>
        <v>34</v>
      </c>
      <c r="H280" s="2"/>
      <c r="I280" s="4"/>
      <c r="J280" s="2"/>
      <c r="K280" s="27">
        <f>IF('RPT1'!$J280="","",'RPT1'!$J280)</f>
        <v>14</v>
      </c>
      <c r="L280" s="27">
        <f>IF('RPT2'!$J280="","",'RPT2'!$J280)</f>
        <v>7</v>
      </c>
      <c r="M280" s="27">
        <f>IF('RPT3'!$J280="","",'RPT3'!$J280)</f>
        <v>5</v>
      </c>
      <c r="N280" s="27">
        <f>IF('RPT4'!$J280="","",'RPT4'!$J280)</f>
        <v>8</v>
      </c>
    </row>
    <row r="281" spans="1:14" x14ac:dyDescent="0.35">
      <c r="A281" s="16" t="s">
        <v>277</v>
      </c>
      <c r="B281" s="2"/>
      <c r="C281" s="26">
        <f t="shared" si="15"/>
        <v>0</v>
      </c>
      <c r="D281" s="2"/>
      <c r="E281" s="4"/>
      <c r="F281" s="2"/>
      <c r="G281" s="26">
        <f t="shared" si="16"/>
        <v>0</v>
      </c>
      <c r="H281" s="2"/>
      <c r="I281" s="4"/>
      <c r="J281" s="2"/>
      <c r="K281" s="27">
        <f>IF('RPT1'!$J281="","",'RPT1'!$J281)</f>
        <v>0</v>
      </c>
      <c r="L281" s="27">
        <f>IF('RPT2'!$J281="","",'RPT2'!$J281)</f>
        <v>0</v>
      </c>
      <c r="M281" s="27">
        <f>IF('RPT3'!$J281="","",'RPT3'!$J281)</f>
        <v>0</v>
      </c>
      <c r="N281" s="27">
        <f>IF('RPT4'!$J281="","",'RPT4'!$J281)</f>
        <v>0</v>
      </c>
    </row>
    <row r="282" spans="1:14" x14ac:dyDescent="0.35">
      <c r="A282" s="16" t="s">
        <v>278</v>
      </c>
      <c r="B282" s="2"/>
      <c r="C282" s="26">
        <f t="shared" si="15"/>
        <v>80</v>
      </c>
      <c r="D282" s="2"/>
      <c r="E282" s="4"/>
      <c r="F282" s="2"/>
      <c r="G282" s="26">
        <f t="shared" si="16"/>
        <v>80</v>
      </c>
      <c r="H282" s="2"/>
      <c r="I282" s="4"/>
      <c r="J282" s="2"/>
      <c r="K282" s="27">
        <f>IF('RPT1'!$J282="","",'RPT1'!$J282)</f>
        <v>20</v>
      </c>
      <c r="L282" s="27">
        <f>IF('RPT2'!$J282="","",'RPT2'!$J282)</f>
        <v>20</v>
      </c>
      <c r="M282" s="27">
        <f>IF('RPT3'!$J282="","",'RPT3'!$J282)</f>
        <v>20</v>
      </c>
      <c r="N282" s="27">
        <f>IF('RPT4'!$J282="","",'RPT4'!$J282)</f>
        <v>20</v>
      </c>
    </row>
    <row r="283" spans="1:14" x14ac:dyDescent="0.35">
      <c r="A283" s="16" t="s">
        <v>279</v>
      </c>
      <c r="B283" s="2"/>
      <c r="C283" s="26">
        <f t="shared" si="15"/>
        <v>0</v>
      </c>
      <c r="D283" s="2"/>
      <c r="E283" s="4"/>
      <c r="F283" s="2"/>
      <c r="G283" s="26">
        <f t="shared" si="16"/>
        <v>0</v>
      </c>
      <c r="H283" s="2"/>
      <c r="I283" s="4"/>
      <c r="J283" s="2"/>
      <c r="K283" s="27">
        <f>IF('RPT1'!$J283="","",'RPT1'!$J283)</f>
        <v>0</v>
      </c>
      <c r="L283" s="27">
        <f>IF('RPT2'!$J283="","",'RPT2'!$J283)</f>
        <v>0</v>
      </c>
      <c r="M283" s="27">
        <f>IF('RPT3'!$J283="","",'RPT3'!$J283)</f>
        <v>0</v>
      </c>
      <c r="N283" s="27">
        <f>IF('RPT4'!$J283="","",'RPT4'!$J283)</f>
        <v>0</v>
      </c>
    </row>
    <row r="284" spans="1:14" x14ac:dyDescent="0.35">
      <c r="A284" s="16" t="s">
        <v>280</v>
      </c>
      <c r="B284" s="2"/>
      <c r="C284" s="26">
        <f t="shared" si="15"/>
        <v>256</v>
      </c>
      <c r="D284" s="2"/>
      <c r="E284" s="4"/>
      <c r="F284" s="2"/>
      <c r="G284" s="26">
        <f t="shared" si="16"/>
        <v>256</v>
      </c>
      <c r="H284" s="2"/>
      <c r="I284" s="4"/>
      <c r="J284" s="2"/>
      <c r="K284" s="27">
        <f>IF('RPT1'!$J284="","",'RPT1'!$J284)</f>
        <v>64</v>
      </c>
      <c r="L284" s="27">
        <f>IF('RPT2'!$J284="","",'RPT2'!$J284)</f>
        <v>64</v>
      </c>
      <c r="M284" s="27">
        <f>IF('RPT3'!$J284="","",'RPT3'!$J284)</f>
        <v>64</v>
      </c>
      <c r="N284" s="27">
        <f>IF('RPT4'!$J284="","",'RPT4'!$J284)</f>
        <v>64</v>
      </c>
    </row>
    <row r="285" spans="1:14" x14ac:dyDescent="0.35">
      <c r="A285" s="16" t="s">
        <v>281</v>
      </c>
      <c r="B285" s="2"/>
      <c r="C285" s="26">
        <f t="shared" si="15"/>
        <v>0</v>
      </c>
      <c r="D285" s="2"/>
      <c r="E285" s="4"/>
      <c r="F285" s="2"/>
      <c r="G285" s="26">
        <f t="shared" si="16"/>
        <v>0</v>
      </c>
      <c r="H285" s="2"/>
      <c r="I285" s="4"/>
      <c r="J285" s="2"/>
      <c r="K285" s="27">
        <f>IF('RPT1'!$J285="","",'RPT1'!$J285)</f>
        <v>0</v>
      </c>
      <c r="L285" s="27">
        <f>IF('RPT2'!$J285="","",'RPT2'!$J285)</f>
        <v>0</v>
      </c>
      <c r="M285" s="27">
        <f>IF('RPT3'!$J285="","",'RPT3'!$J285)</f>
        <v>0</v>
      </c>
      <c r="N285" s="27">
        <f>IF('RPT4'!$J285="","",'RPT4'!$J285)</f>
        <v>0</v>
      </c>
    </row>
    <row r="286" spans="1:14" x14ac:dyDescent="0.35">
      <c r="A286" s="16" t="s">
        <v>282</v>
      </c>
      <c r="B286" s="2"/>
      <c r="C286" s="26">
        <f t="shared" si="15"/>
        <v>48</v>
      </c>
      <c r="D286" s="2"/>
      <c r="E286" s="4"/>
      <c r="F286" s="2"/>
      <c r="G286" s="26">
        <f t="shared" si="16"/>
        <v>48</v>
      </c>
      <c r="H286" s="2"/>
      <c r="I286" s="4"/>
      <c r="J286" s="2"/>
      <c r="K286" s="27">
        <f>IF('RPT1'!$J286="","",'RPT1'!$J286)</f>
        <v>12</v>
      </c>
      <c r="L286" s="27">
        <f>IF('RPT2'!$J286="","",'RPT2'!$J286)</f>
        <v>12</v>
      </c>
      <c r="M286" s="27">
        <f>IF('RPT3'!$J286="","",'RPT3'!$J286)</f>
        <v>12</v>
      </c>
      <c r="N286" s="27">
        <f>IF('RPT4'!$J286="","",'RPT4'!$J286)</f>
        <v>12</v>
      </c>
    </row>
    <row r="287" spans="1:14" x14ac:dyDescent="0.35">
      <c r="A287" s="16" t="s">
        <v>283</v>
      </c>
      <c r="B287" s="2"/>
      <c r="C287" s="26">
        <f t="shared" si="15"/>
        <v>0</v>
      </c>
      <c r="D287" s="2"/>
      <c r="E287" s="4"/>
      <c r="F287" s="2"/>
      <c r="G287" s="26">
        <f t="shared" si="16"/>
        <v>0</v>
      </c>
      <c r="H287" s="2"/>
      <c r="I287" s="4"/>
      <c r="J287" s="2"/>
      <c r="K287" s="27">
        <f>IF('RPT1'!$J287="","",'RPT1'!$J287)</f>
        <v>0</v>
      </c>
      <c r="L287" s="27">
        <f>IF('RPT2'!$J287="","",'RPT2'!$J287)</f>
        <v>0</v>
      </c>
      <c r="M287" s="27">
        <f>IF('RPT3'!$J287="","",'RPT3'!$J287)</f>
        <v>0</v>
      </c>
      <c r="N287" s="27">
        <f>IF('RPT4'!$J287="","",'RPT4'!$J287)</f>
        <v>0</v>
      </c>
    </row>
    <row r="288" spans="1:14" x14ac:dyDescent="0.35">
      <c r="A288" s="16" t="s">
        <v>284</v>
      </c>
      <c r="B288" s="2"/>
      <c r="C288" s="26">
        <f t="shared" si="15"/>
        <v>46</v>
      </c>
      <c r="D288" s="2"/>
      <c r="E288" s="4"/>
      <c r="F288" s="2"/>
      <c r="G288" s="26">
        <f t="shared" si="16"/>
        <v>46</v>
      </c>
      <c r="H288" s="2"/>
      <c r="I288" s="4"/>
      <c r="J288" s="2"/>
      <c r="K288" s="27">
        <f>IF('RPT1'!$J288="","",'RPT1'!$J288)</f>
        <v>20</v>
      </c>
      <c r="L288" s="27">
        <f>IF('RPT2'!$J288="","",'RPT2'!$J288)</f>
        <v>18</v>
      </c>
      <c r="M288" s="27">
        <f>IF('RPT3'!$J288="","",'RPT3'!$J288)</f>
        <v>2</v>
      </c>
      <c r="N288" s="27">
        <f>IF('RPT4'!$J288="","",'RPT4'!$J288)</f>
        <v>6</v>
      </c>
    </row>
    <row r="289" spans="1:14" x14ac:dyDescent="0.35">
      <c r="A289" s="16" t="s">
        <v>285</v>
      </c>
      <c r="B289" s="2"/>
      <c r="C289" s="26">
        <f t="shared" si="15"/>
        <v>0</v>
      </c>
      <c r="D289" s="2"/>
      <c r="E289" s="4"/>
      <c r="F289" s="2"/>
      <c r="G289" s="26">
        <f t="shared" si="16"/>
        <v>0</v>
      </c>
      <c r="H289" s="2"/>
      <c r="I289" s="4"/>
      <c r="J289" s="2"/>
      <c r="K289" s="27">
        <f>IF('RPT1'!$J289="","",'RPT1'!$J289)</f>
        <v>0</v>
      </c>
      <c r="L289" s="27">
        <f>IF('RPT2'!$J289="","",'RPT2'!$J289)</f>
        <v>0</v>
      </c>
      <c r="M289" s="27">
        <f>IF('RPT3'!$J289="","",'RPT3'!$J289)</f>
        <v>0</v>
      </c>
      <c r="N289" s="27">
        <f>IF('RPT4'!$J289="","",'RPT4'!$J289)</f>
        <v>0</v>
      </c>
    </row>
    <row r="290" spans="1:14" x14ac:dyDescent="0.35">
      <c r="A290" s="16" t="s">
        <v>286</v>
      </c>
      <c r="B290" s="2"/>
      <c r="C290" s="26">
        <f t="shared" si="15"/>
        <v>730</v>
      </c>
      <c r="D290" s="2"/>
      <c r="E290" s="4"/>
      <c r="F290" s="2"/>
      <c r="G290" s="26">
        <f t="shared" si="16"/>
        <v>730</v>
      </c>
      <c r="H290" s="2"/>
      <c r="I290" s="4"/>
      <c r="J290" s="2"/>
      <c r="K290" s="27">
        <f>IF('RPT1'!$J290="","",'RPT1'!$J290)</f>
        <v>193</v>
      </c>
      <c r="L290" s="27">
        <f>IF('RPT2'!$J290="","",'RPT2'!$J290)</f>
        <v>193</v>
      </c>
      <c r="M290" s="27">
        <f>IF('RPT3'!$J290="","",'RPT3'!$J290)</f>
        <v>151</v>
      </c>
      <c r="N290" s="27">
        <f>IF('RPT4'!$J290="","",'RPT4'!$J290)</f>
        <v>193</v>
      </c>
    </row>
    <row r="291" spans="1:14" x14ac:dyDescent="0.35">
      <c r="A291" s="16" t="s">
        <v>287</v>
      </c>
      <c r="B291" s="2"/>
      <c r="C291" s="26">
        <f t="shared" si="15"/>
        <v>0</v>
      </c>
      <c r="D291" s="2"/>
      <c r="E291" s="4"/>
      <c r="F291" s="2"/>
      <c r="G291" s="26">
        <f t="shared" si="16"/>
        <v>0</v>
      </c>
      <c r="H291" s="2"/>
      <c r="I291" s="4"/>
      <c r="J291" s="2"/>
      <c r="K291" s="27">
        <f>IF('RPT1'!$J291="","",'RPT1'!$J291)</f>
        <v>0</v>
      </c>
      <c r="L291" s="27">
        <f>IF('RPT2'!$J291="","",'RPT2'!$J291)</f>
        <v>0</v>
      </c>
      <c r="M291" s="27">
        <f>IF('RPT3'!$J291="","",'RPT3'!$J291)</f>
        <v>0</v>
      </c>
      <c r="N291" s="27">
        <f>IF('RPT4'!$J291="","",'RPT4'!$J291)</f>
        <v>0</v>
      </c>
    </row>
    <row r="292" spans="1:14" x14ac:dyDescent="0.35">
      <c r="A292" s="16" t="s">
        <v>288</v>
      </c>
      <c r="B292" s="2"/>
      <c r="C292" s="26">
        <f t="shared" si="15"/>
        <v>946</v>
      </c>
      <c r="D292" s="2"/>
      <c r="E292" s="4"/>
      <c r="F292" s="2"/>
      <c r="G292" s="26">
        <f t="shared" si="16"/>
        <v>946</v>
      </c>
      <c r="H292" s="2"/>
      <c r="I292" s="4"/>
      <c r="J292" s="2"/>
      <c r="K292" s="27">
        <f>IF('RPT1'!$J292="","",'RPT1'!$J292)</f>
        <v>256</v>
      </c>
      <c r="L292" s="27">
        <f>IF('RPT2'!$J292="","",'RPT2'!$J292)</f>
        <v>256</v>
      </c>
      <c r="M292" s="27">
        <f>IF('RPT3'!$J292="","",'RPT3'!$J292)</f>
        <v>178</v>
      </c>
      <c r="N292" s="27">
        <f>IF('RPT4'!$J292="","",'RPT4'!$J292)</f>
        <v>256</v>
      </c>
    </row>
    <row r="293" spans="1:14" x14ac:dyDescent="0.35">
      <c r="A293" s="16" t="s">
        <v>289</v>
      </c>
      <c r="B293" s="2"/>
      <c r="C293" s="26">
        <f t="shared" si="15"/>
        <v>0</v>
      </c>
      <c r="D293" s="2"/>
      <c r="E293" s="4"/>
      <c r="F293" s="2"/>
      <c r="G293" s="26">
        <f t="shared" si="16"/>
        <v>0</v>
      </c>
      <c r="H293" s="2"/>
      <c r="I293" s="4"/>
      <c r="J293" s="2"/>
      <c r="K293" s="27">
        <f>IF('RPT1'!$J293="","",'RPT1'!$J293)</f>
        <v>0</v>
      </c>
      <c r="L293" s="27">
        <f>IF('RPT2'!$J293="","",'RPT2'!$J293)</f>
        <v>0</v>
      </c>
      <c r="M293" s="27">
        <f>IF('RPT3'!$J293="","",'RPT3'!$J293)</f>
        <v>0</v>
      </c>
      <c r="N293" s="27">
        <f>IF('RPT4'!$J293="","",'RPT4'!$J293)</f>
        <v>0</v>
      </c>
    </row>
    <row r="294" spans="1:14" x14ac:dyDescent="0.35">
      <c r="A294" s="16" t="s">
        <v>290</v>
      </c>
      <c r="B294" s="2"/>
      <c r="C294" s="26">
        <f t="shared" si="15"/>
        <v>576</v>
      </c>
      <c r="D294" s="2"/>
      <c r="E294" s="4"/>
      <c r="F294" s="2"/>
      <c r="G294" s="26">
        <f t="shared" si="16"/>
        <v>576</v>
      </c>
      <c r="H294" s="2"/>
      <c r="I294" s="4"/>
      <c r="J294" s="2"/>
      <c r="K294" s="27">
        <f>IF('RPT1'!$J294="","",'RPT1'!$J294)</f>
        <v>158</v>
      </c>
      <c r="L294" s="27">
        <f>IF('RPT2'!$J294="","",'RPT2'!$J294)</f>
        <v>158</v>
      </c>
      <c r="M294" s="27">
        <f>IF('RPT3'!$J294="","",'RPT3'!$J294)</f>
        <v>102</v>
      </c>
      <c r="N294" s="27">
        <f>IF('RPT4'!$J294="","",'RPT4'!$J294)</f>
        <v>158</v>
      </c>
    </row>
    <row r="295" spans="1:14" x14ac:dyDescent="0.35">
      <c r="A295" s="16" t="s">
        <v>291</v>
      </c>
      <c r="B295" s="2"/>
      <c r="C295" s="26">
        <f t="shared" si="15"/>
        <v>0</v>
      </c>
      <c r="D295" s="2"/>
      <c r="E295" s="4"/>
      <c r="F295" s="2"/>
      <c r="G295" s="26">
        <f t="shared" si="16"/>
        <v>0</v>
      </c>
      <c r="H295" s="2"/>
      <c r="I295" s="4"/>
      <c r="J295" s="2"/>
      <c r="K295" s="27">
        <f>IF('RPT1'!$J295="","",'RPT1'!$J295)</f>
        <v>0</v>
      </c>
      <c r="L295" s="27">
        <f>IF('RPT2'!$J295="","",'RPT2'!$J295)</f>
        <v>0</v>
      </c>
      <c r="M295" s="27">
        <f>IF('RPT3'!$J295="","",'RPT3'!$J295)</f>
        <v>0</v>
      </c>
      <c r="N295" s="27">
        <f>IF('RPT4'!$J295="","",'RPT4'!$J295)</f>
        <v>0</v>
      </c>
    </row>
    <row r="296" spans="1:14" x14ac:dyDescent="0.35">
      <c r="A296" s="16" t="s">
        <v>292</v>
      </c>
      <c r="B296" s="2"/>
      <c r="C296" s="26">
        <f t="shared" si="15"/>
        <v>80</v>
      </c>
      <c r="D296" s="2"/>
      <c r="E296" s="4"/>
      <c r="F296" s="2"/>
      <c r="G296" s="26">
        <f t="shared" si="16"/>
        <v>80</v>
      </c>
      <c r="H296" s="2"/>
      <c r="I296" s="4"/>
      <c r="J296" s="2"/>
      <c r="K296" s="27">
        <f>IF('RPT1'!$J296="","",'RPT1'!$J296)</f>
        <v>34</v>
      </c>
      <c r="L296" s="27">
        <f>IF('RPT2'!$J296="","",'RPT2'!$J296)</f>
        <v>25</v>
      </c>
      <c r="M296" s="27">
        <f>IF('RPT3'!$J296="","",'RPT3'!$J296)</f>
        <v>7</v>
      </c>
      <c r="N296" s="27">
        <f>IF('RPT4'!$J296="","",'RPT4'!$J296)</f>
        <v>14</v>
      </c>
    </row>
    <row r="297" spans="1:14" x14ac:dyDescent="0.35">
      <c r="A297" s="16" t="s">
        <v>293</v>
      </c>
      <c r="B297" s="2"/>
      <c r="C297" s="26">
        <f t="shared" si="15"/>
        <v>0</v>
      </c>
      <c r="D297" s="2"/>
      <c r="E297" s="4"/>
      <c r="F297" s="2"/>
      <c r="G297" s="26">
        <f t="shared" si="16"/>
        <v>0</v>
      </c>
      <c r="H297" s="2"/>
      <c r="I297" s="4"/>
      <c r="J297" s="2"/>
      <c r="K297" s="27">
        <f>IF('RPT1'!$J297="","",'RPT1'!$J297)</f>
        <v>0</v>
      </c>
      <c r="L297" s="27">
        <f>IF('RPT2'!$J297="","",'RPT2'!$J297)</f>
        <v>0</v>
      </c>
      <c r="M297" s="27">
        <f>IF('RPT3'!$J297="","",'RPT3'!$J297)</f>
        <v>0</v>
      </c>
      <c r="N297" s="27">
        <f>IF('RPT4'!$J297="","",'RPT4'!$J297)</f>
        <v>0</v>
      </c>
    </row>
    <row r="298" spans="1:14" x14ac:dyDescent="0.35">
      <c r="A298" s="24"/>
      <c r="B298" s="2"/>
      <c r="C298" s="14"/>
      <c r="D298" s="2"/>
      <c r="E298" s="4"/>
      <c r="F298" s="2"/>
      <c r="G298" s="14"/>
      <c r="H298" s="2"/>
      <c r="I298" s="4"/>
      <c r="J298" s="2"/>
      <c r="K298" s="25"/>
      <c r="L298" s="25"/>
      <c r="M298" s="25"/>
      <c r="N298" s="25"/>
    </row>
    <row r="299" spans="1:14" x14ac:dyDescent="0.35">
      <c r="A299" s="12" t="s">
        <v>294</v>
      </c>
      <c r="B299" s="2"/>
      <c r="C299" s="14"/>
      <c r="D299" s="2"/>
      <c r="E299" s="4"/>
      <c r="F299" s="2"/>
      <c r="G299" s="14"/>
      <c r="H299" s="2"/>
      <c r="I299" s="4"/>
      <c r="J299" s="2"/>
      <c r="K299" s="25" t="str">
        <f>IF('RPT1'!$J299="","",'RPT1'!$J299)</f>
        <v/>
      </c>
      <c r="L299" s="25" t="str">
        <f>IF('RPT2'!$J299="","",'RPT2'!$J299)</f>
        <v/>
      </c>
      <c r="M299" s="25" t="str">
        <f>IF('RPT3'!$J299="","",'RPT3'!$J299)</f>
        <v/>
      </c>
      <c r="N299" s="25" t="str">
        <f>IF('RPT4'!$J299="","",'RPT4'!$J299)</f>
        <v/>
      </c>
    </row>
    <row r="300" spans="1:14" x14ac:dyDescent="0.35">
      <c r="A300" s="16" t="s">
        <v>295</v>
      </c>
      <c r="B300" s="2"/>
      <c r="C300" s="28">
        <f t="shared" ref="C300:C323" si="17">IF(Combine="Y", $G300, 0)</f>
        <v>1203.2979933898571</v>
      </c>
      <c r="D300" s="2"/>
      <c r="E300" s="4"/>
      <c r="F300" s="2"/>
      <c r="G300" s="28">
        <f t="shared" ref="G300:G323" si="18">IF(G248=0,0,SUMPRODUCT($K248:$N248,$K300:$N300)/G248)</f>
        <v>1203.2979933898571</v>
      </c>
      <c r="H300" s="2"/>
      <c r="I300" s="4"/>
      <c r="J300" s="2"/>
      <c r="K300" s="29">
        <f>IF('RPT1'!$J300="","",'RPT1'!$J300)</f>
        <v>1203.2979933898571</v>
      </c>
      <c r="L300" s="29">
        <f>IF('RPT2'!$J300="","",'RPT2'!$J300)</f>
        <v>1203.2979933898571</v>
      </c>
      <c r="M300" s="29">
        <f>IF('RPT3'!$J300="","",'RPT3'!$J300)</f>
        <v>1203.2979933898571</v>
      </c>
      <c r="N300" s="29">
        <f>IF('RPT4'!$J300="","",'RPT4'!$J300)</f>
        <v>1203.2979933898571</v>
      </c>
    </row>
    <row r="301" spans="1:14" x14ac:dyDescent="0.35">
      <c r="A301" s="16" t="s">
        <v>296</v>
      </c>
      <c r="B301" s="2"/>
      <c r="C301" s="28">
        <f t="shared" si="17"/>
        <v>0</v>
      </c>
      <c r="D301" s="2"/>
      <c r="E301" s="4"/>
      <c r="F301" s="2"/>
      <c r="G301" s="28">
        <f t="shared" si="18"/>
        <v>0</v>
      </c>
      <c r="H301" s="2"/>
      <c r="I301" s="4"/>
      <c r="J301" s="2"/>
      <c r="K301" s="29">
        <f>IF('RPT1'!$J301="","",'RPT1'!$J301)</f>
        <v>0</v>
      </c>
      <c r="L301" s="29">
        <f>IF('RPT2'!$J301="","",'RPT2'!$J301)</f>
        <v>0</v>
      </c>
      <c r="M301" s="29">
        <f>IF('RPT3'!$J301="","",'RPT3'!$J301)</f>
        <v>0</v>
      </c>
      <c r="N301" s="29">
        <f>IF('RPT4'!$J301="","",'RPT4'!$J301)</f>
        <v>0</v>
      </c>
    </row>
    <row r="302" spans="1:14" x14ac:dyDescent="0.35">
      <c r="A302" s="16" t="s">
        <v>297</v>
      </c>
      <c r="B302" s="2"/>
      <c r="C302" s="28">
        <f t="shared" si="17"/>
        <v>623.59754614035285</v>
      </c>
      <c r="D302" s="2"/>
      <c r="E302" s="4"/>
      <c r="F302" s="2"/>
      <c r="G302" s="28">
        <f t="shared" si="18"/>
        <v>623.59754614035285</v>
      </c>
      <c r="H302" s="2"/>
      <c r="I302" s="4"/>
      <c r="J302" s="2"/>
      <c r="K302" s="29">
        <f>IF('RPT1'!$J302="","",'RPT1'!$J302)</f>
        <v>623.59754614035285</v>
      </c>
      <c r="L302" s="29">
        <f>IF('RPT2'!$J302="","",'RPT2'!$J302)</f>
        <v>623.59754614035285</v>
      </c>
      <c r="M302" s="29">
        <f>IF('RPT3'!$J302="","",'RPT3'!$J302)</f>
        <v>623.59754614035285</v>
      </c>
      <c r="N302" s="29">
        <f>IF('RPT4'!$J302="","",'RPT4'!$J302)</f>
        <v>623.59754614035285</v>
      </c>
    </row>
    <row r="303" spans="1:14" x14ac:dyDescent="0.35">
      <c r="A303" s="16" t="s">
        <v>298</v>
      </c>
      <c r="B303" s="2"/>
      <c r="C303" s="28">
        <f t="shared" si="17"/>
        <v>0</v>
      </c>
      <c r="D303" s="2"/>
      <c r="E303" s="4"/>
      <c r="F303" s="2"/>
      <c r="G303" s="28">
        <f t="shared" si="18"/>
        <v>0</v>
      </c>
      <c r="H303" s="2"/>
      <c r="I303" s="4"/>
      <c r="J303" s="2"/>
      <c r="K303" s="29">
        <f>IF('RPT1'!$J303="","",'RPT1'!$J303)</f>
        <v>0</v>
      </c>
      <c r="L303" s="29">
        <f>IF('RPT2'!$J303="","",'RPT2'!$J303)</f>
        <v>0</v>
      </c>
      <c r="M303" s="29">
        <f>IF('RPT3'!$J303="","",'RPT3'!$J303)</f>
        <v>0</v>
      </c>
      <c r="N303" s="29">
        <f>IF('RPT4'!$J303="","",'RPT4'!$J303)</f>
        <v>0</v>
      </c>
    </row>
    <row r="304" spans="1:14" x14ac:dyDescent="0.35">
      <c r="A304" s="16" t="s">
        <v>299</v>
      </c>
      <c r="B304" s="2"/>
      <c r="C304" s="28">
        <f t="shared" si="17"/>
        <v>1870.0006196008969</v>
      </c>
      <c r="D304" s="2"/>
      <c r="E304" s="4"/>
      <c r="F304" s="2"/>
      <c r="G304" s="28">
        <f t="shared" si="18"/>
        <v>1870.0006196008969</v>
      </c>
      <c r="H304" s="2"/>
      <c r="I304" s="4"/>
      <c r="J304" s="2"/>
      <c r="K304" s="29">
        <f>IF('RPT1'!$J304="","",'RPT1'!$J304)</f>
        <v>1870.0006196008969</v>
      </c>
      <c r="L304" s="29">
        <f>IF('RPT2'!$J304="","",'RPT2'!$J304)</f>
        <v>1870.0006196008969</v>
      </c>
      <c r="M304" s="29">
        <f>IF('RPT3'!$J304="","",'RPT3'!$J304)</f>
        <v>1870.0006196008969</v>
      </c>
      <c r="N304" s="29">
        <f>IF('RPT4'!$J304="","",'RPT4'!$J304)</f>
        <v>1870.0006196008969</v>
      </c>
    </row>
    <row r="305" spans="1:14" x14ac:dyDescent="0.35">
      <c r="A305" s="16" t="s">
        <v>300</v>
      </c>
      <c r="B305" s="2"/>
      <c r="C305" s="28">
        <f t="shared" si="17"/>
        <v>0</v>
      </c>
      <c r="D305" s="2"/>
      <c r="E305" s="4"/>
      <c r="F305" s="2"/>
      <c r="G305" s="28">
        <f t="shared" si="18"/>
        <v>0</v>
      </c>
      <c r="H305" s="2"/>
      <c r="I305" s="4"/>
      <c r="J305" s="2"/>
      <c r="K305" s="29">
        <f>IF('RPT1'!$J305="","",'RPT1'!$J305)</f>
        <v>0</v>
      </c>
      <c r="L305" s="29">
        <f>IF('RPT2'!$J305="","",'RPT2'!$J305)</f>
        <v>0</v>
      </c>
      <c r="M305" s="29">
        <f>IF('RPT3'!$J305="","",'RPT3'!$J305)</f>
        <v>0</v>
      </c>
      <c r="N305" s="29">
        <f>IF('RPT4'!$J305="","",'RPT4'!$J305)</f>
        <v>0</v>
      </c>
    </row>
    <row r="306" spans="1:14" x14ac:dyDescent="0.35">
      <c r="A306" s="16" t="s">
        <v>301</v>
      </c>
      <c r="B306" s="2"/>
      <c r="C306" s="28">
        <f t="shared" si="17"/>
        <v>13215.92278180804</v>
      </c>
      <c r="D306" s="2"/>
      <c r="E306" s="4"/>
      <c r="F306" s="2"/>
      <c r="G306" s="28">
        <f t="shared" si="18"/>
        <v>13215.92278180804</v>
      </c>
      <c r="H306" s="2"/>
      <c r="I306" s="4"/>
      <c r="J306" s="2"/>
      <c r="K306" s="29">
        <f>IF('RPT1'!$J306="","",'RPT1'!$J306)</f>
        <v>13215.92278180804</v>
      </c>
      <c r="L306" s="29">
        <f>IF('RPT2'!$J306="","",'RPT2'!$J306)</f>
        <v>13215.92278180804</v>
      </c>
      <c r="M306" s="29">
        <f>IF('RPT3'!$J306="","",'RPT3'!$J306)</f>
        <v>13215.92278180804</v>
      </c>
      <c r="N306" s="29">
        <f>IF('RPT4'!$J306="","",'RPT4'!$J306)</f>
        <v>13215.92278180804</v>
      </c>
    </row>
    <row r="307" spans="1:14" x14ac:dyDescent="0.35">
      <c r="A307" s="16" t="s">
        <v>302</v>
      </c>
      <c r="B307" s="2"/>
      <c r="C307" s="28">
        <f t="shared" si="17"/>
        <v>0</v>
      </c>
      <c r="D307" s="2"/>
      <c r="E307" s="4"/>
      <c r="F307" s="2"/>
      <c r="G307" s="28">
        <f t="shared" si="18"/>
        <v>0</v>
      </c>
      <c r="H307" s="2"/>
      <c r="I307" s="4"/>
      <c r="J307" s="2"/>
      <c r="K307" s="29">
        <f>IF('RPT1'!$J307="","",'RPT1'!$J307)</f>
        <v>0</v>
      </c>
      <c r="L307" s="29">
        <f>IF('RPT2'!$J307="","",'RPT2'!$J307)</f>
        <v>0</v>
      </c>
      <c r="M307" s="29">
        <f>IF('RPT3'!$J307="","",'RPT3'!$J307)</f>
        <v>0</v>
      </c>
      <c r="N307" s="29">
        <f>IF('RPT4'!$J307="","",'RPT4'!$J307)</f>
        <v>0</v>
      </c>
    </row>
    <row r="308" spans="1:14" x14ac:dyDescent="0.35">
      <c r="A308" s="16" t="s">
        <v>303</v>
      </c>
      <c r="B308" s="2"/>
      <c r="C308" s="28">
        <f t="shared" si="17"/>
        <v>737.4659804344177</v>
      </c>
      <c r="D308" s="2"/>
      <c r="E308" s="4"/>
      <c r="F308" s="2"/>
      <c r="G308" s="28">
        <f t="shared" si="18"/>
        <v>737.4659804344177</v>
      </c>
      <c r="H308" s="2"/>
      <c r="I308" s="4"/>
      <c r="J308" s="2"/>
      <c r="K308" s="29">
        <f>IF('RPT1'!$J308="","",'RPT1'!$J308)</f>
        <v>737.4659804344177</v>
      </c>
      <c r="L308" s="29">
        <f>IF('RPT2'!$J308="","",'RPT2'!$J308)</f>
        <v>737.4659804344177</v>
      </c>
      <c r="M308" s="29">
        <f>IF('RPT3'!$J308="","",'RPT3'!$J308)</f>
        <v>737.4659804344177</v>
      </c>
      <c r="N308" s="29">
        <f>IF('RPT4'!$J308="","",'RPT4'!$J308)</f>
        <v>737.4659804344177</v>
      </c>
    </row>
    <row r="309" spans="1:14" x14ac:dyDescent="0.35">
      <c r="A309" s="16" t="s">
        <v>304</v>
      </c>
      <c r="B309" s="2"/>
      <c r="C309" s="28">
        <f t="shared" si="17"/>
        <v>0</v>
      </c>
      <c r="D309" s="2"/>
      <c r="E309" s="4"/>
      <c r="F309" s="2"/>
      <c r="G309" s="28">
        <f t="shared" si="18"/>
        <v>0</v>
      </c>
      <c r="H309" s="2"/>
      <c r="I309" s="4"/>
      <c r="J309" s="2"/>
      <c r="K309" s="29">
        <f>IF('RPT1'!$J309="","",'RPT1'!$J309)</f>
        <v>0</v>
      </c>
      <c r="L309" s="29">
        <f>IF('RPT2'!$J309="","",'RPT2'!$J309)</f>
        <v>0</v>
      </c>
      <c r="M309" s="29">
        <f>IF('RPT3'!$J309="","",'RPT3'!$J309)</f>
        <v>0</v>
      </c>
      <c r="N309" s="29">
        <f>IF('RPT4'!$J309="","",'RPT4'!$J309)</f>
        <v>0</v>
      </c>
    </row>
    <row r="310" spans="1:14" x14ac:dyDescent="0.35">
      <c r="A310" s="16" t="s">
        <v>305</v>
      </c>
      <c r="B310" s="2"/>
      <c r="C310" s="28">
        <f t="shared" si="17"/>
        <v>665.04691880941391</v>
      </c>
      <c r="D310" s="2"/>
      <c r="E310" s="4"/>
      <c r="F310" s="2"/>
      <c r="G310" s="28">
        <f t="shared" si="18"/>
        <v>665.04691880941391</v>
      </c>
      <c r="H310" s="2"/>
      <c r="I310" s="4"/>
      <c r="J310" s="2"/>
      <c r="K310" s="29">
        <f>IF('RPT1'!$J310="","",'RPT1'!$J310)</f>
        <v>665.04691880941391</v>
      </c>
      <c r="L310" s="29">
        <f>IF('RPT2'!$J310="","",'RPT2'!$J310)</f>
        <v>665.04691880941391</v>
      </c>
      <c r="M310" s="29">
        <f>IF('RPT3'!$J310="","",'RPT3'!$J310)</f>
        <v>665.04691880941391</v>
      </c>
      <c r="N310" s="29">
        <f>IF('RPT4'!$J310="","",'RPT4'!$J310)</f>
        <v>665.04691880941391</v>
      </c>
    </row>
    <row r="311" spans="1:14" x14ac:dyDescent="0.35">
      <c r="A311" s="16" t="s">
        <v>306</v>
      </c>
      <c r="B311" s="2"/>
      <c r="C311" s="28">
        <f t="shared" si="17"/>
        <v>0</v>
      </c>
      <c r="D311" s="2"/>
      <c r="E311" s="4"/>
      <c r="F311" s="2"/>
      <c r="G311" s="28">
        <f t="shared" si="18"/>
        <v>0</v>
      </c>
      <c r="H311" s="2"/>
      <c r="I311" s="4"/>
      <c r="J311" s="2"/>
      <c r="K311" s="29">
        <f>IF('RPT1'!$J311="","",'RPT1'!$J311)</f>
        <v>0</v>
      </c>
      <c r="L311" s="29">
        <f>IF('RPT2'!$J311="","",'RPT2'!$J311)</f>
        <v>0</v>
      </c>
      <c r="M311" s="29">
        <f>IF('RPT3'!$J311="","",'RPT3'!$J311)</f>
        <v>0</v>
      </c>
      <c r="N311" s="29">
        <f>IF('RPT4'!$J311="","",'RPT4'!$J311)</f>
        <v>0</v>
      </c>
    </row>
    <row r="312" spans="1:14" x14ac:dyDescent="0.35">
      <c r="A312" s="16" t="s">
        <v>307</v>
      </c>
      <c r="B312" s="2"/>
      <c r="C312" s="28">
        <f t="shared" si="17"/>
        <v>1052.840006510417</v>
      </c>
      <c r="D312" s="2"/>
      <c r="E312" s="4"/>
      <c r="F312" s="2"/>
      <c r="G312" s="28">
        <f t="shared" si="18"/>
        <v>1052.840006510417</v>
      </c>
      <c r="H312" s="2"/>
      <c r="I312" s="4"/>
      <c r="J312" s="2"/>
      <c r="K312" s="29">
        <f>IF('RPT1'!$J312="","",'RPT1'!$J312)</f>
        <v>1052.840006510417</v>
      </c>
      <c r="L312" s="29">
        <f>IF('RPT2'!$J312="","",'RPT2'!$J312)</f>
        <v>1052.840006510417</v>
      </c>
      <c r="M312" s="29">
        <f>IF('RPT3'!$J312="","",'RPT3'!$J312)</f>
        <v>1052.840006510417</v>
      </c>
      <c r="N312" s="29">
        <f>IF('RPT4'!$J312="","",'RPT4'!$J312)</f>
        <v>1052.840006510417</v>
      </c>
    </row>
    <row r="313" spans="1:14" x14ac:dyDescent="0.35">
      <c r="A313" s="16" t="s">
        <v>308</v>
      </c>
      <c r="B313" s="2"/>
      <c r="C313" s="28">
        <f t="shared" si="17"/>
        <v>0</v>
      </c>
      <c r="D313" s="2"/>
      <c r="E313" s="4"/>
      <c r="F313" s="2"/>
      <c r="G313" s="28">
        <f t="shared" si="18"/>
        <v>0</v>
      </c>
      <c r="H313" s="2"/>
      <c r="I313" s="4"/>
      <c r="J313" s="2"/>
      <c r="K313" s="29">
        <f>IF('RPT1'!$J313="","",'RPT1'!$J313)</f>
        <v>0</v>
      </c>
      <c r="L313" s="29">
        <f>IF('RPT2'!$J313="","",'RPT2'!$J313)</f>
        <v>0</v>
      </c>
      <c r="M313" s="29">
        <f>IF('RPT3'!$J313="","",'RPT3'!$J313)</f>
        <v>0</v>
      </c>
      <c r="N313" s="29">
        <f>IF('RPT4'!$J313="","",'RPT4'!$J313)</f>
        <v>0</v>
      </c>
    </row>
    <row r="314" spans="1:14" x14ac:dyDescent="0.35">
      <c r="A314" s="16" t="s">
        <v>309</v>
      </c>
      <c r="B314" s="2"/>
      <c r="C314" s="28">
        <f t="shared" si="17"/>
        <v>26030.743847656249</v>
      </c>
      <c r="D314" s="2"/>
      <c r="E314" s="4"/>
      <c r="F314" s="2"/>
      <c r="G314" s="28">
        <f t="shared" si="18"/>
        <v>26030.743847656249</v>
      </c>
      <c r="H314" s="2"/>
      <c r="I314" s="4"/>
      <c r="J314" s="2"/>
      <c r="K314" s="29">
        <f>IF('RPT1'!$J314="","",'RPT1'!$J314)</f>
        <v>26030.743847656249</v>
      </c>
      <c r="L314" s="29">
        <f>IF('RPT2'!$J314="","",'RPT2'!$J314)</f>
        <v>26030.743847656249</v>
      </c>
      <c r="M314" s="29">
        <f>IF('RPT3'!$J314="","",'RPT3'!$J314)</f>
        <v>26030.743847656249</v>
      </c>
      <c r="N314" s="29">
        <f>IF('RPT4'!$J314="","",'RPT4'!$J314)</f>
        <v>26030.743847656249</v>
      </c>
    </row>
    <row r="315" spans="1:14" x14ac:dyDescent="0.35">
      <c r="A315" s="16" t="s">
        <v>310</v>
      </c>
      <c r="B315" s="2"/>
      <c r="C315" s="28">
        <f t="shared" si="17"/>
        <v>0</v>
      </c>
      <c r="D315" s="2"/>
      <c r="E315" s="4"/>
      <c r="F315" s="2"/>
      <c r="G315" s="28">
        <f t="shared" si="18"/>
        <v>0</v>
      </c>
      <c r="H315" s="2"/>
      <c r="I315" s="4"/>
      <c r="J315" s="2"/>
      <c r="K315" s="29">
        <f>IF('RPT1'!$J315="","",'RPT1'!$J315)</f>
        <v>0</v>
      </c>
      <c r="L315" s="29">
        <f>IF('RPT2'!$J315="","",'RPT2'!$J315)</f>
        <v>0</v>
      </c>
      <c r="M315" s="29">
        <f>IF('RPT3'!$J315="","",'RPT3'!$J315)</f>
        <v>0</v>
      </c>
      <c r="N315" s="29">
        <f>IF('RPT4'!$J315="","",'RPT4'!$J315)</f>
        <v>0</v>
      </c>
    </row>
    <row r="316" spans="1:14" x14ac:dyDescent="0.35">
      <c r="A316" s="16" t="s">
        <v>311</v>
      </c>
      <c r="B316" s="2"/>
      <c r="C316" s="28">
        <f t="shared" si="17"/>
        <v>1155.0252459333351</v>
      </c>
      <c r="D316" s="2"/>
      <c r="E316" s="4"/>
      <c r="F316" s="2"/>
      <c r="G316" s="28">
        <f t="shared" si="18"/>
        <v>1155.0252459333351</v>
      </c>
      <c r="H316" s="2"/>
      <c r="I316" s="4"/>
      <c r="J316" s="2"/>
      <c r="K316" s="29">
        <f>IF('RPT1'!$J316="","",'RPT1'!$J316)</f>
        <v>1155.0252459333351</v>
      </c>
      <c r="L316" s="29">
        <f>IF('RPT2'!$J316="","",'RPT2'!$J316)</f>
        <v>1155.0252459333351</v>
      </c>
      <c r="M316" s="29">
        <f>IF('RPT3'!$J316="","",'RPT3'!$J316)</f>
        <v>1155.0252459333351</v>
      </c>
      <c r="N316" s="29">
        <f>IF('RPT4'!$J316="","",'RPT4'!$J316)</f>
        <v>1155.0252459333351</v>
      </c>
    </row>
    <row r="317" spans="1:14" x14ac:dyDescent="0.35">
      <c r="A317" s="16" t="s">
        <v>312</v>
      </c>
      <c r="B317" s="2"/>
      <c r="C317" s="28">
        <f t="shared" si="17"/>
        <v>0</v>
      </c>
      <c r="D317" s="2"/>
      <c r="E317" s="4"/>
      <c r="F317" s="2"/>
      <c r="G317" s="28">
        <f t="shared" si="18"/>
        <v>0</v>
      </c>
      <c r="H317" s="2"/>
      <c r="I317" s="4"/>
      <c r="J317" s="2"/>
      <c r="K317" s="29">
        <f>IF('RPT1'!$J317="","",'RPT1'!$J317)</f>
        <v>0</v>
      </c>
      <c r="L317" s="29">
        <f>IF('RPT2'!$J317="","",'RPT2'!$J317)</f>
        <v>0</v>
      </c>
      <c r="M317" s="29">
        <f>IF('RPT3'!$J317="","",'RPT3'!$J317)</f>
        <v>0</v>
      </c>
      <c r="N317" s="29">
        <f>IF('RPT4'!$J317="","",'RPT4'!$J317)</f>
        <v>0</v>
      </c>
    </row>
    <row r="318" spans="1:14" x14ac:dyDescent="0.35">
      <c r="A318" s="16" t="s">
        <v>313</v>
      </c>
      <c r="B318" s="2"/>
      <c r="C318" s="28">
        <f t="shared" si="17"/>
        <v>633.95988930761814</v>
      </c>
      <c r="D318" s="2"/>
      <c r="E318" s="4"/>
      <c r="F318" s="2"/>
      <c r="G318" s="28">
        <f t="shared" si="18"/>
        <v>633.95988930761814</v>
      </c>
      <c r="H318" s="2"/>
      <c r="I318" s="4"/>
      <c r="J318" s="2"/>
      <c r="K318" s="29">
        <f>IF('RPT1'!$J318="","",'RPT1'!$J318)</f>
        <v>633.95988930761814</v>
      </c>
      <c r="L318" s="29">
        <f>IF('RPT2'!$J318="","",'RPT2'!$J318)</f>
        <v>633.95988930761814</v>
      </c>
      <c r="M318" s="29">
        <f>IF('RPT3'!$J318="","",'RPT3'!$J318)</f>
        <v>633.95988930761814</v>
      </c>
      <c r="N318" s="29">
        <f>IF('RPT4'!$J318="","",'RPT4'!$J318)</f>
        <v>633.95988930761814</v>
      </c>
    </row>
    <row r="319" spans="1:14" x14ac:dyDescent="0.35">
      <c r="A319" s="16" t="s">
        <v>314</v>
      </c>
      <c r="B319" s="2"/>
      <c r="C319" s="28">
        <f t="shared" si="17"/>
        <v>0</v>
      </c>
      <c r="D319" s="2"/>
      <c r="E319" s="4"/>
      <c r="F319" s="2"/>
      <c r="G319" s="28">
        <f t="shared" si="18"/>
        <v>0</v>
      </c>
      <c r="H319" s="2"/>
      <c r="I319" s="4"/>
      <c r="J319" s="2"/>
      <c r="K319" s="29">
        <f>IF('RPT1'!$J319="","",'RPT1'!$J319)</f>
        <v>0</v>
      </c>
      <c r="L319" s="29">
        <f>IF('RPT2'!$J319="","",'RPT2'!$J319)</f>
        <v>0</v>
      </c>
      <c r="M319" s="29">
        <f>IF('RPT3'!$J319="","",'RPT3'!$J319)</f>
        <v>0</v>
      </c>
      <c r="N319" s="29">
        <f>IF('RPT4'!$J319="","",'RPT4'!$J319)</f>
        <v>0</v>
      </c>
    </row>
    <row r="320" spans="1:14" x14ac:dyDescent="0.35">
      <c r="A320" s="16" t="s">
        <v>315</v>
      </c>
      <c r="B320" s="2"/>
      <c r="C320" s="28">
        <f t="shared" si="17"/>
        <v>1807.9377882269362</v>
      </c>
      <c r="D320" s="2"/>
      <c r="E320" s="4"/>
      <c r="F320" s="2"/>
      <c r="G320" s="28">
        <f t="shared" si="18"/>
        <v>1807.9377882269362</v>
      </c>
      <c r="H320" s="2"/>
      <c r="I320" s="4"/>
      <c r="J320" s="2"/>
      <c r="K320" s="29">
        <f>IF('RPT1'!$J320="","",'RPT1'!$J320)</f>
        <v>1807.9377882269359</v>
      </c>
      <c r="L320" s="29">
        <f>IF('RPT2'!$J320="","",'RPT2'!$J320)</f>
        <v>1807.9377882269359</v>
      </c>
      <c r="M320" s="29">
        <f>IF('RPT3'!$J320="","",'RPT3'!$J320)</f>
        <v>1807.9377882269359</v>
      </c>
      <c r="N320" s="29">
        <f>IF('RPT4'!$J320="","",'RPT4'!$J320)</f>
        <v>1807.9377882269359</v>
      </c>
    </row>
    <row r="321" spans="1:14" x14ac:dyDescent="0.35">
      <c r="A321" s="16" t="s">
        <v>316</v>
      </c>
      <c r="B321" s="2"/>
      <c r="C321" s="28">
        <f t="shared" si="17"/>
        <v>0</v>
      </c>
      <c r="D321" s="2"/>
      <c r="E321" s="4"/>
      <c r="F321" s="2"/>
      <c r="G321" s="28">
        <f t="shared" si="18"/>
        <v>0</v>
      </c>
      <c r="H321" s="2"/>
      <c r="I321" s="4"/>
      <c r="J321" s="2"/>
      <c r="K321" s="29">
        <f>IF('RPT1'!$J321="","",'RPT1'!$J321)</f>
        <v>0</v>
      </c>
      <c r="L321" s="29">
        <f>IF('RPT2'!$J321="","",'RPT2'!$J321)</f>
        <v>0</v>
      </c>
      <c r="M321" s="29">
        <f>IF('RPT3'!$J321="","",'RPT3'!$J321)</f>
        <v>0</v>
      </c>
      <c r="N321" s="29">
        <f>IF('RPT4'!$J321="","",'RPT4'!$J321)</f>
        <v>0</v>
      </c>
    </row>
    <row r="322" spans="1:14" x14ac:dyDescent="0.35">
      <c r="A322" s="16" t="s">
        <v>317</v>
      </c>
      <c r="B322" s="2"/>
      <c r="C322" s="28">
        <f t="shared" si="17"/>
        <v>20754.052820542282</v>
      </c>
      <c r="D322" s="2"/>
      <c r="E322" s="4"/>
      <c r="F322" s="2"/>
      <c r="G322" s="28">
        <f t="shared" si="18"/>
        <v>20754.052820542282</v>
      </c>
      <c r="H322" s="2"/>
      <c r="I322" s="4"/>
      <c r="J322" s="2"/>
      <c r="K322" s="29">
        <f>IF('RPT1'!$J322="","",'RPT1'!$J322)</f>
        <v>20754.052820542282</v>
      </c>
      <c r="L322" s="29">
        <f>IF('RPT2'!$J322="","",'RPT2'!$J322)</f>
        <v>20754.052820542282</v>
      </c>
      <c r="M322" s="29">
        <f>IF('RPT3'!$J322="","",'RPT3'!$J322)</f>
        <v>20754.052820542282</v>
      </c>
      <c r="N322" s="29">
        <f>IF('RPT4'!$J322="","",'RPT4'!$J322)</f>
        <v>20754.052820542282</v>
      </c>
    </row>
    <row r="323" spans="1:14" x14ac:dyDescent="0.35">
      <c r="A323" s="16" t="s">
        <v>318</v>
      </c>
      <c r="B323" s="2"/>
      <c r="C323" s="28">
        <f t="shared" si="17"/>
        <v>0</v>
      </c>
      <c r="D323" s="2"/>
      <c r="E323" s="4"/>
      <c r="F323" s="2"/>
      <c r="G323" s="28">
        <f t="shared" si="18"/>
        <v>0</v>
      </c>
      <c r="H323" s="2"/>
      <c r="I323" s="4"/>
      <c r="J323" s="2"/>
      <c r="K323" s="29">
        <f>IF('RPT1'!$J323="","",'RPT1'!$J323)</f>
        <v>0</v>
      </c>
      <c r="L323" s="29">
        <f>IF('RPT2'!$J323="","",'RPT2'!$J323)</f>
        <v>0</v>
      </c>
      <c r="M323" s="29">
        <f>IF('RPT3'!$J323="","",'RPT3'!$J323)</f>
        <v>0</v>
      </c>
      <c r="N323" s="29">
        <f>IF('RPT4'!$J323="","",'RPT4'!$J323)</f>
        <v>0</v>
      </c>
    </row>
    <row r="324" spans="1:14" x14ac:dyDescent="0.35">
      <c r="A324" s="24"/>
      <c r="B324" s="2"/>
      <c r="C324" s="14"/>
      <c r="D324" s="2"/>
      <c r="E324" s="4"/>
      <c r="F324" s="2"/>
      <c r="G324" s="14"/>
      <c r="H324" s="2"/>
      <c r="I324" s="4"/>
      <c r="J324" s="2"/>
      <c r="K324" s="25"/>
      <c r="L324" s="25"/>
      <c r="M324" s="25"/>
      <c r="N324" s="25"/>
    </row>
    <row r="325" spans="1:14" x14ac:dyDescent="0.35">
      <c r="A325" s="12" t="s">
        <v>319</v>
      </c>
      <c r="B325" s="2"/>
      <c r="C325" s="14"/>
      <c r="D325" s="2"/>
      <c r="E325" s="4"/>
      <c r="F325" s="2"/>
      <c r="G325" s="14"/>
      <c r="H325" s="2"/>
      <c r="I325" s="4"/>
      <c r="J325" s="2"/>
      <c r="K325" s="25" t="str">
        <f>IF('RPT1'!$J325="","",'RPT1'!$J325)</f>
        <v/>
      </c>
      <c r="L325" s="25" t="str">
        <f>IF('RPT2'!$J325="","",'RPT2'!$J325)</f>
        <v/>
      </c>
      <c r="M325" s="25" t="str">
        <f>IF('RPT3'!$J325="","",'RPT3'!$J325)</f>
        <v/>
      </c>
      <c r="N325" s="25" t="str">
        <f>IF('RPT4'!$J325="","",'RPT4'!$J325)</f>
        <v/>
      </c>
    </row>
    <row r="326" spans="1:14" x14ac:dyDescent="0.35">
      <c r="A326" s="16" t="s">
        <v>320</v>
      </c>
      <c r="B326" s="2"/>
      <c r="C326" s="28">
        <f t="shared" ref="C326:C349" si="19">IF(Combine="Y", $G326, 0)</f>
        <v>1140.5913033353365</v>
      </c>
      <c r="D326" s="2"/>
      <c r="E326" s="4"/>
      <c r="F326" s="2"/>
      <c r="G326" s="28">
        <f t="shared" ref="G326:G349" si="20">IF(G274=0,0,SUMPRODUCT($K274:$N274,$K326:$N326)/G274)</f>
        <v>1140.5913033353365</v>
      </c>
      <c r="H326" s="2"/>
      <c r="I326" s="4"/>
      <c r="J326" s="2"/>
      <c r="K326" s="29">
        <f>IF('RPT1'!$J326="","",'RPT1'!$J326)</f>
        <v>1203.2979933898571</v>
      </c>
      <c r="L326" s="29">
        <f>IF('RPT2'!$J326="","",'RPT2'!$J326)</f>
        <v>1203.2979933898571</v>
      </c>
      <c r="M326" s="29">
        <f>IF('RPT3'!$J326="","",'RPT3'!$J326)</f>
        <v>892.15792823383822</v>
      </c>
      <c r="N326" s="29">
        <f>IF('RPT4'!$J326="","",'RPT4'!$J326)</f>
        <v>1203.2979933898571</v>
      </c>
    </row>
    <row r="327" spans="1:14" x14ac:dyDescent="0.35">
      <c r="A327" s="16" t="s">
        <v>321</v>
      </c>
      <c r="B327" s="2"/>
      <c r="C327" s="28">
        <f t="shared" si="19"/>
        <v>0</v>
      </c>
      <c r="D327" s="2"/>
      <c r="E327" s="4"/>
      <c r="F327" s="2"/>
      <c r="G327" s="28">
        <f t="shared" si="20"/>
        <v>0</v>
      </c>
      <c r="H327" s="2"/>
      <c r="I327" s="4"/>
      <c r="J327" s="2"/>
      <c r="K327" s="29">
        <f>IF('RPT1'!$J327="","",'RPT1'!$J327)</f>
        <v>0</v>
      </c>
      <c r="L327" s="29">
        <f>IF('RPT2'!$J327="","",'RPT2'!$J327)</f>
        <v>0</v>
      </c>
      <c r="M327" s="29">
        <f>IF('RPT3'!$J327="","",'RPT3'!$J327)</f>
        <v>0</v>
      </c>
      <c r="N327" s="29">
        <f>IF('RPT4'!$J327="","",'RPT4'!$J327)</f>
        <v>0</v>
      </c>
    </row>
    <row r="328" spans="1:14" x14ac:dyDescent="0.35">
      <c r="A328" s="16" t="s">
        <v>322</v>
      </c>
      <c r="B328" s="2"/>
      <c r="C328" s="28">
        <f t="shared" si="19"/>
        <v>609.71585434623387</v>
      </c>
      <c r="D328" s="2"/>
      <c r="E328" s="4"/>
      <c r="F328" s="2"/>
      <c r="G328" s="28">
        <f t="shared" si="20"/>
        <v>609.71585434623387</v>
      </c>
      <c r="H328" s="2"/>
      <c r="I328" s="4"/>
      <c r="J328" s="2"/>
      <c r="K328" s="29">
        <f>IF('RPT1'!$J328="","",'RPT1'!$J328)</f>
        <v>623.59754614035285</v>
      </c>
      <c r="L328" s="29">
        <f>IF('RPT2'!$J328="","",'RPT2'!$J328)</f>
        <v>623.59754614035285</v>
      </c>
      <c r="M328" s="29">
        <f>IF('RPT3'!$J328="","",'RPT3'!$J328)</f>
        <v>539.57678001805357</v>
      </c>
      <c r="N328" s="29">
        <f>IF('RPT4'!$J328="","",'RPT4'!$J328)</f>
        <v>623.59754614035285</v>
      </c>
    </row>
    <row r="329" spans="1:14" x14ac:dyDescent="0.35">
      <c r="A329" s="16" t="s">
        <v>323</v>
      </c>
      <c r="B329" s="2"/>
      <c r="C329" s="28">
        <f t="shared" si="19"/>
        <v>0</v>
      </c>
      <c r="D329" s="2"/>
      <c r="E329" s="4"/>
      <c r="F329" s="2"/>
      <c r="G329" s="28">
        <f t="shared" si="20"/>
        <v>0</v>
      </c>
      <c r="H329" s="2"/>
      <c r="I329" s="4"/>
      <c r="J329" s="2"/>
      <c r="K329" s="29">
        <f>IF('RPT1'!$J329="","",'RPT1'!$J329)</f>
        <v>0</v>
      </c>
      <c r="L329" s="29">
        <f>IF('RPT2'!$J329="","",'RPT2'!$J329)</f>
        <v>0</v>
      </c>
      <c r="M329" s="29">
        <f>IF('RPT3'!$J329="","",'RPT3'!$J329)</f>
        <v>0</v>
      </c>
      <c r="N329" s="29">
        <f>IF('RPT4'!$J329="","",'RPT4'!$J329)</f>
        <v>0</v>
      </c>
    </row>
    <row r="330" spans="1:14" x14ac:dyDescent="0.35">
      <c r="A330" s="16" t="s">
        <v>324</v>
      </c>
      <c r="B330" s="2"/>
      <c r="C330" s="28">
        <f t="shared" si="19"/>
        <v>1829.1397074497108</v>
      </c>
      <c r="D330" s="2"/>
      <c r="E330" s="4"/>
      <c r="F330" s="2"/>
      <c r="G330" s="28">
        <f t="shared" si="20"/>
        <v>1829.1397074497108</v>
      </c>
      <c r="H330" s="2"/>
      <c r="I330" s="4"/>
      <c r="J330" s="2"/>
      <c r="K330" s="29">
        <f>IF('RPT1'!$J330="","",'RPT1'!$J330)</f>
        <v>1870.0006196008969</v>
      </c>
      <c r="L330" s="29">
        <f>IF('RPT2'!$J330="","",'RPT2'!$J330)</f>
        <v>1870.0006196008969</v>
      </c>
      <c r="M330" s="29">
        <f>IF('RPT3'!$J330="","",'RPT3'!$J330)</f>
        <v>1630.2832683139379</v>
      </c>
      <c r="N330" s="29">
        <f>IF('RPT4'!$J330="","",'RPT4'!$J330)</f>
        <v>1870.0006196008969</v>
      </c>
    </row>
    <row r="331" spans="1:14" x14ac:dyDescent="0.35">
      <c r="A331" s="16" t="s">
        <v>325</v>
      </c>
      <c r="B331" s="2"/>
      <c r="C331" s="28">
        <f t="shared" si="19"/>
        <v>0</v>
      </c>
      <c r="D331" s="2"/>
      <c r="E331" s="4"/>
      <c r="F331" s="2"/>
      <c r="G331" s="28">
        <f t="shared" si="20"/>
        <v>0</v>
      </c>
      <c r="H331" s="2"/>
      <c r="I331" s="4"/>
      <c r="J331" s="2"/>
      <c r="K331" s="29">
        <f>IF('RPT1'!$J331="","",'RPT1'!$J331)</f>
        <v>0</v>
      </c>
      <c r="L331" s="29">
        <f>IF('RPT2'!$J331="","",'RPT2'!$J331)</f>
        <v>0</v>
      </c>
      <c r="M331" s="29">
        <f>IF('RPT3'!$J331="","",'RPT3'!$J331)</f>
        <v>0</v>
      </c>
      <c r="N331" s="29">
        <f>IF('RPT4'!$J331="","",'RPT4'!$J331)</f>
        <v>0</v>
      </c>
    </row>
    <row r="332" spans="1:14" x14ac:dyDescent="0.35">
      <c r="A332" s="16" t="s">
        <v>326</v>
      </c>
      <c r="B332" s="2"/>
      <c r="C332" s="28">
        <f t="shared" si="19"/>
        <v>12597.105784696694</v>
      </c>
      <c r="D332" s="2"/>
      <c r="E332" s="4"/>
      <c r="F332" s="2"/>
      <c r="G332" s="28">
        <f t="shared" si="20"/>
        <v>12597.105784696694</v>
      </c>
      <c r="H332" s="2"/>
      <c r="I332" s="4"/>
      <c r="J332" s="2"/>
      <c r="K332" s="29">
        <f>IF('RPT1'!$J332="","",'RPT1'!$J332)</f>
        <v>13215.92278180804</v>
      </c>
      <c r="L332" s="29">
        <f>IF('RPT2'!$J332="","",'RPT2'!$J332)</f>
        <v>13914.25725446429</v>
      </c>
      <c r="M332" s="29">
        <f>IF('RPT3'!$J332="","",'RPT3'!$J332)</f>
        <v>5777.6798828125002</v>
      </c>
      <c r="N332" s="29">
        <f>IF('RPT4'!$J332="","",'RPT4'!$J332)</f>
        <v>14623.809692382811</v>
      </c>
    </row>
    <row r="333" spans="1:14" x14ac:dyDescent="0.35">
      <c r="A333" s="16" t="s">
        <v>327</v>
      </c>
      <c r="B333" s="2"/>
      <c r="C333" s="28">
        <f t="shared" si="19"/>
        <v>0</v>
      </c>
      <c r="D333" s="2"/>
      <c r="E333" s="4"/>
      <c r="F333" s="2"/>
      <c r="G333" s="28">
        <f t="shared" si="20"/>
        <v>0</v>
      </c>
      <c r="H333" s="2"/>
      <c r="I333" s="4"/>
      <c r="J333" s="2"/>
      <c r="K333" s="29">
        <f>IF('RPT1'!$J333="","",'RPT1'!$J333)</f>
        <v>0</v>
      </c>
      <c r="L333" s="29">
        <f>IF('RPT2'!$J333="","",'RPT2'!$J333)</f>
        <v>0</v>
      </c>
      <c r="M333" s="29">
        <f>IF('RPT3'!$J333="","",'RPT3'!$J333)</f>
        <v>0</v>
      </c>
      <c r="N333" s="29">
        <f>IF('RPT4'!$J333="","",'RPT4'!$J333)</f>
        <v>0</v>
      </c>
    </row>
    <row r="334" spans="1:14" x14ac:dyDescent="0.35">
      <c r="A334" s="16" t="s">
        <v>328</v>
      </c>
      <c r="B334" s="2"/>
      <c r="C334" s="28">
        <f t="shared" si="19"/>
        <v>737.4659804344177</v>
      </c>
      <c r="D334" s="2"/>
      <c r="E334" s="4"/>
      <c r="F334" s="2"/>
      <c r="G334" s="28">
        <f t="shared" si="20"/>
        <v>737.4659804344177</v>
      </c>
      <c r="H334" s="2"/>
      <c r="I334" s="4"/>
      <c r="J334" s="2"/>
      <c r="K334" s="29">
        <f>IF('RPT1'!$J334="","",'RPT1'!$J334)</f>
        <v>737.4659804344177</v>
      </c>
      <c r="L334" s="29">
        <f>IF('RPT2'!$J334="","",'RPT2'!$J334)</f>
        <v>737.4659804344177</v>
      </c>
      <c r="M334" s="29">
        <f>IF('RPT3'!$J334="","",'RPT3'!$J334)</f>
        <v>737.4659804344177</v>
      </c>
      <c r="N334" s="29">
        <f>IF('RPT4'!$J334="","",'RPT4'!$J334)</f>
        <v>737.4659804344177</v>
      </c>
    </row>
    <row r="335" spans="1:14" x14ac:dyDescent="0.35">
      <c r="A335" s="16" t="s">
        <v>329</v>
      </c>
      <c r="B335" s="2"/>
      <c r="C335" s="28">
        <f t="shared" si="19"/>
        <v>0</v>
      </c>
      <c r="D335" s="2"/>
      <c r="E335" s="4"/>
      <c r="F335" s="2"/>
      <c r="G335" s="28">
        <f t="shared" si="20"/>
        <v>0</v>
      </c>
      <c r="H335" s="2"/>
      <c r="I335" s="4"/>
      <c r="J335" s="2"/>
      <c r="K335" s="29">
        <f>IF('RPT1'!$J335="","",'RPT1'!$J335)</f>
        <v>0</v>
      </c>
      <c r="L335" s="29">
        <f>IF('RPT2'!$J335="","",'RPT2'!$J335)</f>
        <v>0</v>
      </c>
      <c r="M335" s="29">
        <f>IF('RPT3'!$J335="","",'RPT3'!$J335)</f>
        <v>0</v>
      </c>
      <c r="N335" s="29">
        <f>IF('RPT4'!$J335="","",'RPT4'!$J335)</f>
        <v>0</v>
      </c>
    </row>
    <row r="336" spans="1:14" x14ac:dyDescent="0.35">
      <c r="A336" s="16" t="s">
        <v>330</v>
      </c>
      <c r="B336" s="2"/>
      <c r="C336" s="28">
        <f t="shared" si="19"/>
        <v>665.04691880941391</v>
      </c>
      <c r="D336" s="2"/>
      <c r="E336" s="4"/>
      <c r="F336" s="2"/>
      <c r="G336" s="28">
        <f t="shared" si="20"/>
        <v>665.04691880941391</v>
      </c>
      <c r="H336" s="2"/>
      <c r="I336" s="4"/>
      <c r="J336" s="2"/>
      <c r="K336" s="29">
        <f>IF('RPT1'!$J336="","",'RPT1'!$J336)</f>
        <v>665.04691880941391</v>
      </c>
      <c r="L336" s="29">
        <f>IF('RPT2'!$J336="","",'RPT2'!$J336)</f>
        <v>665.04691880941391</v>
      </c>
      <c r="M336" s="29">
        <f>IF('RPT3'!$J336="","",'RPT3'!$J336)</f>
        <v>665.04691880941391</v>
      </c>
      <c r="N336" s="29">
        <f>IF('RPT4'!$J336="","",'RPT4'!$J336)</f>
        <v>665.04691880941391</v>
      </c>
    </row>
    <row r="337" spans="1:14" x14ac:dyDescent="0.35">
      <c r="A337" s="16" t="s">
        <v>331</v>
      </c>
      <c r="B337" s="2"/>
      <c r="C337" s="28">
        <f t="shared" si="19"/>
        <v>0</v>
      </c>
      <c r="D337" s="2"/>
      <c r="E337" s="4"/>
      <c r="F337" s="2"/>
      <c r="G337" s="28">
        <f t="shared" si="20"/>
        <v>0</v>
      </c>
      <c r="H337" s="2"/>
      <c r="I337" s="4"/>
      <c r="J337" s="2"/>
      <c r="K337" s="29">
        <f>IF('RPT1'!$J337="","",'RPT1'!$J337)</f>
        <v>0</v>
      </c>
      <c r="L337" s="29">
        <f>IF('RPT2'!$J337="","",'RPT2'!$J337)</f>
        <v>0</v>
      </c>
      <c r="M337" s="29">
        <f>IF('RPT3'!$J337="","",'RPT3'!$J337)</f>
        <v>0</v>
      </c>
      <c r="N337" s="29">
        <f>IF('RPT4'!$J337="","",'RPT4'!$J337)</f>
        <v>0</v>
      </c>
    </row>
    <row r="338" spans="1:14" x14ac:dyDescent="0.35">
      <c r="A338" s="16" t="s">
        <v>332</v>
      </c>
      <c r="B338" s="2"/>
      <c r="C338" s="28">
        <f t="shared" si="19"/>
        <v>1052.840006510417</v>
      </c>
      <c r="D338" s="2"/>
      <c r="E338" s="4"/>
      <c r="F338" s="2"/>
      <c r="G338" s="28">
        <f t="shared" si="20"/>
        <v>1052.840006510417</v>
      </c>
      <c r="H338" s="2"/>
      <c r="I338" s="4"/>
      <c r="J338" s="2"/>
      <c r="K338" s="29">
        <f>IF('RPT1'!$J338="","",'RPT1'!$J338)</f>
        <v>1052.840006510417</v>
      </c>
      <c r="L338" s="29">
        <f>IF('RPT2'!$J338="","",'RPT2'!$J338)</f>
        <v>1052.840006510417</v>
      </c>
      <c r="M338" s="29">
        <f>IF('RPT3'!$J338="","",'RPT3'!$J338)</f>
        <v>1052.840006510417</v>
      </c>
      <c r="N338" s="29">
        <f>IF('RPT4'!$J338="","",'RPT4'!$J338)</f>
        <v>1052.840006510417</v>
      </c>
    </row>
    <row r="339" spans="1:14" x14ac:dyDescent="0.35">
      <c r="A339" s="16" t="s">
        <v>333</v>
      </c>
      <c r="B339" s="2"/>
      <c r="C339" s="28">
        <f t="shared" si="19"/>
        <v>0</v>
      </c>
      <c r="D339" s="2"/>
      <c r="E339" s="4"/>
      <c r="F339" s="2"/>
      <c r="G339" s="28">
        <f t="shared" si="20"/>
        <v>0</v>
      </c>
      <c r="H339" s="2"/>
      <c r="I339" s="4"/>
      <c r="J339" s="2"/>
      <c r="K339" s="29">
        <f>IF('RPT1'!$J339="","",'RPT1'!$J339)</f>
        <v>0</v>
      </c>
      <c r="L339" s="29">
        <f>IF('RPT2'!$J339="","",'RPT2'!$J339)</f>
        <v>0</v>
      </c>
      <c r="M339" s="29">
        <f>IF('RPT3'!$J339="","",'RPT3'!$J339)</f>
        <v>0</v>
      </c>
      <c r="N339" s="29">
        <f>IF('RPT4'!$J339="","",'RPT4'!$J339)</f>
        <v>0</v>
      </c>
    </row>
    <row r="340" spans="1:14" x14ac:dyDescent="0.35">
      <c r="A340" s="16" t="s">
        <v>334</v>
      </c>
      <c r="B340" s="2"/>
      <c r="C340" s="28">
        <f t="shared" si="19"/>
        <v>27886.599800441578</v>
      </c>
      <c r="D340" s="2"/>
      <c r="E340" s="4"/>
      <c r="F340" s="2"/>
      <c r="G340" s="28">
        <f t="shared" si="20"/>
        <v>27886.599800441578</v>
      </c>
      <c r="H340" s="2"/>
      <c r="I340" s="4"/>
      <c r="J340" s="2"/>
      <c r="K340" s="29">
        <f>IF('RPT1'!$J340="","",'RPT1'!$J340)</f>
        <v>26030.743847656249</v>
      </c>
      <c r="L340" s="29">
        <f>IF('RPT2'!$J340="","",'RPT2'!$J340)</f>
        <v>28672.990939670141</v>
      </c>
      <c r="M340" s="29">
        <f>IF('RPT3'!$J340="","",'RPT3'!$J340)</f>
        <v>2250.52001953125</v>
      </c>
      <c r="N340" s="29">
        <f>IF('RPT4'!$J340="","",'RPT4'!$J340)</f>
        <v>40258.972819010407</v>
      </c>
    </row>
    <row r="341" spans="1:14" x14ac:dyDescent="0.35">
      <c r="A341" s="16" t="s">
        <v>335</v>
      </c>
      <c r="B341" s="2"/>
      <c r="C341" s="28">
        <f t="shared" si="19"/>
        <v>0</v>
      </c>
      <c r="D341" s="2"/>
      <c r="E341" s="4"/>
      <c r="F341" s="2"/>
      <c r="G341" s="28">
        <f t="shared" si="20"/>
        <v>0</v>
      </c>
      <c r="H341" s="2"/>
      <c r="I341" s="4"/>
      <c r="J341" s="2"/>
      <c r="K341" s="29">
        <f>IF('RPT1'!$J341="","",'RPT1'!$J341)</f>
        <v>0</v>
      </c>
      <c r="L341" s="29">
        <f>IF('RPT2'!$J341="","",'RPT2'!$J341)</f>
        <v>0</v>
      </c>
      <c r="M341" s="29">
        <f>IF('RPT3'!$J341="","",'RPT3'!$J341)</f>
        <v>0</v>
      </c>
      <c r="N341" s="29">
        <f>IF('RPT4'!$J341="","",'RPT4'!$J341)</f>
        <v>0</v>
      </c>
    </row>
    <row r="342" spans="1:14" x14ac:dyDescent="0.35">
      <c r="A342" s="16" t="s">
        <v>336</v>
      </c>
      <c r="B342" s="2"/>
      <c r="C342" s="28">
        <f t="shared" si="19"/>
        <v>1096.4131857571535</v>
      </c>
      <c r="D342" s="2"/>
      <c r="E342" s="4"/>
      <c r="F342" s="2"/>
      <c r="G342" s="28">
        <f t="shared" si="20"/>
        <v>1096.4131857571535</v>
      </c>
      <c r="H342" s="2"/>
      <c r="I342" s="4"/>
      <c r="J342" s="2"/>
      <c r="K342" s="29">
        <f>IF('RPT1'!$J342="","",'RPT1'!$J342)</f>
        <v>1155.0252459333351</v>
      </c>
      <c r="L342" s="29">
        <f>IF('RPT2'!$J342="","",'RPT2'!$J342)</f>
        <v>1155.0252459333351</v>
      </c>
      <c r="M342" s="29">
        <f>IF('RPT3'!$J342="","",'RPT3'!$J342)</f>
        <v>871.66892852530577</v>
      </c>
      <c r="N342" s="29">
        <f>IF('RPT4'!$J342="","",'RPT4'!$J342)</f>
        <v>1155.0252459333351</v>
      </c>
    </row>
    <row r="343" spans="1:14" x14ac:dyDescent="0.35">
      <c r="A343" s="16" t="s">
        <v>337</v>
      </c>
      <c r="B343" s="2"/>
      <c r="C343" s="28">
        <f t="shared" si="19"/>
        <v>0</v>
      </c>
      <c r="D343" s="2"/>
      <c r="E343" s="4"/>
      <c r="F343" s="2"/>
      <c r="G343" s="28">
        <f t="shared" si="20"/>
        <v>0</v>
      </c>
      <c r="H343" s="2"/>
      <c r="I343" s="4"/>
      <c r="J343" s="2"/>
      <c r="K343" s="29">
        <f>IF('RPT1'!$J343="","",'RPT1'!$J343)</f>
        <v>0</v>
      </c>
      <c r="L343" s="29">
        <f>IF('RPT2'!$J343="","",'RPT2'!$J343)</f>
        <v>0</v>
      </c>
      <c r="M343" s="29">
        <f>IF('RPT3'!$J343="","",'RPT3'!$J343)</f>
        <v>0</v>
      </c>
      <c r="N343" s="29">
        <f>IF('RPT4'!$J343="","",'RPT4'!$J343)</f>
        <v>0</v>
      </c>
    </row>
    <row r="344" spans="1:14" x14ac:dyDescent="0.35">
      <c r="A344" s="16" t="s">
        <v>338</v>
      </c>
      <c r="B344" s="2"/>
      <c r="C344" s="28">
        <f t="shared" si="19"/>
        <v>624.68916565973711</v>
      </c>
      <c r="D344" s="2"/>
      <c r="E344" s="4"/>
      <c r="F344" s="2"/>
      <c r="G344" s="28">
        <f t="shared" si="20"/>
        <v>624.68916565973711</v>
      </c>
      <c r="H344" s="2"/>
      <c r="I344" s="4"/>
      <c r="J344" s="2"/>
      <c r="K344" s="29">
        <f>IF('RPT1'!$J344="","",'RPT1'!$J344)</f>
        <v>633.95988930761814</v>
      </c>
      <c r="L344" s="29">
        <f>IF('RPT2'!$J344="","",'RPT2'!$J344)</f>
        <v>633.95988930761814</v>
      </c>
      <c r="M344" s="29">
        <f>IF('RPT3'!$J344="","",'RPT3'!$J344)</f>
        <v>584.68963890932923</v>
      </c>
      <c r="N344" s="29">
        <f>IF('RPT4'!$J344="","",'RPT4'!$J344)</f>
        <v>633.95988930761814</v>
      </c>
    </row>
    <row r="345" spans="1:14" x14ac:dyDescent="0.35">
      <c r="A345" s="16" t="s">
        <v>339</v>
      </c>
      <c r="B345" s="2"/>
      <c r="C345" s="28">
        <f t="shared" si="19"/>
        <v>0</v>
      </c>
      <c r="D345" s="2"/>
      <c r="E345" s="4"/>
      <c r="F345" s="2"/>
      <c r="G345" s="28">
        <f t="shared" si="20"/>
        <v>0</v>
      </c>
      <c r="H345" s="2"/>
      <c r="I345" s="4"/>
      <c r="J345" s="2"/>
      <c r="K345" s="29">
        <f>IF('RPT1'!$J345="","",'RPT1'!$J345)</f>
        <v>0</v>
      </c>
      <c r="L345" s="29">
        <f>IF('RPT2'!$J345="","",'RPT2'!$J345)</f>
        <v>0</v>
      </c>
      <c r="M345" s="29">
        <f>IF('RPT3'!$J345="","",'RPT3'!$J345)</f>
        <v>0</v>
      </c>
      <c r="N345" s="29">
        <f>IF('RPT4'!$J345="","",'RPT4'!$J345)</f>
        <v>0</v>
      </c>
    </row>
    <row r="346" spans="1:14" x14ac:dyDescent="0.35">
      <c r="A346" s="16" t="s">
        <v>340</v>
      </c>
      <c r="B346" s="2"/>
      <c r="C346" s="28">
        <f t="shared" si="19"/>
        <v>1764.4480657047691</v>
      </c>
      <c r="D346" s="2"/>
      <c r="E346" s="4"/>
      <c r="F346" s="2"/>
      <c r="G346" s="28">
        <f t="shared" si="20"/>
        <v>1764.4480657047691</v>
      </c>
      <c r="H346" s="2"/>
      <c r="I346" s="4"/>
      <c r="J346" s="2"/>
      <c r="K346" s="29">
        <f>IF('RPT1'!$J346="","",'RPT1'!$J346)</f>
        <v>1807.9377882269359</v>
      </c>
      <c r="L346" s="29">
        <f>IF('RPT2'!$J346="","",'RPT2'!$J346)</f>
        <v>1807.9377882269359</v>
      </c>
      <c r="M346" s="29">
        <f>IF('RPT3'!$J346="","",'RPT3'!$J346)</f>
        <v>1562.3487669252879</v>
      </c>
      <c r="N346" s="29">
        <f>IF('RPT4'!$J346="","",'RPT4'!$J346)</f>
        <v>1807.9377882269359</v>
      </c>
    </row>
    <row r="347" spans="1:14" x14ac:dyDescent="0.35">
      <c r="A347" s="16" t="s">
        <v>341</v>
      </c>
      <c r="B347" s="2"/>
      <c r="C347" s="28">
        <f t="shared" si="19"/>
        <v>0</v>
      </c>
      <c r="D347" s="2"/>
      <c r="E347" s="4"/>
      <c r="F347" s="2"/>
      <c r="G347" s="28">
        <f t="shared" si="20"/>
        <v>0</v>
      </c>
      <c r="H347" s="2"/>
      <c r="I347" s="4"/>
      <c r="J347" s="2"/>
      <c r="K347" s="29">
        <f>IF('RPT1'!$J347="","",'RPT1'!$J347)</f>
        <v>0</v>
      </c>
      <c r="L347" s="29">
        <f>IF('RPT2'!$J347="","",'RPT2'!$J347)</f>
        <v>0</v>
      </c>
      <c r="M347" s="29">
        <f>IF('RPT3'!$J347="","",'RPT3'!$J347)</f>
        <v>0</v>
      </c>
      <c r="N347" s="29">
        <f>IF('RPT4'!$J347="","",'RPT4'!$J347)</f>
        <v>0</v>
      </c>
    </row>
    <row r="348" spans="1:14" x14ac:dyDescent="0.35">
      <c r="A348" s="16" t="s">
        <v>342</v>
      </c>
      <c r="B348" s="2"/>
      <c r="C348" s="28">
        <f t="shared" si="19"/>
        <v>21388.564843749999</v>
      </c>
      <c r="D348" s="2"/>
      <c r="E348" s="4"/>
      <c r="F348" s="2"/>
      <c r="G348" s="28">
        <f t="shared" si="20"/>
        <v>21388.564843749999</v>
      </c>
      <c r="H348" s="2"/>
      <c r="I348" s="4"/>
      <c r="J348" s="2"/>
      <c r="K348" s="29">
        <f>IF('RPT1'!$J348="","",'RPT1'!$J348)</f>
        <v>20754.052820542282</v>
      </c>
      <c r="L348" s="29">
        <f>IF('RPT2'!$J348="","",'RPT2'!$J348)</f>
        <v>24540.545507812501</v>
      </c>
      <c r="M348" s="29">
        <f>IF('RPT3'!$J348="","",'RPT3'!$J348)</f>
        <v>4769.919921875</v>
      </c>
      <c r="N348" s="29">
        <f>IF('RPT4'!$J348="","",'RPT4'!$J348)</f>
        <v>25610.30817522321</v>
      </c>
    </row>
    <row r="349" spans="1:14" x14ac:dyDescent="0.35">
      <c r="A349" s="16" t="s">
        <v>343</v>
      </c>
      <c r="B349" s="2"/>
      <c r="C349" s="28">
        <f t="shared" si="19"/>
        <v>0</v>
      </c>
      <c r="D349" s="2"/>
      <c r="E349" s="4"/>
      <c r="F349" s="2"/>
      <c r="G349" s="28">
        <f t="shared" si="20"/>
        <v>0</v>
      </c>
      <c r="H349" s="2"/>
      <c r="I349" s="4"/>
      <c r="J349" s="2"/>
      <c r="K349" s="29">
        <f>IF('RPT1'!$J349="","",'RPT1'!$J349)</f>
        <v>0</v>
      </c>
      <c r="L349" s="29">
        <f>IF('RPT2'!$J349="","",'RPT2'!$J349)</f>
        <v>0</v>
      </c>
      <c r="M349" s="29">
        <f>IF('RPT3'!$J349="","",'RPT3'!$J349)</f>
        <v>0</v>
      </c>
      <c r="N349" s="29">
        <f>IF('RPT4'!$J349="","",'RPT4'!$J349)</f>
        <v>0</v>
      </c>
    </row>
    <row r="350" spans="1:14" x14ac:dyDescent="0.35">
      <c r="A350" s="24"/>
      <c r="B350" s="2"/>
      <c r="C350" s="14"/>
      <c r="D350" s="2"/>
      <c r="E350" s="4"/>
      <c r="F350" s="2"/>
      <c r="G350" s="14"/>
      <c r="H350" s="2"/>
      <c r="I350" s="4"/>
      <c r="J350" s="2"/>
      <c r="K350" s="25"/>
      <c r="L350" s="25"/>
      <c r="M350" s="25"/>
      <c r="N350" s="25"/>
    </row>
    <row r="351" spans="1:14" x14ac:dyDescent="0.35">
      <c r="A351" s="12" t="s">
        <v>344</v>
      </c>
      <c r="B351" s="2"/>
      <c r="C351" s="14"/>
      <c r="D351" s="2"/>
      <c r="E351" s="4"/>
      <c r="F351" s="2"/>
      <c r="G351" s="14"/>
      <c r="H351" s="2"/>
      <c r="I351" s="4"/>
      <c r="J351" s="2"/>
      <c r="K351" s="25" t="str">
        <f>IF('RPT1'!$J351="","",'RPT1'!$J351)</f>
        <v/>
      </c>
      <c r="L351" s="25" t="str">
        <f>IF('RPT2'!$J351="","",'RPT2'!$J351)</f>
        <v/>
      </c>
      <c r="M351" s="25" t="str">
        <f>IF('RPT3'!$J351="","",'RPT3'!$J351)</f>
        <v/>
      </c>
      <c r="N351" s="25" t="str">
        <f>IF('RPT4'!$J351="","",'RPT4'!$J351)</f>
        <v/>
      </c>
    </row>
    <row r="352" spans="1:14" x14ac:dyDescent="0.35">
      <c r="A352" s="16" t="s">
        <v>345</v>
      </c>
      <c r="B352" s="2"/>
      <c r="C352" s="28">
        <f t="shared" ref="C352:C371" si="21">IF(Combine="Y", $G352, 0)</f>
        <v>318.85310891374456</v>
      </c>
      <c r="D352" s="2"/>
      <c r="E352" s="4"/>
      <c r="F352" s="2"/>
      <c r="G352" s="28">
        <f>IF((G122+G548-G553)=0,0,SUM(IF($K352="",0,($K122+$K548-$K553)*$K352),IF($L352="",0,($L122+$L548-$L553)*$L352),IF($M352="",0,($M122+$M548-$M553)*$M352),IF($N352="",0,($N122+$N548-$N553)*$N352))/(G122+G548-G553))</f>
        <v>318.85310891374456</v>
      </c>
      <c r="H352" s="2"/>
      <c r="I352" s="4"/>
      <c r="J352" s="2"/>
      <c r="K352" s="29">
        <f>IF('RPT1'!$J352="","",'RPT1'!$J352)</f>
        <v>347.28111220946101</v>
      </c>
      <c r="L352" s="29">
        <f>IF('RPT2'!$J352="","",'RPT2'!$J352)</f>
        <v>399.84567002257319</v>
      </c>
      <c r="M352" s="29">
        <f>IF('RPT3'!$J352="","",'RPT3'!$J352)</f>
        <v>291.10396895097409</v>
      </c>
      <c r="N352" s="29">
        <f>IF('RPT4'!$J352="","",'RPT4'!$J352)</f>
        <v>235.78128211946549</v>
      </c>
    </row>
    <row r="353" spans="1:14" x14ac:dyDescent="0.35">
      <c r="A353" s="16" t="s">
        <v>346</v>
      </c>
      <c r="B353" s="2"/>
      <c r="C353" s="28">
        <f t="shared" si="21"/>
        <v>359.73096108808301</v>
      </c>
      <c r="D353" s="2"/>
      <c r="E353" s="4"/>
      <c r="F353" s="2"/>
      <c r="G353" s="28">
        <f>IF((G123+G549-G554)=0,0,SUM(IF($K353="",0,($K123+$K549-$K554)*$K353),IF($L353="",0,($L123+$L549-$L554)*$L353),IF($M353="",0,($M123+$M549-$M554)*$M353),IF($N353="",0,($N123+$N549-$N554)*$N353))/(G123+G549-G554))</f>
        <v>359.73096108808301</v>
      </c>
      <c r="H353" s="2"/>
      <c r="I353" s="4"/>
      <c r="J353" s="2"/>
      <c r="K353" s="29">
        <f>IF('RPT1'!$J353="","",'RPT1'!$J353)</f>
        <v>407.4268914110944</v>
      </c>
      <c r="L353" s="29">
        <f>IF('RPT2'!$J353="","",'RPT2'!$J353)</f>
        <v>421.78245245686821</v>
      </c>
      <c r="M353" s="29">
        <f>IF('RPT3'!$J353="","",'RPT3'!$J353)</f>
        <v>331.90594085813927</v>
      </c>
      <c r="N353" s="29">
        <f>IF('RPT4'!$J353="","",'RPT4'!$J353)</f>
        <v>277.40525395814967</v>
      </c>
    </row>
    <row r="354" spans="1:14" x14ac:dyDescent="0.35">
      <c r="A354" s="16" t="s">
        <v>347</v>
      </c>
      <c r="B354" s="2"/>
      <c r="C354" s="28">
        <f t="shared" si="21"/>
        <v>426.69620513839226</v>
      </c>
      <c r="D354" s="2"/>
      <c r="E354" s="4"/>
      <c r="F354" s="2"/>
      <c r="G354" s="28">
        <f>IF((G124+G550-G555)=0,0,SUM(IF($K354="",0,($K124+$K550-$K555)*$K354),IF($L354="",0,($L124+$L550-$L555)*$L354),IF($M354="",0,($M124+$M550-$M555)*$M354),IF($N354="",0,($N124+$N550-$N555)*$N354))/(G124+G550-G555))</f>
        <v>426.69620513839226</v>
      </c>
      <c r="H354" s="2"/>
      <c r="I354" s="4"/>
      <c r="J354" s="2"/>
      <c r="K354" s="29">
        <f>IF('RPT1'!$J354="","",'RPT1'!$J354)</f>
        <v>476.52946584488632</v>
      </c>
      <c r="L354" s="29">
        <f>IF('RPT2'!$J354="","",'RPT2'!$J354)</f>
        <v>471.00529309872388</v>
      </c>
      <c r="M354" s="29">
        <f>IF('RPT3'!$J354="","",'RPT3'!$J354)</f>
        <v>403.41037092443128</v>
      </c>
      <c r="N354" s="29">
        <f>IF('RPT4'!$J354="","",'RPT4'!$J354)</f>
        <v>354.9865336887749</v>
      </c>
    </row>
    <row r="355" spans="1:14" x14ac:dyDescent="0.35">
      <c r="A355" s="16" t="s">
        <v>348</v>
      </c>
      <c r="B355" s="2"/>
      <c r="C355" s="28">
        <f t="shared" si="21"/>
        <v>525.27937583537505</v>
      </c>
      <c r="D355" s="2"/>
      <c r="E355" s="4"/>
      <c r="F355" s="2"/>
      <c r="G355" s="28">
        <f>IF((G125+G551-G556)=0,0,SUM(IF($K355="",0,($K125+$K551-$K556)*$K355),IF($L355="",0,($L125+$L551-$L556)*$L355),IF($M355="",0,($M125+$M551-$M556)*$M355),IF($N355="",0,($N125+$N551-$N556)*$N355))/(G125+G551-G556))</f>
        <v>525.27937583537505</v>
      </c>
      <c r="H355" s="2"/>
      <c r="I355" s="4"/>
      <c r="J355" s="2"/>
      <c r="K355" s="29">
        <f>IF('RPT1'!$J355="","",'RPT1'!$J355)</f>
        <v>575.70892357339733</v>
      </c>
      <c r="L355" s="29">
        <f>IF('RPT2'!$J355="","",'RPT2'!$J355)</f>
        <v>570.11004032473102</v>
      </c>
      <c r="M355" s="29">
        <f>IF('RPT3'!$J355="","",'RPT3'!$J355)</f>
        <v>507.93850765223198</v>
      </c>
      <c r="N355" s="29">
        <f>IF('RPT4'!$J355="","",'RPT4'!$J355)</f>
        <v>447.11373677000569</v>
      </c>
    </row>
    <row r="356" spans="1:14" x14ac:dyDescent="0.35">
      <c r="A356" s="16" t="s">
        <v>349</v>
      </c>
      <c r="B356" s="2"/>
      <c r="C356" s="28">
        <f t="shared" si="21"/>
        <v>574.56449978847513</v>
      </c>
      <c r="D356" s="2"/>
      <c r="E356" s="4"/>
      <c r="F356" s="2"/>
      <c r="G356" s="28">
        <f>IF((G126+G552-G557)=0,0,SUM(IF($K356="",0,($K126+$K552-$K557)*$K356),IF($L356="",0,($L126+$L552-$L557)*$L356),IF($M356="",0,($M126+$M552-$M557)*$M356),IF($N356="",0,($N126+$N552-$N557)*$N356))/(G126+G552-G557))</f>
        <v>574.56449978847513</v>
      </c>
      <c r="H356" s="2"/>
      <c r="I356" s="4"/>
      <c r="J356" s="2"/>
      <c r="K356" s="29">
        <f>IF('RPT1'!$J356="","",'RPT1'!$J356)</f>
        <v>612.97092299064445</v>
      </c>
      <c r="L356" s="29">
        <f>IF('RPT2'!$J356="","",'RPT2'!$J356)</f>
        <v>606.82596038564361</v>
      </c>
      <c r="M356" s="29">
        <f>IF('RPT3'!$J356="","",'RPT3'!$J356)</f>
        <v>569.23144328881313</v>
      </c>
      <c r="N356" s="29">
        <f>IF('RPT4'!$J356="","",'RPT4'!$J356)</f>
        <v>510.15447373824873</v>
      </c>
    </row>
    <row r="357" spans="1:14" x14ac:dyDescent="0.35">
      <c r="A357" s="16" t="s">
        <v>350</v>
      </c>
      <c r="B357" s="2"/>
      <c r="C357" s="28">
        <f t="shared" si="21"/>
        <v>153.71510307786261</v>
      </c>
      <c r="D357" s="2"/>
      <c r="E357" s="4"/>
      <c r="F357" s="2"/>
      <c r="G357" s="28">
        <f>IF((G132+G558-G563)=0,0,SUM(IF($K357="",0,($K132+$K558-$K563)*$K357),IF($L357="",0,($L132+$L558-$L563)*$L357),IF($M357="",0,($M132+$M558-$M563)*$M357),IF($N357="",0,($N132+$N558-$N563)*$N357))/(G132+G558-G563))</f>
        <v>153.71510307786261</v>
      </c>
      <c r="H357" s="2"/>
      <c r="I357" s="4"/>
      <c r="J357" s="2"/>
      <c r="K357" s="29">
        <f>IF('RPT1'!$J357="","",'RPT1'!$J357)</f>
        <v>161.36310046761221</v>
      </c>
      <c r="L357" s="29">
        <f>IF('RPT2'!$J357="","",'RPT2'!$J357)</f>
        <v>195.78413258543389</v>
      </c>
      <c r="M357" s="29">
        <f>IF('RPT3'!$J357="","",'RPT3'!$J357)</f>
        <v>154.89315039443059</v>
      </c>
      <c r="N357" s="29">
        <f>IF('RPT4'!$J357="","",'RPT4'!$J357)</f>
        <v>105.7484828645251</v>
      </c>
    </row>
    <row r="358" spans="1:14" x14ac:dyDescent="0.35">
      <c r="A358" s="16" t="s">
        <v>351</v>
      </c>
      <c r="B358" s="2"/>
      <c r="C358" s="28">
        <f t="shared" si="21"/>
        <v>156.41122645038217</v>
      </c>
      <c r="D358" s="2"/>
      <c r="E358" s="4"/>
      <c r="F358" s="2"/>
      <c r="G358" s="28">
        <f>IF((G133+G559-G564)=0,0,SUM(IF($K358="",0,($K133+$K559-$K564)*$K358),IF($L358="",0,($L133+$L559-$L564)*$L358),IF($M358="",0,($M133+$M559-$M564)*$M358),IF($N358="",0,($N133+$N559-$N564)*$N358))/(G133+G559-G564))</f>
        <v>156.41122645038217</v>
      </c>
      <c r="H358" s="2"/>
      <c r="I358" s="4"/>
      <c r="J358" s="2"/>
      <c r="K358" s="29">
        <f>IF('RPT1'!$J358="","",'RPT1'!$J358)</f>
        <v>170.48095360977311</v>
      </c>
      <c r="L358" s="29">
        <f>IF('RPT2'!$J358="","",'RPT2'!$J358)</f>
        <v>182.45277521072191</v>
      </c>
      <c r="M358" s="29">
        <f>IF('RPT3'!$J358="","",'RPT3'!$J358)</f>
        <v>160.43580760823201</v>
      </c>
      <c r="N358" s="29">
        <f>IF('RPT4'!$J358="","",'RPT4'!$J358)</f>
        <v>116.76553114568991</v>
      </c>
    </row>
    <row r="359" spans="1:14" x14ac:dyDescent="0.35">
      <c r="A359" s="16" t="s">
        <v>352</v>
      </c>
      <c r="B359" s="2"/>
      <c r="C359" s="28">
        <f t="shared" si="21"/>
        <v>170.05190712008192</v>
      </c>
      <c r="D359" s="2"/>
      <c r="E359" s="4"/>
      <c r="F359" s="2"/>
      <c r="G359" s="28">
        <f>IF((G134+G560-G565)=0,0,SUM(IF($K359="",0,($K134+$K560-$K565)*$K359),IF($L359="",0,($L134+$L560-$L565)*$L359),IF($M359="",0,($M134+$M560-$M565)*$M359),IF($N359="",0,($N134+$N560-$N565)*$N359))/(G134+G560-G565))</f>
        <v>170.05190712008192</v>
      </c>
      <c r="H359" s="2"/>
      <c r="I359" s="4"/>
      <c r="J359" s="2"/>
      <c r="K359" s="29">
        <f>IF('RPT1'!$J359="","",'RPT1'!$J359)</f>
        <v>180.53128708284041</v>
      </c>
      <c r="L359" s="29">
        <f>IF('RPT2'!$J359="","",'RPT2'!$J359)</f>
        <v>172.94758252982859</v>
      </c>
      <c r="M359" s="29">
        <f>IF('RPT3'!$J359="","",'RPT3'!$J359)</f>
        <v>175.59166836667569</v>
      </c>
      <c r="N359" s="29">
        <f>IF('RPT4'!$J359="","",'RPT4'!$J359)</f>
        <v>152.90879337611861</v>
      </c>
    </row>
    <row r="360" spans="1:14" x14ac:dyDescent="0.35">
      <c r="A360" s="16" t="s">
        <v>353</v>
      </c>
      <c r="B360" s="2"/>
      <c r="C360" s="28">
        <f t="shared" si="21"/>
        <v>173.54952799557469</v>
      </c>
      <c r="D360" s="2"/>
      <c r="E360" s="4"/>
      <c r="F360" s="2"/>
      <c r="G360" s="28">
        <f>IF((G135+G561-G566)=0,0,SUM(IF($K360="",0,($K135+$K561-$K566)*$K360),IF($L360="",0,($L135+$L561-$L566)*$L360),IF($M360="",0,($M135+$M561-$M566)*$M360),IF($N360="",0,($N135+$N561-$N566)*$N360))/(G135+G561-G566))</f>
        <v>173.54952799557469</v>
      </c>
      <c r="H360" s="2"/>
      <c r="I360" s="4"/>
      <c r="J360" s="2"/>
      <c r="K360" s="29">
        <f>IF('RPT1'!$J360="","",'RPT1'!$J360)</f>
        <v>179.34964678517659</v>
      </c>
      <c r="L360" s="29">
        <f>IF('RPT2'!$J360="","",'RPT2'!$J360)</f>
        <v>175.74839557600251</v>
      </c>
      <c r="M360" s="29">
        <f>IF('RPT3'!$J360="","",'RPT3'!$J360)</f>
        <v>179.04525773472679</v>
      </c>
      <c r="N360" s="29">
        <f>IF('RPT4'!$J360="","",'RPT4'!$J360)</f>
        <v>161.14844980245499</v>
      </c>
    </row>
    <row r="361" spans="1:14" x14ac:dyDescent="0.35">
      <c r="A361" s="16" t="s">
        <v>354</v>
      </c>
      <c r="B361" s="2"/>
      <c r="C361" s="28">
        <f t="shared" si="21"/>
        <v>185.62735168401201</v>
      </c>
      <c r="D361" s="2"/>
      <c r="E361" s="4"/>
      <c r="F361" s="2"/>
      <c r="G361" s="28">
        <f>IF((G136+G562-G567)=0,0,SUM(IF($K361="",0,($K136+$K562-$K567)*$K361),IF($L361="",0,($L136+$L562-$L567)*$L361),IF($M361="",0,($M136+$M562-$M567)*$M361),IF($N361="",0,($N136+$N562-$N567)*$N361))/(G136+G562-G567))</f>
        <v>185.62735168401201</v>
      </c>
      <c r="H361" s="2"/>
      <c r="I361" s="4"/>
      <c r="J361" s="2"/>
      <c r="K361" s="29">
        <f>IF('RPT1'!$J361="","",'RPT1'!$J361)</f>
        <v>191.6550315059859</v>
      </c>
      <c r="L361" s="29">
        <f>IF('RPT2'!$J361="","",'RPT2'!$J361)</f>
        <v>187.90814493374521</v>
      </c>
      <c r="M361" s="29">
        <f>IF('RPT3'!$J361="","",'RPT3'!$J361)</f>
        <v>192.10117238870509</v>
      </c>
      <c r="N361" s="29">
        <f>IF('RPT4'!$J361="","",'RPT4'!$J361)</f>
        <v>172.14172934545141</v>
      </c>
    </row>
    <row r="362" spans="1:14" x14ac:dyDescent="0.35">
      <c r="A362" s="16" t="s">
        <v>355</v>
      </c>
      <c r="B362" s="2"/>
      <c r="C362" s="28">
        <f t="shared" si="21"/>
        <v>285.59439906954128</v>
      </c>
      <c r="D362" s="2"/>
      <c r="E362" s="4"/>
      <c r="F362" s="2"/>
      <c r="G362" s="28">
        <f>IF((G142+G568-G573)=0,0,SUM(IF($K362="",0,($K142+$K568-$K573)*$K362),IF($L362="",0,($L142+$L568-$L573)*$L362),IF($M362="",0,($M142+$M568-$M573)*$M362),IF($N362="",0,($N142+$N568-$N573)*$N362))/(G142+G568-G573))</f>
        <v>285.59439906954128</v>
      </c>
      <c r="H362" s="2"/>
      <c r="I362" s="4"/>
      <c r="J362" s="2"/>
      <c r="K362" s="29">
        <f>IF('RPT1'!$J362="","",'RPT1'!$J362)</f>
        <v>279.730825164875</v>
      </c>
      <c r="L362" s="29">
        <f>IF('RPT2'!$J362="","",'RPT2'!$J362)</f>
        <v>440.24443676940848</v>
      </c>
      <c r="M362" s="29">
        <f>IF('RPT3'!$J362="","",'RPT3'!$J362)</f>
        <v>246.54643791373019</v>
      </c>
      <c r="N362" s="29">
        <f>IF('RPT4'!$J362="","",'RPT4'!$J362)</f>
        <v>160.84388264225061</v>
      </c>
    </row>
    <row r="363" spans="1:14" x14ac:dyDescent="0.35">
      <c r="A363" s="16" t="s">
        <v>356</v>
      </c>
      <c r="B363" s="2"/>
      <c r="C363" s="28">
        <f t="shared" si="21"/>
        <v>278.04596072400926</v>
      </c>
      <c r="D363" s="2"/>
      <c r="E363" s="4"/>
      <c r="F363" s="2"/>
      <c r="G363" s="28">
        <f>IF((G143+G569-G574)=0,0,SUM(IF($K363="",0,($K143+$K569-$K574)*$K363),IF($L363="",0,($L143+$L569-$L574)*$L363),IF($M363="",0,($M143+$M569-$M574)*$M363),IF($N363="",0,($N143+$N569-$N574)*$N363))/(G143+G569-G574))</f>
        <v>278.04596072400926</v>
      </c>
      <c r="H363" s="2"/>
      <c r="I363" s="4"/>
      <c r="J363" s="2"/>
      <c r="K363" s="29">
        <f>IF('RPT1'!$J363="","",'RPT1'!$J363)</f>
        <v>303.67040507988889</v>
      </c>
      <c r="L363" s="29">
        <f>IF('RPT2'!$J363="","",'RPT2'!$J363)</f>
        <v>370.86345054835908</v>
      </c>
      <c r="M363" s="29">
        <f>IF('RPT3'!$J363="","",'RPT3'!$J363)</f>
        <v>254.8102198497545</v>
      </c>
      <c r="N363" s="29">
        <f>IF('RPT4'!$J363="","",'RPT4'!$J363)</f>
        <v>182.35807297127289</v>
      </c>
    </row>
    <row r="364" spans="1:14" x14ac:dyDescent="0.35">
      <c r="A364" s="16" t="s">
        <v>357</v>
      </c>
      <c r="B364" s="2"/>
      <c r="C364" s="28">
        <f t="shared" si="21"/>
        <v>299.52567984326606</v>
      </c>
      <c r="D364" s="2"/>
      <c r="E364" s="4"/>
      <c r="F364" s="2"/>
      <c r="G364" s="28">
        <f>IF((G144+G570-G575)=0,0,SUM(IF($K364="",0,($K144+$K570-$K575)*$K364),IF($L364="",0,($L144+$L570-$L575)*$L364),IF($M364="",0,($M144+$M570-$M575)*$M364),IF($N364="",0,($N144+$N570-$N575)*$N364))/(G144+G570-G575))</f>
        <v>299.52567984326606</v>
      </c>
      <c r="H364" s="2"/>
      <c r="I364" s="4"/>
      <c r="J364" s="2"/>
      <c r="K364" s="29">
        <f>IF('RPT1'!$J364="","",'RPT1'!$J364)</f>
        <v>331.73780811560221</v>
      </c>
      <c r="L364" s="29">
        <f>IF('RPT2'!$J364="","",'RPT2'!$J364)</f>
        <v>338.96784147127522</v>
      </c>
      <c r="M364" s="29">
        <f>IF('RPT3'!$J364="","",'RPT3'!$J364)</f>
        <v>293.7294343981718</v>
      </c>
      <c r="N364" s="29">
        <f>IF('RPT4'!$J364="","",'RPT4'!$J364)</f>
        <v>237.39395202746169</v>
      </c>
    </row>
    <row r="365" spans="1:14" x14ac:dyDescent="0.35">
      <c r="A365" s="16" t="s">
        <v>358</v>
      </c>
      <c r="B365" s="2"/>
      <c r="C365" s="28">
        <f t="shared" si="21"/>
        <v>338.20456886084145</v>
      </c>
      <c r="D365" s="2"/>
      <c r="E365" s="4"/>
      <c r="F365" s="2"/>
      <c r="G365" s="28">
        <f>IF((G145+G571-G576)=0,0,SUM(IF($K365="",0,($K145+$K571-$K576)*$K365),IF($L365="",0,($L145+$L571-$L576)*$L365),IF($M365="",0,($M145+$M571-$M576)*$M365),IF($N365="",0,($N145+$N571-$N576)*$N365))/(G145+G571-G576))</f>
        <v>338.20456886084145</v>
      </c>
      <c r="H365" s="2"/>
      <c r="I365" s="4"/>
      <c r="J365" s="2"/>
      <c r="K365" s="29">
        <f>IF('RPT1'!$J365="","",'RPT1'!$J365)</f>
        <v>364.86820299936159</v>
      </c>
      <c r="L365" s="29">
        <f>IF('RPT2'!$J365="","",'RPT2'!$J365)</f>
        <v>376.5363491415311</v>
      </c>
      <c r="M365" s="29">
        <f>IF('RPT3'!$J365="","",'RPT3'!$J365)</f>
        <v>336.8476074024527</v>
      </c>
      <c r="N365" s="29">
        <f>IF('RPT4'!$J365="","",'RPT4'!$J365)</f>
        <v>278.33794179383131</v>
      </c>
    </row>
    <row r="366" spans="1:14" x14ac:dyDescent="0.35">
      <c r="A366" s="16" t="s">
        <v>359</v>
      </c>
      <c r="B366" s="2"/>
      <c r="C366" s="28">
        <f t="shared" si="21"/>
        <v>369.57847528302568</v>
      </c>
      <c r="D366" s="2"/>
      <c r="E366" s="4"/>
      <c r="F366" s="2"/>
      <c r="G366" s="28">
        <f>IF((G146+G572-G577)=0,0,SUM(IF($K366="",0,($K146+$K572-$K577)*$K366),IF($L366="",0,($L146+$L572-$L577)*$L366),IF($M366="",0,($M146+$M572-$M577)*$M366),IF($N366="",0,($N146+$N572-$N577)*$N366))/(G146+G572-G577))</f>
        <v>369.57847528302568</v>
      </c>
      <c r="H366" s="2"/>
      <c r="I366" s="4"/>
      <c r="J366" s="2"/>
      <c r="K366" s="29">
        <f>IF('RPT1'!$J366="","",'RPT1'!$J366)</f>
        <v>395.70421425842022</v>
      </c>
      <c r="L366" s="29">
        <f>IF('RPT2'!$J366="","",'RPT2'!$J366)</f>
        <v>407.22081121535342</v>
      </c>
      <c r="M366" s="29">
        <f>IF('RPT3'!$J366="","",'RPT3'!$J366)</f>
        <v>373.71786854921078</v>
      </c>
      <c r="N366" s="29">
        <f>IF('RPT4'!$J366="","",'RPT4'!$J366)</f>
        <v>306.66352294257081</v>
      </c>
    </row>
    <row r="367" spans="1:14" x14ac:dyDescent="0.35">
      <c r="A367" s="16" t="s">
        <v>360</v>
      </c>
      <c r="B367" s="2"/>
      <c r="C367" s="28">
        <f t="shared" si="21"/>
        <v>177.31021783491195</v>
      </c>
      <c r="D367" s="2"/>
      <c r="E367" s="4"/>
      <c r="F367" s="2"/>
      <c r="G367" s="28">
        <f>IF((G152+G578-G583)=0,0,SUM(IF($K367="",0,($K152+$K578-$K583)*$K367),IF($L367="",0,($L152+$L578-$L583)*$L367),IF($M367="",0,($M152+$M578-$M583)*$M367),IF($N367="",0,($N152+$N578-$N583)*$N367))/(G152+G578-G583))</f>
        <v>177.31021783491195</v>
      </c>
      <c r="H367" s="2"/>
      <c r="I367" s="4"/>
      <c r="J367" s="2"/>
      <c r="K367" s="29">
        <f>IF('RPT1'!$J367="","",'RPT1'!$J367)</f>
        <v>50.112925651299889</v>
      </c>
      <c r="L367" s="29">
        <f>IF('RPT2'!$J367="","",'RPT2'!$J367)</f>
        <v>400.09311328247372</v>
      </c>
      <c r="M367" s="29">
        <f>IF('RPT3'!$J367="","",'RPT3'!$J367)</f>
        <v>116.1427161019557</v>
      </c>
      <c r="N367" s="29">
        <f>IF('RPT4'!$J367="","",'RPT4'!$J367)</f>
        <v>59.517476803848503</v>
      </c>
    </row>
    <row r="368" spans="1:14" x14ac:dyDescent="0.35">
      <c r="A368" s="16" t="s">
        <v>361</v>
      </c>
      <c r="B368" s="2"/>
      <c r="C368" s="28">
        <f t="shared" si="21"/>
        <v>204.37409623936787</v>
      </c>
      <c r="D368" s="2"/>
      <c r="E368" s="4"/>
      <c r="F368" s="2"/>
      <c r="G368" s="28">
        <f>IF((G153+G579-G584)=0,0,SUM(IF($K368="",0,($K153+$K579-$K584)*$K368),IF($L368="",0,($L153+$L579-$L584)*$L368),IF($M368="",0,($M153+$M579-$M584)*$M368),IF($N368="",0,($N153+$N579-$N584)*$N368))/(G153+G579-G584))</f>
        <v>204.37409623936787</v>
      </c>
      <c r="H368" s="2"/>
      <c r="I368" s="4"/>
      <c r="J368" s="2"/>
      <c r="K368" s="29">
        <f>IF('RPT1'!$J368="","",'RPT1'!$J368)</f>
        <v>57.882742188697932</v>
      </c>
      <c r="L368" s="29">
        <f>IF('RPT2'!$J368="","",'RPT2'!$J368)</f>
        <v>438.17130019889481</v>
      </c>
      <c r="M368" s="29">
        <f>IF('RPT3'!$J368="","",'RPT3'!$J368)</f>
        <v>163.37720280492249</v>
      </c>
      <c r="N368" s="29">
        <f>IF('RPT4'!$J368="","",'RPT4'!$J368)</f>
        <v>76.61770850774063</v>
      </c>
    </row>
    <row r="369" spans="1:14" x14ac:dyDescent="0.35">
      <c r="A369" s="16" t="s">
        <v>362</v>
      </c>
      <c r="B369" s="2"/>
      <c r="C369" s="28">
        <f t="shared" si="21"/>
        <v>276.01920817623676</v>
      </c>
      <c r="D369" s="2"/>
      <c r="E369" s="4"/>
      <c r="F369" s="2"/>
      <c r="G369" s="28">
        <f>IF((G154+G580-G585)=0,0,SUM(IF($K369="",0,($K154+$K580-$K585)*$K369),IF($L369="",0,($L154+$L580-$L585)*$L369),IF($M369="",0,($M154+$M580-$M585)*$M369),IF($N369="",0,($N154+$N580-$N585)*$N369))/(G154+G580-G585))</f>
        <v>276.01920817623676</v>
      </c>
      <c r="H369" s="2"/>
      <c r="I369" s="4"/>
      <c r="J369" s="2"/>
      <c r="K369" s="29">
        <f>IF('RPT1'!$J369="","",'RPT1'!$J369)</f>
        <v>82.274890418071578</v>
      </c>
      <c r="L369" s="29">
        <f>IF('RPT2'!$J369="","",'RPT2'!$J369)</f>
        <v>591.70550823760607</v>
      </c>
      <c r="M369" s="29">
        <f>IF('RPT3'!$J369="","",'RPT3'!$J369)</f>
        <v>237.16102640608199</v>
      </c>
      <c r="N369" s="29">
        <f>IF('RPT4'!$J369="","",'RPT4'!$J369)</f>
        <v>95.758544811327212</v>
      </c>
    </row>
    <row r="370" spans="1:14" x14ac:dyDescent="0.35">
      <c r="A370" s="16" t="s">
        <v>363</v>
      </c>
      <c r="B370" s="2"/>
      <c r="C370" s="28">
        <f t="shared" si="21"/>
        <v>331.80388596722793</v>
      </c>
      <c r="D370" s="2"/>
      <c r="E370" s="4"/>
      <c r="F370" s="2"/>
      <c r="G370" s="28">
        <f>IF((G155+G581-G586)=0,0,SUM(IF($K370="",0,($K155+$K581-$K586)*$K370),IF($L370="",0,($L155+$L581-$L586)*$L370),IF($M370="",0,($M155+$M581-$M586)*$M370),IF($N370="",0,($N155+$N581-$N586)*$N370))/(G155+G581-G586))</f>
        <v>331.80388596722793</v>
      </c>
      <c r="H370" s="2"/>
      <c r="I370" s="4"/>
      <c r="J370" s="2"/>
      <c r="K370" s="29">
        <f>IF('RPT1'!$J370="","",'RPT1'!$J370)</f>
        <v>103.567248326723</v>
      </c>
      <c r="L370" s="29">
        <f>IF('RPT2'!$J370="","",'RPT2'!$J370)</f>
        <v>736.34982941118892</v>
      </c>
      <c r="M370" s="29">
        <f>IF('RPT3'!$J370="","",'RPT3'!$J370)</f>
        <v>267.94431659270242</v>
      </c>
      <c r="N370" s="29">
        <f>IF('RPT4'!$J370="","",'RPT4'!$J370)</f>
        <v>104.91185547724371</v>
      </c>
    </row>
    <row r="371" spans="1:14" x14ac:dyDescent="0.35">
      <c r="A371" s="16" t="s">
        <v>364</v>
      </c>
      <c r="B371" s="2"/>
      <c r="C371" s="28">
        <f t="shared" si="21"/>
        <v>353.58510730829073</v>
      </c>
      <c r="D371" s="2"/>
      <c r="E371" s="4"/>
      <c r="F371" s="2"/>
      <c r="G371" s="28">
        <f>IF((G156+G582-G587)=0,0,SUM(IF($K371="",0,($K156+$K582-$K587)*$K371),IF($L371="",0,($L156+$L582-$L587)*$L371),IF($M371="",0,($M156+$M582-$M587)*$M371),IF($N371="",0,($N156+$N582-$N587)*$N371))/(G156+G582-G587))</f>
        <v>353.58510730829073</v>
      </c>
      <c r="H371" s="2"/>
      <c r="I371" s="4"/>
      <c r="J371" s="2"/>
      <c r="K371" s="29">
        <f>IF('RPT1'!$J371="","",'RPT1'!$J371)</f>
        <v>112.59610307715541</v>
      </c>
      <c r="L371" s="29">
        <f>IF('RPT2'!$J371="","",'RPT2'!$J371)</f>
        <v>778.30579701329521</v>
      </c>
      <c r="M371" s="29">
        <f>IF('RPT3'!$J371="","",'RPT3'!$J371)</f>
        <v>294.43802849068902</v>
      </c>
      <c r="N371" s="29">
        <f>IF('RPT4'!$J371="","",'RPT4'!$J371)</f>
        <v>113.0486101803218</v>
      </c>
    </row>
    <row r="372" spans="1:14" x14ac:dyDescent="0.35">
      <c r="A372" s="24"/>
      <c r="B372" s="2"/>
      <c r="C372" s="14"/>
      <c r="D372" s="2"/>
      <c r="E372" s="4"/>
      <c r="F372" s="2"/>
      <c r="G372" s="14"/>
      <c r="H372" s="2"/>
      <c r="I372" s="4"/>
      <c r="J372" s="2"/>
      <c r="K372" s="25"/>
      <c r="L372" s="25"/>
      <c r="M372" s="25"/>
      <c r="N372" s="25"/>
    </row>
    <row r="373" spans="1:14" x14ac:dyDescent="0.35">
      <c r="A373" s="12" t="s">
        <v>365</v>
      </c>
      <c r="B373" s="2"/>
      <c r="C373" s="14"/>
      <c r="D373" s="2"/>
      <c r="E373" s="4"/>
      <c r="F373" s="2"/>
      <c r="G373" s="14"/>
      <c r="H373" s="2"/>
      <c r="I373" s="4"/>
      <c r="J373" s="2"/>
      <c r="K373" s="25" t="str">
        <f>IF('RPT1'!$J373="","",'RPT1'!$J373)</f>
        <v/>
      </c>
      <c r="L373" s="25" t="str">
        <f>IF('RPT2'!$J373="","",'RPT2'!$J373)</f>
        <v/>
      </c>
      <c r="M373" s="25" t="str">
        <f>IF('RPT3'!$J373="","",'RPT3'!$J373)</f>
        <v/>
      </c>
      <c r="N373" s="25" t="str">
        <f>IF('RPT4'!$J373="","",'RPT4'!$J373)</f>
        <v/>
      </c>
    </row>
    <row r="374" spans="1:14" x14ac:dyDescent="0.35">
      <c r="A374" s="16" t="s">
        <v>366</v>
      </c>
      <c r="B374" s="2"/>
      <c r="C374" s="28">
        <f t="shared" ref="C374:C393" si="22">IF(Combine="Y", $G374, 0)</f>
        <v>0</v>
      </c>
      <c r="D374" s="2"/>
      <c r="E374" s="4"/>
      <c r="F374" s="2"/>
      <c r="G374" s="28">
        <f>IF((G122+G548-G553)=0,0,SUM(IF($K374="",0,($K122+$K548-$K553)*$K374),IF($L374="",0,($L122+$L548-$L553)*$L374),IF($M374="",0,($M122+$M548-$M553)*$M374),IF($N374="",0,($N122+$N548-$N553)*$N374))/(G122+G548-G553))</f>
        <v>0</v>
      </c>
      <c r="H374" s="2"/>
      <c r="I374" s="4"/>
      <c r="J374" s="2"/>
      <c r="K374" s="29">
        <f>IF('RPT1'!$J374="","",'RPT1'!$J374)</f>
        <v>0</v>
      </c>
      <c r="L374" s="29">
        <f>IF('RPT2'!$J374="","",'RPT2'!$J374)</f>
        <v>0</v>
      </c>
      <c r="M374" s="29">
        <f>IF('RPT3'!$J374="","",'RPT3'!$J374)</f>
        <v>0</v>
      </c>
      <c r="N374" s="29">
        <f>IF('RPT4'!$J374="","",'RPT4'!$J374)</f>
        <v>0</v>
      </c>
    </row>
    <row r="375" spans="1:14" x14ac:dyDescent="0.35">
      <c r="A375" s="16" t="s">
        <v>367</v>
      </c>
      <c r="B375" s="2"/>
      <c r="C375" s="28">
        <f t="shared" si="22"/>
        <v>0</v>
      </c>
      <c r="D375" s="2"/>
      <c r="E375" s="4"/>
      <c r="F375" s="2"/>
      <c r="G375" s="28">
        <f>IF((G123+G549-G554)=0,0,SUM(IF($K375="",0,($K123+$K549-$K554)*$K375),IF($L375="",0,($L123+$L549-$L554)*$L375),IF($M375="",0,($M123+$M549-$M554)*$M375),IF($N375="",0,($N123+$N549-$N554)*$N375))/(G123+G549-G554))</f>
        <v>0</v>
      </c>
      <c r="H375" s="2"/>
      <c r="I375" s="4"/>
      <c r="J375" s="2"/>
      <c r="K375" s="29">
        <f>IF('RPT1'!$J375="","",'RPT1'!$J375)</f>
        <v>0</v>
      </c>
      <c r="L375" s="29">
        <f>IF('RPT2'!$J375="","",'RPT2'!$J375)</f>
        <v>0</v>
      </c>
      <c r="M375" s="29">
        <f>IF('RPT3'!$J375="","",'RPT3'!$J375)</f>
        <v>0</v>
      </c>
      <c r="N375" s="29">
        <f>IF('RPT4'!$J375="","",'RPT4'!$J375)</f>
        <v>0</v>
      </c>
    </row>
    <row r="376" spans="1:14" x14ac:dyDescent="0.35">
      <c r="A376" s="16" t="s">
        <v>368</v>
      </c>
      <c r="B376" s="2"/>
      <c r="C376" s="28">
        <f t="shared" si="22"/>
        <v>0</v>
      </c>
      <c r="D376" s="2"/>
      <c r="E376" s="4"/>
      <c r="F376" s="2"/>
      <c r="G376" s="28">
        <f>IF((G124+G550-G555)=0,0,SUM(IF($K376="",0,($K124+$K550-$K555)*$K376),IF($L376="",0,($L124+$L550-$L555)*$L376),IF($M376="",0,($M124+$M550-$M555)*$M376),IF($N376="",0,($N124+$N550-$N555)*$N376))/(G124+G550-G555))</f>
        <v>0</v>
      </c>
      <c r="H376" s="2"/>
      <c r="I376" s="4"/>
      <c r="J376" s="2"/>
      <c r="K376" s="29">
        <f>IF('RPT1'!$J376="","",'RPT1'!$J376)</f>
        <v>0</v>
      </c>
      <c r="L376" s="29">
        <f>IF('RPT2'!$J376="","",'RPT2'!$J376)</f>
        <v>0</v>
      </c>
      <c r="M376" s="29">
        <f>IF('RPT3'!$J376="","",'RPT3'!$J376)</f>
        <v>0</v>
      </c>
      <c r="N376" s="29">
        <f>IF('RPT4'!$J376="","",'RPT4'!$J376)</f>
        <v>0</v>
      </c>
    </row>
    <row r="377" spans="1:14" x14ac:dyDescent="0.35">
      <c r="A377" s="16" t="s">
        <v>369</v>
      </c>
      <c r="B377" s="2"/>
      <c r="C377" s="28">
        <f t="shared" si="22"/>
        <v>0</v>
      </c>
      <c r="D377" s="2"/>
      <c r="E377" s="4"/>
      <c r="F377" s="2"/>
      <c r="G377" s="28">
        <f>IF((G125+G551-G556)=0,0,SUM(IF($K377="",0,($K125+$K551-$K556)*$K377),IF($L377="",0,($L125+$L551-$L556)*$L377),IF($M377="",0,($M125+$M551-$M556)*$M377),IF($N377="",0,($N125+$N551-$N556)*$N377))/(G125+G551-G556))</f>
        <v>0</v>
      </c>
      <c r="H377" s="2"/>
      <c r="I377" s="4"/>
      <c r="J377" s="2"/>
      <c r="K377" s="29">
        <f>IF('RPT1'!$J377="","",'RPT1'!$J377)</f>
        <v>0</v>
      </c>
      <c r="L377" s="29">
        <f>IF('RPT2'!$J377="","",'RPT2'!$J377)</f>
        <v>0</v>
      </c>
      <c r="M377" s="29">
        <f>IF('RPT3'!$J377="","",'RPT3'!$J377)</f>
        <v>0</v>
      </c>
      <c r="N377" s="29">
        <f>IF('RPT4'!$J377="","",'RPT4'!$J377)</f>
        <v>0</v>
      </c>
    </row>
    <row r="378" spans="1:14" x14ac:dyDescent="0.35">
      <c r="A378" s="16" t="s">
        <v>370</v>
      </c>
      <c r="B378" s="2"/>
      <c r="C378" s="28">
        <f t="shared" si="22"/>
        <v>0</v>
      </c>
      <c r="D378" s="2"/>
      <c r="E378" s="4"/>
      <c r="F378" s="2"/>
      <c r="G378" s="28">
        <f>IF((G126+G552-G557)=0,0,SUM(IF($K378="",0,($K126+$K552-$K557)*$K378),IF($L378="",0,($L126+$L552-$L557)*$L378),IF($M378="",0,($M126+$M552-$M557)*$M378),IF($N378="",0,($N126+$N552-$N557)*$N378))/(G126+G552-G557))</f>
        <v>0</v>
      </c>
      <c r="H378" s="2"/>
      <c r="I378" s="4"/>
      <c r="J378" s="2"/>
      <c r="K378" s="29">
        <f>IF('RPT1'!$J378="","",'RPT1'!$J378)</f>
        <v>0</v>
      </c>
      <c r="L378" s="29">
        <f>IF('RPT2'!$J378="","",'RPT2'!$J378)</f>
        <v>0</v>
      </c>
      <c r="M378" s="29">
        <f>IF('RPT3'!$J378="","",'RPT3'!$J378)</f>
        <v>0</v>
      </c>
      <c r="N378" s="29">
        <f>IF('RPT4'!$J378="","",'RPT4'!$J378)</f>
        <v>0</v>
      </c>
    </row>
    <row r="379" spans="1:14" x14ac:dyDescent="0.35">
      <c r="A379" s="16" t="s">
        <v>371</v>
      </c>
      <c r="B379" s="2"/>
      <c r="C379" s="28">
        <f t="shared" si="22"/>
        <v>0</v>
      </c>
      <c r="D379" s="2"/>
      <c r="E379" s="4"/>
      <c r="F379" s="2"/>
      <c r="G379" s="28">
        <f>IF((G132+G558-G563)=0,0,SUM(IF($K379="",0,($K132+$K558-$K563)*$K379),IF($L379="",0,($L132+$L558-$L563)*$L379),IF($M379="",0,($M132+$M558-$M563)*$M379),IF($N379="",0,($N132+$N558-$N563)*$N379))/(G132+G558-G563))</f>
        <v>0</v>
      </c>
      <c r="H379" s="2"/>
      <c r="I379" s="4"/>
      <c r="J379" s="2"/>
      <c r="K379" s="29">
        <f>IF('RPT1'!$J379="","",'RPT1'!$J379)</f>
        <v>0</v>
      </c>
      <c r="L379" s="29">
        <f>IF('RPT2'!$J379="","",'RPT2'!$J379)</f>
        <v>0</v>
      </c>
      <c r="M379" s="29">
        <f>IF('RPT3'!$J379="","",'RPT3'!$J379)</f>
        <v>0</v>
      </c>
      <c r="N379" s="29">
        <f>IF('RPT4'!$J379="","",'RPT4'!$J379)</f>
        <v>0</v>
      </c>
    </row>
    <row r="380" spans="1:14" x14ac:dyDescent="0.35">
      <c r="A380" s="16" t="s">
        <v>372</v>
      </c>
      <c r="B380" s="2"/>
      <c r="C380" s="28">
        <f t="shared" si="22"/>
        <v>0</v>
      </c>
      <c r="D380" s="2"/>
      <c r="E380" s="4"/>
      <c r="F380" s="2"/>
      <c r="G380" s="28">
        <f>IF((G133+G559-G564)=0,0,SUM(IF($K380="",0,($K133+$K559-$K564)*$K380),IF($L380="",0,($L133+$L559-$L564)*$L380),IF($M380="",0,($M133+$M559-$M564)*$M380),IF($N380="",0,($N133+$N559-$N564)*$N380))/(G133+G559-G564))</f>
        <v>0</v>
      </c>
      <c r="H380" s="2"/>
      <c r="I380" s="4"/>
      <c r="J380" s="2"/>
      <c r="K380" s="29">
        <f>IF('RPT1'!$J380="","",'RPT1'!$J380)</f>
        <v>0</v>
      </c>
      <c r="L380" s="29">
        <f>IF('RPT2'!$J380="","",'RPT2'!$J380)</f>
        <v>0</v>
      </c>
      <c r="M380" s="29">
        <f>IF('RPT3'!$J380="","",'RPT3'!$J380)</f>
        <v>0</v>
      </c>
      <c r="N380" s="29">
        <f>IF('RPT4'!$J380="","",'RPT4'!$J380)</f>
        <v>0</v>
      </c>
    </row>
    <row r="381" spans="1:14" x14ac:dyDescent="0.35">
      <c r="A381" s="16" t="s">
        <v>373</v>
      </c>
      <c r="B381" s="2"/>
      <c r="C381" s="28">
        <f t="shared" si="22"/>
        <v>0</v>
      </c>
      <c r="D381" s="2"/>
      <c r="E381" s="4"/>
      <c r="F381" s="2"/>
      <c r="G381" s="28">
        <f>IF((G134+G560-G565)=0,0,SUM(IF($K381="",0,($K134+$K560-$K565)*$K381),IF($L381="",0,($L134+$L560-$L565)*$L381),IF($M381="",0,($M134+$M560-$M565)*$M381),IF($N381="",0,($N134+$N560-$N565)*$N381))/(G134+G560-G565))</f>
        <v>0</v>
      </c>
      <c r="H381" s="2"/>
      <c r="I381" s="4"/>
      <c r="J381" s="2"/>
      <c r="K381" s="29">
        <f>IF('RPT1'!$J381="","",'RPT1'!$J381)</f>
        <v>0</v>
      </c>
      <c r="L381" s="29">
        <f>IF('RPT2'!$J381="","",'RPT2'!$J381)</f>
        <v>0</v>
      </c>
      <c r="M381" s="29">
        <f>IF('RPT3'!$J381="","",'RPT3'!$J381)</f>
        <v>0</v>
      </c>
      <c r="N381" s="29">
        <f>IF('RPT4'!$J381="","",'RPT4'!$J381)</f>
        <v>0</v>
      </c>
    </row>
    <row r="382" spans="1:14" x14ac:dyDescent="0.35">
      <c r="A382" s="16" t="s">
        <v>374</v>
      </c>
      <c r="B382" s="2"/>
      <c r="C382" s="28">
        <f t="shared" si="22"/>
        <v>0</v>
      </c>
      <c r="D382" s="2"/>
      <c r="E382" s="4"/>
      <c r="F382" s="2"/>
      <c r="G382" s="28">
        <f>IF((G135+G561-G566)=0,0,SUM(IF($K382="",0,($K135+$K561-$K566)*$K382),IF($L382="",0,($L135+$L561-$L566)*$L382),IF($M382="",0,($M135+$M561-$M566)*$M382),IF($N382="",0,($N135+$N561-$N566)*$N382))/(G135+G561-G566))</f>
        <v>0</v>
      </c>
      <c r="H382" s="2"/>
      <c r="I382" s="4"/>
      <c r="J382" s="2"/>
      <c r="K382" s="29">
        <f>IF('RPT1'!$J382="","",'RPT1'!$J382)</f>
        <v>0</v>
      </c>
      <c r="L382" s="29">
        <f>IF('RPT2'!$J382="","",'RPT2'!$J382)</f>
        <v>0</v>
      </c>
      <c r="M382" s="29">
        <f>IF('RPT3'!$J382="","",'RPT3'!$J382)</f>
        <v>0</v>
      </c>
      <c r="N382" s="29">
        <f>IF('RPT4'!$J382="","",'RPT4'!$J382)</f>
        <v>0</v>
      </c>
    </row>
    <row r="383" spans="1:14" x14ac:dyDescent="0.35">
      <c r="A383" s="16" t="s">
        <v>375</v>
      </c>
      <c r="B383" s="2"/>
      <c r="C383" s="28">
        <f t="shared" si="22"/>
        <v>0</v>
      </c>
      <c r="D383" s="2"/>
      <c r="E383" s="4"/>
      <c r="F383" s="2"/>
      <c r="G383" s="28">
        <f>IF((G136+G562-G567)=0,0,SUM(IF($K383="",0,($K136+$K562-$K567)*$K383),IF($L383="",0,($L136+$L562-$L567)*$L383),IF($M383="",0,($M136+$M562-$M567)*$M383),IF($N383="",0,($N136+$N562-$N567)*$N383))/(G136+G562-G567))</f>
        <v>0</v>
      </c>
      <c r="H383" s="2"/>
      <c r="I383" s="4"/>
      <c r="J383" s="2"/>
      <c r="K383" s="29">
        <f>IF('RPT1'!$J383="","",'RPT1'!$J383)</f>
        <v>0</v>
      </c>
      <c r="L383" s="29">
        <f>IF('RPT2'!$J383="","",'RPT2'!$J383)</f>
        <v>0</v>
      </c>
      <c r="M383" s="29">
        <f>IF('RPT3'!$J383="","",'RPT3'!$J383)</f>
        <v>0</v>
      </c>
      <c r="N383" s="29">
        <f>IF('RPT4'!$J383="","",'RPT4'!$J383)</f>
        <v>0</v>
      </c>
    </row>
    <row r="384" spans="1:14" x14ac:dyDescent="0.35">
      <c r="A384" s="16" t="s">
        <v>376</v>
      </c>
      <c r="B384" s="2"/>
      <c r="C384" s="28">
        <f t="shared" si="22"/>
        <v>0</v>
      </c>
      <c r="D384" s="2"/>
      <c r="E384" s="4"/>
      <c r="F384" s="2"/>
      <c r="G384" s="28">
        <f>IF((G142+G568-G573)=0,0,SUM(IF($K384="",0,($K142+$K568-$K573)*$K384),IF($L384="",0,($L142+$L568-$L573)*$L384),IF($M384="",0,($M142+$M568-$M573)*$M384),IF($N384="",0,($N142+$N568-$N573)*$N384))/(G142+G568-G573))</f>
        <v>0</v>
      </c>
      <c r="H384" s="2"/>
      <c r="I384" s="4"/>
      <c r="J384" s="2"/>
      <c r="K384" s="29">
        <f>IF('RPT1'!$J384="","",'RPT1'!$J384)</f>
        <v>0</v>
      </c>
      <c r="L384" s="29">
        <f>IF('RPT2'!$J384="","",'RPT2'!$J384)</f>
        <v>0</v>
      </c>
      <c r="M384" s="29">
        <f>IF('RPT3'!$J384="","",'RPT3'!$J384)</f>
        <v>0</v>
      </c>
      <c r="N384" s="29">
        <f>IF('RPT4'!$J384="","",'RPT4'!$J384)</f>
        <v>0</v>
      </c>
    </row>
    <row r="385" spans="1:14" x14ac:dyDescent="0.35">
      <c r="A385" s="16" t="s">
        <v>377</v>
      </c>
      <c r="B385" s="2"/>
      <c r="C385" s="28">
        <f t="shared" si="22"/>
        <v>0</v>
      </c>
      <c r="D385" s="2"/>
      <c r="E385" s="4"/>
      <c r="F385" s="2"/>
      <c r="G385" s="28">
        <f>IF((G143+G569-G574)=0,0,SUM(IF($K385="",0,($K143+$K569-$K574)*$K385),IF($L385="",0,($L143+$L569-$L574)*$L385),IF($M385="",0,($M143+$M569-$M574)*$M385),IF($N385="",0,($N143+$N569-$N574)*$N385))/(G143+G569-G574))</f>
        <v>0</v>
      </c>
      <c r="H385" s="2"/>
      <c r="I385" s="4"/>
      <c r="J385" s="2"/>
      <c r="K385" s="29">
        <f>IF('RPT1'!$J385="","",'RPT1'!$J385)</f>
        <v>0</v>
      </c>
      <c r="L385" s="29">
        <f>IF('RPT2'!$J385="","",'RPT2'!$J385)</f>
        <v>0</v>
      </c>
      <c r="M385" s="29">
        <f>IF('RPT3'!$J385="","",'RPT3'!$J385)</f>
        <v>0</v>
      </c>
      <c r="N385" s="29">
        <f>IF('RPT4'!$J385="","",'RPT4'!$J385)</f>
        <v>0</v>
      </c>
    </row>
    <row r="386" spans="1:14" x14ac:dyDescent="0.35">
      <c r="A386" s="16" t="s">
        <v>378</v>
      </c>
      <c r="B386" s="2"/>
      <c r="C386" s="28">
        <f t="shared" si="22"/>
        <v>0</v>
      </c>
      <c r="D386" s="2"/>
      <c r="E386" s="4"/>
      <c r="F386" s="2"/>
      <c r="G386" s="28">
        <f>IF((G144+G570-G575)=0,0,SUM(IF($K386="",0,($K144+$K570-$K575)*$K386),IF($L386="",0,($L144+$L570-$L575)*$L386),IF($M386="",0,($M144+$M570-$M575)*$M386),IF($N386="",0,($N144+$N570-$N575)*$N386))/(G144+G570-G575))</f>
        <v>0</v>
      </c>
      <c r="H386" s="2"/>
      <c r="I386" s="4"/>
      <c r="J386" s="2"/>
      <c r="K386" s="29">
        <f>IF('RPT1'!$J386="","",'RPT1'!$J386)</f>
        <v>0</v>
      </c>
      <c r="L386" s="29">
        <f>IF('RPT2'!$J386="","",'RPT2'!$J386)</f>
        <v>0</v>
      </c>
      <c r="M386" s="29">
        <f>IF('RPT3'!$J386="","",'RPT3'!$J386)</f>
        <v>0</v>
      </c>
      <c r="N386" s="29">
        <f>IF('RPT4'!$J386="","",'RPT4'!$J386)</f>
        <v>0</v>
      </c>
    </row>
    <row r="387" spans="1:14" x14ac:dyDescent="0.35">
      <c r="A387" s="16" t="s">
        <v>379</v>
      </c>
      <c r="B387" s="2"/>
      <c r="C387" s="28">
        <f t="shared" si="22"/>
        <v>0</v>
      </c>
      <c r="D387" s="2"/>
      <c r="E387" s="4"/>
      <c r="F387" s="2"/>
      <c r="G387" s="28">
        <f>IF((G145+G571-G576)=0,0,SUM(IF($K387="",0,($K145+$K571-$K576)*$K387),IF($L387="",0,($L145+$L571-$L576)*$L387),IF($M387="",0,($M145+$M571-$M576)*$M387),IF($N387="",0,($N145+$N571-$N576)*$N387))/(G145+G571-G576))</f>
        <v>0</v>
      </c>
      <c r="H387" s="2"/>
      <c r="I387" s="4"/>
      <c r="J387" s="2"/>
      <c r="K387" s="29">
        <f>IF('RPT1'!$J387="","",'RPT1'!$J387)</f>
        <v>0</v>
      </c>
      <c r="L387" s="29">
        <f>IF('RPT2'!$J387="","",'RPT2'!$J387)</f>
        <v>0</v>
      </c>
      <c r="M387" s="29">
        <f>IF('RPT3'!$J387="","",'RPT3'!$J387)</f>
        <v>0</v>
      </c>
      <c r="N387" s="29">
        <f>IF('RPT4'!$J387="","",'RPT4'!$J387)</f>
        <v>0</v>
      </c>
    </row>
    <row r="388" spans="1:14" x14ac:dyDescent="0.35">
      <c r="A388" s="16" t="s">
        <v>380</v>
      </c>
      <c r="B388" s="2"/>
      <c r="C388" s="28">
        <f t="shared" si="22"/>
        <v>0</v>
      </c>
      <c r="D388" s="2"/>
      <c r="E388" s="4"/>
      <c r="F388" s="2"/>
      <c r="G388" s="28">
        <f>IF((G146+G572-G577)=0,0,SUM(IF($K388="",0,($K146+$K572-$K577)*$K388),IF($L388="",0,($L146+$L572-$L577)*$L388),IF($M388="",0,($M146+$M572-$M577)*$M388),IF($N388="",0,($N146+$N572-$N577)*$N388))/(G146+G572-G577))</f>
        <v>0</v>
      </c>
      <c r="H388" s="2"/>
      <c r="I388" s="4"/>
      <c r="J388" s="2"/>
      <c r="K388" s="29">
        <f>IF('RPT1'!$J388="","",'RPT1'!$J388)</f>
        <v>0</v>
      </c>
      <c r="L388" s="29">
        <f>IF('RPT2'!$J388="","",'RPT2'!$J388)</f>
        <v>0</v>
      </c>
      <c r="M388" s="29">
        <f>IF('RPT3'!$J388="","",'RPT3'!$J388)</f>
        <v>0</v>
      </c>
      <c r="N388" s="29">
        <f>IF('RPT4'!$J388="","",'RPT4'!$J388)</f>
        <v>0</v>
      </c>
    </row>
    <row r="389" spans="1:14" x14ac:dyDescent="0.35">
      <c r="A389" s="16" t="s">
        <v>381</v>
      </c>
      <c r="B389" s="2"/>
      <c r="C389" s="28">
        <f t="shared" si="22"/>
        <v>0</v>
      </c>
      <c r="D389" s="2"/>
      <c r="E389" s="4"/>
      <c r="F389" s="2"/>
      <c r="G389" s="28">
        <f>IF((G152+G578-G583)=0,0,SUM(IF($K389="",0,($K152+$K578-$K583)*$K389),IF($L389="",0,($L152+$L578-$L583)*$L389),IF($M389="",0,($M152+$M578-$M583)*$M389),IF($N389="",0,($N152+$N578-$N583)*$N389))/(G152+G578-G583))</f>
        <v>0</v>
      </c>
      <c r="H389" s="2"/>
      <c r="I389" s="4"/>
      <c r="J389" s="2"/>
      <c r="K389" s="29">
        <f>IF('RPT1'!$J389="","",'RPT1'!$J389)</f>
        <v>0</v>
      </c>
      <c r="L389" s="29">
        <f>IF('RPT2'!$J389="","",'RPT2'!$J389)</f>
        <v>0</v>
      </c>
      <c r="M389" s="29">
        <f>IF('RPT3'!$J389="","",'RPT3'!$J389)</f>
        <v>0</v>
      </c>
      <c r="N389" s="29">
        <f>IF('RPT4'!$J389="","",'RPT4'!$J389)</f>
        <v>0</v>
      </c>
    </row>
    <row r="390" spans="1:14" x14ac:dyDescent="0.35">
      <c r="A390" s="16" t="s">
        <v>382</v>
      </c>
      <c r="B390" s="2"/>
      <c r="C390" s="28">
        <f t="shared" si="22"/>
        <v>0</v>
      </c>
      <c r="D390" s="2"/>
      <c r="E390" s="4"/>
      <c r="F390" s="2"/>
      <c r="G390" s="28">
        <f>IF((G153+G579-G584)=0,0,SUM(IF($K390="",0,($K153+$K579-$K584)*$K390),IF($L390="",0,($L153+$L579-$L584)*$L390),IF($M390="",0,($M153+$M579-$M584)*$M390),IF($N390="",0,($N153+$N579-$N584)*$N390))/(G153+G579-G584))</f>
        <v>0</v>
      </c>
      <c r="H390" s="2"/>
      <c r="I390" s="4"/>
      <c r="J390" s="2"/>
      <c r="K390" s="29">
        <f>IF('RPT1'!$J390="","",'RPT1'!$J390)</f>
        <v>0</v>
      </c>
      <c r="L390" s="29">
        <f>IF('RPT2'!$J390="","",'RPT2'!$J390)</f>
        <v>0</v>
      </c>
      <c r="M390" s="29">
        <f>IF('RPT3'!$J390="","",'RPT3'!$J390)</f>
        <v>0</v>
      </c>
      <c r="N390" s="29">
        <f>IF('RPT4'!$J390="","",'RPT4'!$J390)</f>
        <v>0</v>
      </c>
    </row>
    <row r="391" spans="1:14" x14ac:dyDescent="0.35">
      <c r="A391" s="16" t="s">
        <v>383</v>
      </c>
      <c r="B391" s="2"/>
      <c r="C391" s="28">
        <f t="shared" si="22"/>
        <v>0</v>
      </c>
      <c r="D391" s="2"/>
      <c r="E391" s="4"/>
      <c r="F391" s="2"/>
      <c r="G391" s="28">
        <f>IF((G154+G580-G585)=0,0,SUM(IF($K391="",0,($K154+$K580-$K585)*$K391),IF($L391="",0,($L154+$L580-$L585)*$L391),IF($M391="",0,($M154+$M580-$M585)*$M391),IF($N391="",0,($N154+$N580-$N585)*$N391))/(G154+G580-G585))</f>
        <v>0</v>
      </c>
      <c r="H391" s="2"/>
      <c r="I391" s="4"/>
      <c r="J391" s="2"/>
      <c r="K391" s="29">
        <f>IF('RPT1'!$J391="","",'RPT1'!$J391)</f>
        <v>0</v>
      </c>
      <c r="L391" s="29">
        <f>IF('RPT2'!$J391="","",'RPT2'!$J391)</f>
        <v>0</v>
      </c>
      <c r="M391" s="29">
        <f>IF('RPT3'!$J391="","",'RPT3'!$J391)</f>
        <v>0</v>
      </c>
      <c r="N391" s="29">
        <f>IF('RPT4'!$J391="","",'RPT4'!$J391)</f>
        <v>0</v>
      </c>
    </row>
    <row r="392" spans="1:14" x14ac:dyDescent="0.35">
      <c r="A392" s="16" t="s">
        <v>384</v>
      </c>
      <c r="B392" s="2"/>
      <c r="C392" s="28">
        <f t="shared" si="22"/>
        <v>0</v>
      </c>
      <c r="D392" s="2"/>
      <c r="E392" s="4"/>
      <c r="F392" s="2"/>
      <c r="G392" s="28">
        <f>IF((G155+G581-G586)=0,0,SUM(IF($K392="",0,($K155+$K581-$K586)*$K392),IF($L392="",0,($L155+$L581-$L586)*$L392),IF($M392="",0,($M155+$M581-$M586)*$M392),IF($N392="",0,($N155+$N581-$N586)*$N392))/(G155+G581-G586))</f>
        <v>0</v>
      </c>
      <c r="H392" s="2"/>
      <c r="I392" s="4"/>
      <c r="J392" s="2"/>
      <c r="K392" s="29">
        <f>IF('RPT1'!$J392="","",'RPT1'!$J392)</f>
        <v>0</v>
      </c>
      <c r="L392" s="29">
        <f>IF('RPT2'!$J392="","",'RPT2'!$J392)</f>
        <v>0</v>
      </c>
      <c r="M392" s="29">
        <f>IF('RPT3'!$J392="","",'RPT3'!$J392)</f>
        <v>0</v>
      </c>
      <c r="N392" s="29">
        <f>IF('RPT4'!$J392="","",'RPT4'!$J392)</f>
        <v>0</v>
      </c>
    </row>
    <row r="393" spans="1:14" x14ac:dyDescent="0.35">
      <c r="A393" s="16" t="s">
        <v>385</v>
      </c>
      <c r="B393" s="2"/>
      <c r="C393" s="28">
        <f t="shared" si="22"/>
        <v>0</v>
      </c>
      <c r="D393" s="2"/>
      <c r="E393" s="4"/>
      <c r="F393" s="2"/>
      <c r="G393" s="28">
        <f>IF((G156+G582-G587)=0,0,SUM(IF($K393="",0,($K156+$K582-$K587)*$K393),IF($L393="",0,($L156+$L582-$L587)*$L393),IF($M393="",0,($M156+$M582-$M587)*$M393),IF($N393="",0,($N156+$N582-$N587)*$N393))/(G156+G582-G587))</f>
        <v>0</v>
      </c>
      <c r="H393" s="2"/>
      <c r="I393" s="4"/>
      <c r="J393" s="2"/>
      <c r="K393" s="29">
        <f>IF('RPT1'!$J393="","",'RPT1'!$J393)</f>
        <v>0</v>
      </c>
      <c r="L393" s="29">
        <f>IF('RPT2'!$J393="","",'RPT2'!$J393)</f>
        <v>0</v>
      </c>
      <c r="M393" s="29">
        <f>IF('RPT3'!$J393="","",'RPT3'!$J393)</f>
        <v>0</v>
      </c>
      <c r="N393" s="29">
        <f>IF('RPT4'!$J393="","",'RPT4'!$J393)</f>
        <v>0</v>
      </c>
    </row>
    <row r="394" spans="1:14" x14ac:dyDescent="0.35">
      <c r="A394" s="24"/>
      <c r="B394" s="2"/>
      <c r="C394" s="14"/>
      <c r="D394" s="2"/>
      <c r="E394" s="4"/>
      <c r="F394" s="2"/>
      <c r="G394" s="14"/>
      <c r="H394" s="2"/>
      <c r="I394" s="4"/>
      <c r="J394" s="2"/>
      <c r="K394" s="25"/>
      <c r="L394" s="25"/>
      <c r="M394" s="25"/>
      <c r="N394" s="25"/>
    </row>
    <row r="395" spans="1:14" x14ac:dyDescent="0.35">
      <c r="A395" s="12" t="s">
        <v>386</v>
      </c>
      <c r="B395" s="2"/>
      <c r="C395" s="14"/>
      <c r="D395" s="2"/>
      <c r="E395" s="4"/>
      <c r="F395" s="2"/>
      <c r="G395" s="14"/>
      <c r="H395" s="2"/>
      <c r="I395" s="4"/>
      <c r="J395" s="2"/>
      <c r="K395" s="25" t="str">
        <f>IF('RPT1'!$J395="","",'RPT1'!$J395)</f>
        <v/>
      </c>
      <c r="L395" s="25" t="str">
        <f>IF('RPT2'!$J395="","",'RPT2'!$J395)</f>
        <v/>
      </c>
      <c r="M395" s="25" t="str">
        <f>IF('RPT3'!$J395="","",'RPT3'!$J395)</f>
        <v/>
      </c>
      <c r="N395" s="25" t="str">
        <f>IF('RPT4'!$J395="","",'RPT4'!$J395)</f>
        <v/>
      </c>
    </row>
    <row r="396" spans="1:14" x14ac:dyDescent="0.35">
      <c r="A396" s="16" t="s">
        <v>387</v>
      </c>
      <c r="B396" s="2"/>
      <c r="C396" s="28">
        <f t="shared" ref="C396:C415" si="23">IF(Combine="Y", $G396, 0)</f>
        <v>0.2429440327566717</v>
      </c>
      <c r="D396" s="2"/>
      <c r="E396" s="4"/>
      <c r="F396" s="2"/>
      <c r="G396" s="28">
        <f>IF((G122+G548-G553)=0,0,SUM(IF($K396="",0,($K122+$K548-$K553)*$K396),IF($L396="",0,($L122+$L548-$L553)*$L396),IF($M396="",0,($M122+$M548-$M553)*$M396),IF($N396="",0,($N122+$N548-$N553)*$N396))/(G122+G548-G553))</f>
        <v>0.2429440327566717</v>
      </c>
      <c r="H396" s="2"/>
      <c r="I396" s="4"/>
      <c r="J396" s="2"/>
      <c r="K396" s="29">
        <f>IF('RPT1'!$J396="","",'RPT1'!$J396)</f>
        <v>0</v>
      </c>
      <c r="L396" s="29">
        <f>IF('RPT2'!$J396="","",'RPT2'!$J396)</f>
        <v>0.89345807668719623</v>
      </c>
      <c r="M396" s="29">
        <f>IF('RPT3'!$J396="","",'RPT3'!$J396)</f>
        <v>0</v>
      </c>
      <c r="N396" s="29">
        <f>IF('RPT4'!$J396="","",'RPT4'!$J396)</f>
        <v>0</v>
      </c>
    </row>
    <row r="397" spans="1:14" x14ac:dyDescent="0.35">
      <c r="A397" s="16" t="s">
        <v>388</v>
      </c>
      <c r="B397" s="2"/>
      <c r="C397" s="28">
        <f t="shared" si="23"/>
        <v>0</v>
      </c>
      <c r="D397" s="2"/>
      <c r="E397" s="4"/>
      <c r="F397" s="2"/>
      <c r="G397" s="28">
        <f>IF((G123+G549-G554)=0,0,SUM(IF($K397="",0,($K123+$K549-$K554)*$K397),IF($L397="",0,($L123+$L549-$L554)*$L397),IF($M397="",0,($M123+$M549-$M554)*$M397),IF($N397="",0,($N123+$N549-$N554)*$N397))/(G123+G549-G554))</f>
        <v>0</v>
      </c>
      <c r="H397" s="2"/>
      <c r="I397" s="4"/>
      <c r="J397" s="2"/>
      <c r="K397" s="29">
        <f>IF('RPT1'!$J397="","",'RPT1'!$J397)</f>
        <v>0</v>
      </c>
      <c r="L397" s="29">
        <f>IF('RPT2'!$J397="","",'RPT2'!$J397)</f>
        <v>0</v>
      </c>
      <c r="M397" s="29">
        <f>IF('RPT3'!$J397="","",'RPT3'!$J397)</f>
        <v>0</v>
      </c>
      <c r="N397" s="29">
        <f>IF('RPT4'!$J397="","",'RPT4'!$J397)</f>
        <v>0</v>
      </c>
    </row>
    <row r="398" spans="1:14" x14ac:dyDescent="0.35">
      <c r="A398" s="16" t="s">
        <v>389</v>
      </c>
      <c r="B398" s="2"/>
      <c r="C398" s="28">
        <f t="shared" si="23"/>
        <v>0</v>
      </c>
      <c r="D398" s="2"/>
      <c r="E398" s="4"/>
      <c r="F398" s="2"/>
      <c r="G398" s="28">
        <f>IF((G124+G550-G555)=0,0,SUM(IF($K398="",0,($K124+$K550-$K555)*$K398),IF($L398="",0,($L124+$L550-$L555)*$L398),IF($M398="",0,($M124+$M550-$M555)*$M398),IF($N398="",0,($N124+$N550-$N555)*$N398))/(G124+G550-G555))</f>
        <v>0</v>
      </c>
      <c r="H398" s="2"/>
      <c r="I398" s="4"/>
      <c r="J398" s="2"/>
      <c r="K398" s="29">
        <f>IF('RPT1'!$J398="","",'RPT1'!$J398)</f>
        <v>0</v>
      </c>
      <c r="L398" s="29">
        <f>IF('RPT2'!$J398="","",'RPT2'!$J398)</f>
        <v>0</v>
      </c>
      <c r="M398" s="29">
        <f>IF('RPT3'!$J398="","",'RPT3'!$J398)</f>
        <v>0</v>
      </c>
      <c r="N398" s="29">
        <f>IF('RPT4'!$J398="","",'RPT4'!$J398)</f>
        <v>0</v>
      </c>
    </row>
    <row r="399" spans="1:14" x14ac:dyDescent="0.35">
      <c r="A399" s="16" t="s">
        <v>390</v>
      </c>
      <c r="B399" s="2"/>
      <c r="C399" s="28">
        <f t="shared" si="23"/>
        <v>0</v>
      </c>
      <c r="D399" s="2"/>
      <c r="E399" s="4"/>
      <c r="F399" s="2"/>
      <c r="G399" s="28">
        <f>IF((G125+G551-G556)=0,0,SUM(IF($K399="",0,($K125+$K551-$K556)*$K399),IF($L399="",0,($L125+$L551-$L556)*$L399),IF($M399="",0,($M125+$M551-$M556)*$M399),IF($N399="",0,($N125+$N551-$N556)*$N399))/(G125+G551-G556))</f>
        <v>0</v>
      </c>
      <c r="H399" s="2"/>
      <c r="I399" s="4"/>
      <c r="J399" s="2"/>
      <c r="K399" s="29">
        <f>IF('RPT1'!$J399="","",'RPT1'!$J399)</f>
        <v>0</v>
      </c>
      <c r="L399" s="29">
        <f>IF('RPT2'!$J399="","",'RPT2'!$J399)</f>
        <v>0</v>
      </c>
      <c r="M399" s="29">
        <f>IF('RPT3'!$J399="","",'RPT3'!$J399)</f>
        <v>0</v>
      </c>
      <c r="N399" s="29">
        <f>IF('RPT4'!$J399="","",'RPT4'!$J399)</f>
        <v>0</v>
      </c>
    </row>
    <row r="400" spans="1:14" x14ac:dyDescent="0.35">
      <c r="A400" s="16" t="s">
        <v>391</v>
      </c>
      <c r="B400" s="2"/>
      <c r="C400" s="28">
        <f t="shared" si="23"/>
        <v>0</v>
      </c>
      <c r="D400" s="2"/>
      <c r="E400" s="4"/>
      <c r="F400" s="2"/>
      <c r="G400" s="28">
        <f>IF((G126+G552-G557)=0,0,SUM(IF($K400="",0,($K126+$K552-$K557)*$K400),IF($L400="",0,($L126+$L552-$L557)*$L400),IF($M400="",0,($M126+$M552-$M557)*$M400),IF($N400="",0,($N126+$N552-$N557)*$N400))/(G126+G552-G557))</f>
        <v>0</v>
      </c>
      <c r="H400" s="2"/>
      <c r="I400" s="4"/>
      <c r="J400" s="2"/>
      <c r="K400" s="29">
        <f>IF('RPT1'!$J400="","",'RPT1'!$J400)</f>
        <v>0</v>
      </c>
      <c r="L400" s="29">
        <f>IF('RPT2'!$J400="","",'RPT2'!$J400)</f>
        <v>0</v>
      </c>
      <c r="M400" s="29">
        <f>IF('RPT3'!$J400="","",'RPT3'!$J400)</f>
        <v>0</v>
      </c>
      <c r="N400" s="29">
        <f>IF('RPT4'!$J400="","",'RPT4'!$J400)</f>
        <v>0</v>
      </c>
    </row>
    <row r="401" spans="1:14" x14ac:dyDescent="0.35">
      <c r="A401" s="16" t="s">
        <v>392</v>
      </c>
      <c r="B401" s="2"/>
      <c r="C401" s="28">
        <f t="shared" si="23"/>
        <v>0.13161830638289521</v>
      </c>
      <c r="D401" s="2"/>
      <c r="E401" s="4"/>
      <c r="F401" s="2"/>
      <c r="G401" s="28">
        <f>IF((G132+G558-G563)=0,0,SUM(IF($K401="",0,($K132+$K558-$K563)*$K401),IF($L401="",0,($L132+$L558-$L563)*$L401),IF($M401="",0,($M132+$M558-$M563)*$M401),IF($N401="",0,($N132+$N558-$N563)*$N401))/(G132+G558-G563))</f>
        <v>0.13161830638289521</v>
      </c>
      <c r="H401" s="2"/>
      <c r="I401" s="4"/>
      <c r="J401" s="2"/>
      <c r="K401" s="29">
        <f>IF('RPT1'!$J401="","",'RPT1'!$J401)</f>
        <v>0.1219209200936166</v>
      </c>
      <c r="L401" s="29">
        <f>IF('RPT2'!$J401="","",'RPT2'!$J401)</f>
        <v>0.28357875269066352</v>
      </c>
      <c r="M401" s="29">
        <f>IF('RPT3'!$J401="","",'RPT3'!$J401)</f>
        <v>5.6842916668520732E-2</v>
      </c>
      <c r="N401" s="29">
        <f>IF('RPT4'!$J401="","",'RPT4'!$J401)</f>
        <v>3.8807734131455968E-2</v>
      </c>
    </row>
    <row r="402" spans="1:14" x14ac:dyDescent="0.35">
      <c r="A402" s="16" t="s">
        <v>393</v>
      </c>
      <c r="B402" s="2"/>
      <c r="C402" s="28">
        <f t="shared" si="23"/>
        <v>7.1389787439523969E-3</v>
      </c>
      <c r="D402" s="2"/>
      <c r="E402" s="4"/>
      <c r="F402" s="2"/>
      <c r="G402" s="28">
        <f>IF((G133+G559-G564)=0,0,SUM(IF($K402="",0,($K133+$K559-$K564)*$K402),IF($L402="",0,($L133+$L559-$L564)*$L402),IF($M402="",0,($M133+$M559-$M564)*$M402),IF($N402="",0,($N133+$N559-$N564)*$N402))/(G133+G559-G564))</f>
        <v>7.1389787439523969E-3</v>
      </c>
      <c r="H402" s="2"/>
      <c r="I402" s="4"/>
      <c r="J402" s="2"/>
      <c r="K402" s="29">
        <f>IF('RPT1'!$J402="","",'RPT1'!$J402)</f>
        <v>1.6019827868733721E-2</v>
      </c>
      <c r="L402" s="29">
        <f>IF('RPT2'!$J402="","",'RPT2'!$J402)</f>
        <v>1.2657303433434609E-2</v>
      </c>
      <c r="M402" s="29">
        <f>IF('RPT3'!$J402="","",'RPT3'!$J402)</f>
        <v>0</v>
      </c>
      <c r="N402" s="29">
        <f>IF('RPT4'!$J402="","",'RPT4'!$J402)</f>
        <v>0</v>
      </c>
    </row>
    <row r="403" spans="1:14" x14ac:dyDescent="0.35">
      <c r="A403" s="16" t="s">
        <v>394</v>
      </c>
      <c r="B403" s="2"/>
      <c r="C403" s="28">
        <f t="shared" si="23"/>
        <v>0</v>
      </c>
      <c r="D403" s="2"/>
      <c r="E403" s="4"/>
      <c r="F403" s="2"/>
      <c r="G403" s="28">
        <f>IF((G134+G560-G565)=0,0,SUM(IF($K403="",0,($K134+$K560-$K565)*$K403),IF($L403="",0,($L134+$L560-$L565)*$L403),IF($M403="",0,($M134+$M560-$M565)*$M403),IF($N403="",0,($N134+$N560-$N565)*$N403))/(G134+G560-G565))</f>
        <v>0</v>
      </c>
      <c r="H403" s="2"/>
      <c r="I403" s="4"/>
      <c r="J403" s="2"/>
      <c r="K403" s="29">
        <f>IF('RPT1'!$J403="","",'RPT1'!$J403)</f>
        <v>0</v>
      </c>
      <c r="L403" s="29">
        <f>IF('RPT2'!$J403="","",'RPT2'!$J403)</f>
        <v>0</v>
      </c>
      <c r="M403" s="29">
        <f>IF('RPT3'!$J403="","",'RPT3'!$J403)</f>
        <v>0</v>
      </c>
      <c r="N403" s="29">
        <f>IF('RPT4'!$J403="","",'RPT4'!$J403)</f>
        <v>0</v>
      </c>
    </row>
    <row r="404" spans="1:14" x14ac:dyDescent="0.35">
      <c r="A404" s="16" t="s">
        <v>395</v>
      </c>
      <c r="B404" s="2"/>
      <c r="C404" s="28">
        <f t="shared" si="23"/>
        <v>0</v>
      </c>
      <c r="D404" s="2"/>
      <c r="E404" s="4"/>
      <c r="F404" s="2"/>
      <c r="G404" s="28">
        <f>IF((G135+G561-G566)=0,0,SUM(IF($K404="",0,($K135+$K561-$K566)*$K404),IF($L404="",0,($L135+$L561-$L566)*$L404),IF($M404="",0,($M135+$M561-$M566)*$M404),IF($N404="",0,($N135+$N561-$N566)*$N404))/(G135+G561-G566))</f>
        <v>0</v>
      </c>
      <c r="H404" s="2"/>
      <c r="I404" s="4"/>
      <c r="J404" s="2"/>
      <c r="K404" s="29">
        <f>IF('RPT1'!$J404="","",'RPT1'!$J404)</f>
        <v>0</v>
      </c>
      <c r="L404" s="29">
        <f>IF('RPT2'!$J404="","",'RPT2'!$J404)</f>
        <v>0</v>
      </c>
      <c r="M404" s="29">
        <f>IF('RPT3'!$J404="","",'RPT3'!$J404)</f>
        <v>0</v>
      </c>
      <c r="N404" s="29">
        <f>IF('RPT4'!$J404="","",'RPT4'!$J404)</f>
        <v>0</v>
      </c>
    </row>
    <row r="405" spans="1:14" x14ac:dyDescent="0.35">
      <c r="A405" s="16" t="s">
        <v>396</v>
      </c>
      <c r="B405" s="2"/>
      <c r="C405" s="28">
        <f t="shared" si="23"/>
        <v>0</v>
      </c>
      <c r="D405" s="2"/>
      <c r="E405" s="4"/>
      <c r="F405" s="2"/>
      <c r="G405" s="28">
        <f>IF((G136+G562-G567)=0,0,SUM(IF($K405="",0,($K136+$K562-$K567)*$K405),IF($L405="",0,($L136+$L562-$L567)*$L405),IF($M405="",0,($M136+$M562-$M567)*$M405),IF($N405="",0,($N136+$N562-$N567)*$N405))/(G136+G562-G567))</f>
        <v>0</v>
      </c>
      <c r="H405" s="2"/>
      <c r="I405" s="4"/>
      <c r="J405" s="2"/>
      <c r="K405" s="29">
        <f>IF('RPT1'!$J405="","",'RPT1'!$J405)</f>
        <v>0</v>
      </c>
      <c r="L405" s="29">
        <f>IF('RPT2'!$J405="","",'RPT2'!$J405)</f>
        <v>0</v>
      </c>
      <c r="M405" s="29">
        <f>IF('RPT3'!$J405="","",'RPT3'!$J405)</f>
        <v>0</v>
      </c>
      <c r="N405" s="29">
        <f>IF('RPT4'!$J405="","",'RPT4'!$J405)</f>
        <v>0</v>
      </c>
    </row>
    <row r="406" spans="1:14" x14ac:dyDescent="0.35">
      <c r="A406" s="16" t="s">
        <v>397</v>
      </c>
      <c r="B406" s="2"/>
      <c r="C406" s="28">
        <f t="shared" si="23"/>
        <v>1.8638276587648157</v>
      </c>
      <c r="D406" s="2"/>
      <c r="E406" s="4"/>
      <c r="F406" s="2"/>
      <c r="G406" s="28">
        <f>IF((G142+G568-G573)=0,0,SUM(IF($K406="",0,($K142+$K568-$K573)*$K406),IF($L406="",0,($L142+$L568-$L573)*$L406),IF($M406="",0,($M142+$M568-$M573)*$M406),IF($N406="",0,($N142+$N568-$N573)*$N406))/(G142+G568-G573))</f>
        <v>1.8638276587648157</v>
      </c>
      <c r="H406" s="2"/>
      <c r="I406" s="4"/>
      <c r="J406" s="2"/>
      <c r="K406" s="29">
        <f>IF('RPT1'!$J406="","",'RPT1'!$J406)</f>
        <v>1.7147853472681669</v>
      </c>
      <c r="L406" s="29">
        <f>IF('RPT2'!$J406="","",'RPT2'!$J406)</f>
        <v>4.2462567284690449</v>
      </c>
      <c r="M406" s="29">
        <f>IF('RPT3'!$J406="","",'RPT3'!$J406)</f>
        <v>0.61745853102592163</v>
      </c>
      <c r="N406" s="29">
        <f>IF('RPT4'!$J406="","",'RPT4'!$J406)</f>
        <v>0.40282239865716968</v>
      </c>
    </row>
    <row r="407" spans="1:14" x14ac:dyDescent="0.35">
      <c r="A407" s="16" t="s">
        <v>398</v>
      </c>
      <c r="B407" s="2"/>
      <c r="C407" s="28">
        <f t="shared" si="23"/>
        <v>0.11348270355184725</v>
      </c>
      <c r="D407" s="2"/>
      <c r="E407" s="4"/>
      <c r="F407" s="2"/>
      <c r="G407" s="28">
        <f>IF((G143+G569-G574)=0,0,SUM(IF($K407="",0,($K143+$K569-$K574)*$K407),IF($L407="",0,($L143+$L569-$L574)*$L407),IF($M407="",0,($M143+$M569-$M574)*$M407),IF($N407="",0,($N143+$N569-$N574)*$N407))/(G143+G569-G574))</f>
        <v>0.11348270355184725</v>
      </c>
      <c r="H407" s="2"/>
      <c r="I407" s="4"/>
      <c r="J407" s="2"/>
      <c r="K407" s="29">
        <f>IF('RPT1'!$J407="","",'RPT1'!$J407)</f>
        <v>0.25492847431620302</v>
      </c>
      <c r="L407" s="29">
        <f>IF('RPT2'!$J407="","",'RPT2'!$J407)</f>
        <v>0.20032577441935009</v>
      </c>
      <c r="M407" s="29">
        <f>IF('RPT3'!$J407="","",'RPT3'!$J407)</f>
        <v>0</v>
      </c>
      <c r="N407" s="29">
        <f>IF('RPT4'!$J407="","",'RPT4'!$J407)</f>
        <v>0</v>
      </c>
    </row>
    <row r="408" spans="1:14" x14ac:dyDescent="0.35">
      <c r="A408" s="16" t="s">
        <v>399</v>
      </c>
      <c r="B408" s="2"/>
      <c r="C408" s="28">
        <f t="shared" si="23"/>
        <v>0</v>
      </c>
      <c r="D408" s="2"/>
      <c r="E408" s="4"/>
      <c r="F408" s="2"/>
      <c r="G408" s="28">
        <f>IF((G144+G570-G575)=0,0,SUM(IF($K408="",0,($K144+$K570-$K575)*$K408),IF($L408="",0,($L144+$L570-$L575)*$L408),IF($M408="",0,($M144+$M570-$M575)*$M408),IF($N408="",0,($N144+$N570-$N575)*$N408))/(G144+G570-G575))</f>
        <v>0</v>
      </c>
      <c r="H408" s="2"/>
      <c r="I408" s="4"/>
      <c r="J408" s="2"/>
      <c r="K408" s="29">
        <f>IF('RPT1'!$J408="","",'RPT1'!$J408)</f>
        <v>0</v>
      </c>
      <c r="L408" s="29">
        <f>IF('RPT2'!$J408="","",'RPT2'!$J408)</f>
        <v>0</v>
      </c>
      <c r="M408" s="29">
        <f>IF('RPT3'!$J408="","",'RPT3'!$J408)</f>
        <v>0</v>
      </c>
      <c r="N408" s="29">
        <f>IF('RPT4'!$J408="","",'RPT4'!$J408)</f>
        <v>0</v>
      </c>
    </row>
    <row r="409" spans="1:14" x14ac:dyDescent="0.35">
      <c r="A409" s="16" t="s">
        <v>400</v>
      </c>
      <c r="B409" s="2"/>
      <c r="C409" s="28">
        <f t="shared" si="23"/>
        <v>0</v>
      </c>
      <c r="D409" s="2"/>
      <c r="E409" s="4"/>
      <c r="F409" s="2"/>
      <c r="G409" s="28">
        <f>IF((G145+G571-G576)=0,0,SUM(IF($K409="",0,($K145+$K571-$K576)*$K409),IF($L409="",0,($L145+$L571-$L576)*$L409),IF($M409="",0,($M145+$M571-$M576)*$M409),IF($N409="",0,($N145+$N571-$N576)*$N409))/(G145+G571-G576))</f>
        <v>0</v>
      </c>
      <c r="H409" s="2"/>
      <c r="I409" s="4"/>
      <c r="J409" s="2"/>
      <c r="K409" s="29">
        <f>IF('RPT1'!$J409="","",'RPT1'!$J409)</f>
        <v>0</v>
      </c>
      <c r="L409" s="29">
        <f>IF('RPT2'!$J409="","",'RPT2'!$J409)</f>
        <v>0</v>
      </c>
      <c r="M409" s="29">
        <f>IF('RPT3'!$J409="","",'RPT3'!$J409)</f>
        <v>0</v>
      </c>
      <c r="N409" s="29">
        <f>IF('RPT4'!$J409="","",'RPT4'!$J409)</f>
        <v>0</v>
      </c>
    </row>
    <row r="410" spans="1:14" x14ac:dyDescent="0.35">
      <c r="A410" s="16" t="s">
        <v>401</v>
      </c>
      <c r="B410" s="2"/>
      <c r="C410" s="28">
        <f t="shared" si="23"/>
        <v>0</v>
      </c>
      <c r="D410" s="2"/>
      <c r="E410" s="4"/>
      <c r="F410" s="2"/>
      <c r="G410" s="28">
        <f>IF((G146+G572-G577)=0,0,SUM(IF($K410="",0,($K146+$K572-$K577)*$K410),IF($L410="",0,($L146+$L572-$L577)*$L410),IF($M410="",0,($M146+$M572-$M577)*$M410),IF($N410="",0,($N146+$N572-$N577)*$N410))/(G146+G572-G577))</f>
        <v>0</v>
      </c>
      <c r="H410" s="2"/>
      <c r="I410" s="4"/>
      <c r="J410" s="2"/>
      <c r="K410" s="29">
        <f>IF('RPT1'!$J410="","",'RPT1'!$J410)</f>
        <v>0</v>
      </c>
      <c r="L410" s="29">
        <f>IF('RPT2'!$J410="","",'RPT2'!$J410)</f>
        <v>0</v>
      </c>
      <c r="M410" s="29">
        <f>IF('RPT3'!$J410="","",'RPT3'!$J410)</f>
        <v>0</v>
      </c>
      <c r="N410" s="29">
        <f>IF('RPT4'!$J410="","",'RPT4'!$J410)</f>
        <v>0</v>
      </c>
    </row>
    <row r="411" spans="1:14" x14ac:dyDescent="0.35">
      <c r="A411" s="16" t="s">
        <v>402</v>
      </c>
      <c r="B411" s="2"/>
      <c r="C411" s="28">
        <f t="shared" si="23"/>
        <v>0</v>
      </c>
      <c r="D411" s="2"/>
      <c r="E411" s="4"/>
      <c r="F411" s="2"/>
      <c r="G411" s="28">
        <f>IF((G152+G578-G583)=0,0,SUM(IF($K411="",0,($K152+$K578-$K583)*$K411),IF($L411="",0,($L152+$L578-$L583)*$L411),IF($M411="",0,($M152+$M578-$M583)*$M411),IF($N411="",0,($N152+$N578-$N583)*$N411))/(G152+G578-G583))</f>
        <v>0</v>
      </c>
      <c r="H411" s="2"/>
      <c r="I411" s="4"/>
      <c r="J411" s="2"/>
      <c r="K411" s="29">
        <f>IF('RPT1'!$J411="","",'RPT1'!$J411)</f>
        <v>0</v>
      </c>
      <c r="L411" s="29">
        <f>IF('RPT2'!$J411="","",'RPT2'!$J411)</f>
        <v>0</v>
      </c>
      <c r="M411" s="29">
        <f>IF('RPT3'!$J411="","",'RPT3'!$J411)</f>
        <v>0</v>
      </c>
      <c r="N411" s="29">
        <f>IF('RPT4'!$J411="","",'RPT4'!$J411)</f>
        <v>0</v>
      </c>
    </row>
    <row r="412" spans="1:14" x14ac:dyDescent="0.35">
      <c r="A412" s="16" t="s">
        <v>403</v>
      </c>
      <c r="B412" s="2"/>
      <c r="C412" s="28">
        <f t="shared" si="23"/>
        <v>0</v>
      </c>
      <c r="D412" s="2"/>
      <c r="E412" s="4"/>
      <c r="F412" s="2"/>
      <c r="G412" s="28">
        <f>IF((G153+G579-G584)=0,0,SUM(IF($K412="",0,($K153+$K579-$K584)*$K412),IF($L412="",0,($L153+$L579-$L584)*$L412),IF($M412="",0,($M153+$M579-$M584)*$M412),IF($N412="",0,($N153+$N579-$N584)*$N412))/(G153+G579-G584))</f>
        <v>0</v>
      </c>
      <c r="H412" s="2"/>
      <c r="I412" s="4"/>
      <c r="J412" s="2"/>
      <c r="K412" s="29">
        <f>IF('RPT1'!$J412="","",'RPT1'!$J412)</f>
        <v>0</v>
      </c>
      <c r="L412" s="29">
        <f>IF('RPT2'!$J412="","",'RPT2'!$J412)</f>
        <v>0</v>
      </c>
      <c r="M412" s="29">
        <f>IF('RPT3'!$J412="","",'RPT3'!$J412)</f>
        <v>0</v>
      </c>
      <c r="N412" s="29">
        <f>IF('RPT4'!$J412="","",'RPT4'!$J412)</f>
        <v>0</v>
      </c>
    </row>
    <row r="413" spans="1:14" x14ac:dyDescent="0.35">
      <c r="A413" s="16" t="s">
        <v>404</v>
      </c>
      <c r="B413" s="2"/>
      <c r="C413" s="28">
        <f t="shared" si="23"/>
        <v>0</v>
      </c>
      <c r="D413" s="2"/>
      <c r="E413" s="4"/>
      <c r="F413" s="2"/>
      <c r="G413" s="28">
        <f>IF((G154+G580-G585)=0,0,SUM(IF($K413="",0,($K154+$K580-$K585)*$K413),IF($L413="",0,($L154+$L580-$L585)*$L413),IF($M413="",0,($M154+$M580-$M585)*$M413),IF($N413="",0,($N154+$N580-$N585)*$N413))/(G154+G580-G585))</f>
        <v>0</v>
      </c>
      <c r="H413" s="2"/>
      <c r="I413" s="4"/>
      <c r="J413" s="2"/>
      <c r="K413" s="29">
        <f>IF('RPT1'!$J413="","",'RPT1'!$J413)</f>
        <v>0</v>
      </c>
      <c r="L413" s="29">
        <f>IF('RPT2'!$J413="","",'RPT2'!$J413)</f>
        <v>0</v>
      </c>
      <c r="M413" s="29">
        <f>IF('RPT3'!$J413="","",'RPT3'!$J413)</f>
        <v>0</v>
      </c>
      <c r="N413" s="29">
        <f>IF('RPT4'!$J413="","",'RPT4'!$J413)</f>
        <v>0</v>
      </c>
    </row>
    <row r="414" spans="1:14" x14ac:dyDescent="0.35">
      <c r="A414" s="16" t="s">
        <v>405</v>
      </c>
      <c r="B414" s="2"/>
      <c r="C414" s="28">
        <f t="shared" si="23"/>
        <v>0</v>
      </c>
      <c r="D414" s="2"/>
      <c r="E414" s="4"/>
      <c r="F414" s="2"/>
      <c r="G414" s="28">
        <f>IF((G155+G581-G586)=0,0,SUM(IF($K414="",0,($K155+$K581-$K586)*$K414),IF($L414="",0,($L155+$L581-$L586)*$L414),IF($M414="",0,($M155+$M581-$M586)*$M414),IF($N414="",0,($N155+$N581-$N586)*$N414))/(G155+G581-G586))</f>
        <v>0</v>
      </c>
      <c r="H414" s="2"/>
      <c r="I414" s="4"/>
      <c r="J414" s="2"/>
      <c r="K414" s="29">
        <f>IF('RPT1'!$J414="","",'RPT1'!$J414)</f>
        <v>0</v>
      </c>
      <c r="L414" s="29">
        <f>IF('RPT2'!$J414="","",'RPT2'!$J414)</f>
        <v>0</v>
      </c>
      <c r="M414" s="29">
        <f>IF('RPT3'!$J414="","",'RPT3'!$J414)</f>
        <v>0</v>
      </c>
      <c r="N414" s="29">
        <f>IF('RPT4'!$J414="","",'RPT4'!$J414)</f>
        <v>0</v>
      </c>
    </row>
    <row r="415" spans="1:14" x14ac:dyDescent="0.35">
      <c r="A415" s="16" t="s">
        <v>406</v>
      </c>
      <c r="B415" s="2"/>
      <c r="C415" s="28">
        <f t="shared" si="23"/>
        <v>0</v>
      </c>
      <c r="D415" s="2"/>
      <c r="E415" s="4"/>
      <c r="F415" s="2"/>
      <c r="G415" s="28">
        <f>IF((G156+G582-G587)=0,0,SUM(IF($K415="",0,($K156+$K582-$K587)*$K415),IF($L415="",0,($L156+$L582-$L587)*$L415),IF($M415="",0,($M156+$M582-$M587)*$M415),IF($N415="",0,($N156+$N582-$N587)*$N415))/(G156+G582-G587))</f>
        <v>0</v>
      </c>
      <c r="H415" s="2"/>
      <c r="I415" s="4"/>
      <c r="J415" s="2"/>
      <c r="K415" s="29">
        <f>IF('RPT1'!$J415="","",'RPT1'!$J415)</f>
        <v>0</v>
      </c>
      <c r="L415" s="29">
        <f>IF('RPT2'!$J415="","",'RPT2'!$J415)</f>
        <v>0</v>
      </c>
      <c r="M415" s="29">
        <f>IF('RPT3'!$J415="","",'RPT3'!$J415)</f>
        <v>0</v>
      </c>
      <c r="N415" s="29">
        <f>IF('RPT4'!$J415="","",'RPT4'!$J415)</f>
        <v>0</v>
      </c>
    </row>
    <row r="416" spans="1:14" x14ac:dyDescent="0.35">
      <c r="A416" s="24"/>
      <c r="B416" s="2"/>
      <c r="C416" s="14"/>
      <c r="D416" s="2"/>
      <c r="E416" s="4"/>
      <c r="F416" s="2"/>
      <c r="G416" s="14"/>
      <c r="H416" s="2"/>
      <c r="I416" s="4"/>
      <c r="J416" s="2"/>
      <c r="K416" s="25"/>
      <c r="L416" s="25"/>
      <c r="M416" s="25"/>
      <c r="N416" s="25"/>
    </row>
    <row r="417" spans="1:14" x14ac:dyDescent="0.35">
      <c r="A417" s="12" t="s">
        <v>407</v>
      </c>
      <c r="B417" s="2"/>
      <c r="C417" s="14"/>
      <c r="D417" s="2"/>
      <c r="E417" s="4"/>
      <c r="F417" s="2"/>
      <c r="G417" s="14"/>
      <c r="H417" s="2"/>
      <c r="I417" s="4"/>
      <c r="J417" s="2"/>
      <c r="K417" s="25" t="str">
        <f>IF('RPT1'!$J417="","",'RPT1'!$J417)</f>
        <v/>
      </c>
      <c r="L417" s="25" t="str">
        <f>IF('RPT2'!$J417="","",'RPT2'!$J417)</f>
        <v/>
      </c>
      <c r="M417" s="25" t="str">
        <f>IF('RPT3'!$J417="","",'RPT3'!$J417)</f>
        <v/>
      </c>
      <c r="N417" s="25" t="str">
        <f>IF('RPT4'!$J417="","",'RPT4'!$J417)</f>
        <v/>
      </c>
    </row>
    <row r="418" spans="1:14" x14ac:dyDescent="0.35">
      <c r="A418" s="16" t="s">
        <v>408</v>
      </c>
      <c r="B418" s="2"/>
      <c r="C418" s="28">
        <f t="shared" ref="C418:C437" si="24">IF(Combine="Y", $G418, 0)</f>
        <v>0.45958169804808308</v>
      </c>
      <c r="D418" s="2"/>
      <c r="E418" s="4"/>
      <c r="F418" s="2"/>
      <c r="G418" s="28">
        <f>IF((G122+G548-G553)=0,0,SUM(IF($K418="",0,($K122+$K548-$K553)*$K418),IF($L418="",0,($L122+$L548-$L553)*$L418),IF($M418="",0,($M122+$M548-$M553)*$M418),IF($N418="",0,($N122+$N548-$N553)*$N418))/(G122+G548-G553))</f>
        <v>0.45958169804808308</v>
      </c>
      <c r="H418" s="2"/>
      <c r="I418" s="4"/>
      <c r="J418" s="2"/>
      <c r="K418" s="29">
        <f>IF('RPT1'!$J418="","",'RPT1'!$J418)</f>
        <v>0.31887779559906337</v>
      </c>
      <c r="L418" s="29">
        <f>IF('RPT2'!$J418="","",'RPT2'!$J418)</f>
        <v>0.86061044452534619</v>
      </c>
      <c r="M418" s="29">
        <f>IF('RPT3'!$J418="","",'RPT3'!$J418)</f>
        <v>0.34131189662365558</v>
      </c>
      <c r="N418" s="29">
        <f>IF('RPT4'!$J418="","",'RPT4'!$J418)</f>
        <v>0.27644747297177907</v>
      </c>
    </row>
    <row r="419" spans="1:14" x14ac:dyDescent="0.35">
      <c r="A419" s="16" t="s">
        <v>409</v>
      </c>
      <c r="B419" s="2"/>
      <c r="C419" s="28">
        <f t="shared" si="24"/>
        <v>0.44676114831729924</v>
      </c>
      <c r="D419" s="2"/>
      <c r="E419" s="4"/>
      <c r="F419" s="2"/>
      <c r="G419" s="28">
        <f>IF((G123+G549-G554)=0,0,SUM(IF($K419="",0,($K123+$K549-$K554)*$K419),IF($L419="",0,($L123+$L549-$L554)*$L419),IF($M419="",0,($M123+$M549-$M554)*$M419),IF($N419="",0,($N123+$N549-$N554)*$N419))/(G123+G549-G554))</f>
        <v>0.44676114831729924</v>
      </c>
      <c r="H419" s="2"/>
      <c r="I419" s="4"/>
      <c r="J419" s="2"/>
      <c r="K419" s="29">
        <f>IF('RPT1'!$J419="","",'RPT1'!$J419)</f>
        <v>0.45707349429898331</v>
      </c>
      <c r="L419" s="29">
        <f>IF('RPT2'!$J419="","",'RPT2'!$J419)</f>
        <v>0.42016783770400978</v>
      </c>
      <c r="M419" s="29">
        <f>IF('RPT3'!$J419="","",'RPT3'!$J419)</f>
        <v>0.50092292338432021</v>
      </c>
      <c r="N419" s="29">
        <f>IF('RPT4'!$J419="","",'RPT4'!$J419)</f>
        <v>0.41866876626435162</v>
      </c>
    </row>
    <row r="420" spans="1:14" x14ac:dyDescent="0.35">
      <c r="A420" s="16" t="s">
        <v>410</v>
      </c>
      <c r="B420" s="2"/>
      <c r="C420" s="28">
        <f t="shared" si="24"/>
        <v>0.66791420707820581</v>
      </c>
      <c r="D420" s="2"/>
      <c r="E420" s="4"/>
      <c r="F420" s="2"/>
      <c r="G420" s="28">
        <f>IF((G124+G550-G555)=0,0,SUM(IF($K420="",0,($K124+$K550-$K555)*$K420),IF($L420="",0,($L124+$L550-$L555)*$L420),IF($M420="",0,($M124+$M550-$M555)*$M420),IF($N420="",0,($N124+$N550-$N555)*$N420))/(G124+G550-G555))</f>
        <v>0.66791420707820581</v>
      </c>
      <c r="H420" s="2"/>
      <c r="I420" s="4"/>
      <c r="J420" s="2"/>
      <c r="K420" s="29">
        <f>IF('RPT1'!$J420="","",'RPT1'!$J420)</f>
        <v>0.6651396649041259</v>
      </c>
      <c r="L420" s="29">
        <f>IF('RPT2'!$J420="","",'RPT2'!$J420)</f>
        <v>0.64286586530225642</v>
      </c>
      <c r="M420" s="29">
        <f>IF('RPT3'!$J420="","",'RPT3'!$J420)</f>
        <v>0.72921266588829381</v>
      </c>
      <c r="N420" s="29">
        <f>IF('RPT4'!$J420="","",'RPT4'!$J420)</f>
        <v>0.64168076788022677</v>
      </c>
    </row>
    <row r="421" spans="1:14" x14ac:dyDescent="0.35">
      <c r="A421" s="16" t="s">
        <v>411</v>
      </c>
      <c r="B421" s="2"/>
      <c r="C421" s="28">
        <f t="shared" si="24"/>
        <v>1.1752214908082619</v>
      </c>
      <c r="D421" s="2"/>
      <c r="E421" s="4"/>
      <c r="F421" s="2"/>
      <c r="G421" s="28">
        <f>IF((G125+G551-G556)=0,0,SUM(IF($K421="",0,($K125+$K551-$K556)*$K421),IF($L421="",0,($L125+$L551-$L556)*$L421),IF($M421="",0,($M125+$M551-$M556)*$M421),IF($N421="",0,($N125+$N551-$N556)*$N421))/(G125+G551-G556))</f>
        <v>1.1752214908082619</v>
      </c>
      <c r="H421" s="2"/>
      <c r="I421" s="4"/>
      <c r="J421" s="2"/>
      <c r="K421" s="29">
        <f>IF('RPT1'!$J421="","",'RPT1'!$J421)</f>
        <v>1.166870893206402</v>
      </c>
      <c r="L421" s="29">
        <f>IF('RPT2'!$J421="","",'RPT2'!$J421)</f>
        <v>1.1326292300656049</v>
      </c>
      <c r="M421" s="29">
        <f>IF('RPT3'!$J421="","",'RPT3'!$J421)</f>
        <v>1.2839113177847601</v>
      </c>
      <c r="N421" s="29">
        <f>IF('RPT4'!$J421="","",'RPT4'!$J421)</f>
        <v>1.1301651249664291</v>
      </c>
    </row>
    <row r="422" spans="1:14" x14ac:dyDescent="0.35">
      <c r="A422" s="16" t="s">
        <v>412</v>
      </c>
      <c r="B422" s="2"/>
      <c r="C422" s="28">
        <f t="shared" si="24"/>
        <v>2.0937763777652667</v>
      </c>
      <c r="D422" s="2"/>
      <c r="E422" s="4"/>
      <c r="F422" s="2"/>
      <c r="G422" s="28">
        <f>IF((G126+G552-G557)=0,0,SUM(IF($K422="",0,($K126+$K552-$K557)*$K422),IF($L422="",0,($L126+$L552-$L557)*$L422),IF($M422="",0,($M126+$M552-$M557)*$M422),IF($N422="",0,($N126+$N552-$N557)*$N422))/(G126+G552-G557))</f>
        <v>2.0937763777652667</v>
      </c>
      <c r="H422" s="2"/>
      <c r="I422" s="4"/>
      <c r="J422" s="2"/>
      <c r="K422" s="29">
        <f>IF('RPT1'!$J422="","",'RPT1'!$J422)</f>
        <v>2.0938467700056318</v>
      </c>
      <c r="L422" s="29">
        <f>IF('RPT2'!$J422="","",'RPT2'!$J422)</f>
        <v>2.0285389675559271</v>
      </c>
      <c r="M422" s="29">
        <f>IF('RPT3'!$J422="","",'RPT3'!$J422)</f>
        <v>2.2513443038411469</v>
      </c>
      <c r="N422" s="29">
        <f>IF('RPT4'!$J422="","",'RPT4'!$J422)</f>
        <v>2.0176913662637368</v>
      </c>
    </row>
    <row r="423" spans="1:14" x14ac:dyDescent="0.35">
      <c r="A423" s="16" t="s">
        <v>413</v>
      </c>
      <c r="B423" s="2"/>
      <c r="C423" s="28">
        <f t="shared" si="24"/>
        <v>0.66104909690288327</v>
      </c>
      <c r="D423" s="2"/>
      <c r="E423" s="4"/>
      <c r="F423" s="2"/>
      <c r="G423" s="28">
        <f>IF((G132+G558-G563)=0,0,SUM(IF($K423="",0,($K132+$K558-$K563)*$K423),IF($L423="",0,($L132+$L558-$L563)*$L423),IF($M423="",0,($M132+$M558-$M563)*$M423),IF($N423="",0,($N132+$N558-$N563)*$N423))/(G132+G558-G563))</f>
        <v>0.66104909690288327</v>
      </c>
      <c r="H423" s="2"/>
      <c r="I423" s="4"/>
      <c r="J423" s="2"/>
      <c r="K423" s="29">
        <f>IF('RPT1'!$J423="","",'RPT1'!$J423)</f>
        <v>0.74254271018258911</v>
      </c>
      <c r="L423" s="29">
        <f>IF('RPT2'!$J423="","",'RPT2'!$J423)</f>
        <v>0.66216259435394331</v>
      </c>
      <c r="M423" s="29">
        <f>IF('RPT3'!$J423="","",'RPT3'!$J423)</f>
        <v>0.77147580989941578</v>
      </c>
      <c r="N423" s="29">
        <f>IF('RPT4'!$J423="","",'RPT4'!$J423)</f>
        <v>0.52670112432858984</v>
      </c>
    </row>
    <row r="424" spans="1:14" x14ac:dyDescent="0.35">
      <c r="A424" s="16" t="s">
        <v>414</v>
      </c>
      <c r="B424" s="2"/>
      <c r="C424" s="28">
        <f t="shared" si="24"/>
        <v>0.38954086147362971</v>
      </c>
      <c r="D424" s="2"/>
      <c r="E424" s="4"/>
      <c r="F424" s="2"/>
      <c r="G424" s="28">
        <f>IF((G133+G559-G564)=0,0,SUM(IF($K424="",0,($K133+$K559-$K564)*$K424),IF($L424="",0,($L133+$L559-$L564)*$L424),IF($M424="",0,($M133+$M559-$M564)*$M424),IF($N424="",0,($N133+$N559-$N564)*$N424))/(G133+G559-G564))</f>
        <v>0.38954086147362971</v>
      </c>
      <c r="H424" s="2"/>
      <c r="I424" s="4"/>
      <c r="J424" s="2"/>
      <c r="K424" s="29">
        <f>IF('RPT1'!$J424="","",'RPT1'!$J424)</f>
        <v>0.43984766978648038</v>
      </c>
      <c r="L424" s="29">
        <f>IF('RPT2'!$J424="","",'RPT2'!$J424)</f>
        <v>0.34752467171276152</v>
      </c>
      <c r="M424" s="29">
        <f>IF('RPT3'!$J424="","",'RPT3'!$J424)</f>
        <v>0.46433638307296388</v>
      </c>
      <c r="N424" s="29">
        <f>IF('RPT4'!$J424="","",'RPT4'!$J424)</f>
        <v>0.337945033643482</v>
      </c>
    </row>
    <row r="425" spans="1:14" x14ac:dyDescent="0.35">
      <c r="A425" s="16" t="s">
        <v>415</v>
      </c>
      <c r="B425" s="2"/>
      <c r="C425" s="28">
        <f t="shared" si="24"/>
        <v>0.20438203211848605</v>
      </c>
      <c r="D425" s="2"/>
      <c r="E425" s="4"/>
      <c r="F425" s="2"/>
      <c r="G425" s="28">
        <f>IF((G134+G560-G565)=0,0,SUM(IF($K425="",0,($K134+$K560-$K565)*$K425),IF($L425="",0,($L134+$L560-$L565)*$L425),IF($M425="",0,($M134+$M560-$M565)*$M425),IF($N425="",0,($N134+$N560-$N565)*$N425))/(G134+G560-G565))</f>
        <v>0.20438203211848605</v>
      </c>
      <c r="H425" s="2"/>
      <c r="I425" s="4"/>
      <c r="J425" s="2"/>
      <c r="K425" s="29">
        <f>IF('RPT1'!$J425="","",'RPT1'!$J425)</f>
        <v>0.21444905366790301</v>
      </c>
      <c r="L425" s="29">
        <f>IF('RPT2'!$J425="","",'RPT2'!$J425)</f>
        <v>0.19598240865474381</v>
      </c>
      <c r="M425" s="29">
        <f>IF('RPT3'!$J425="","",'RPT3'!$J425)</f>
        <v>0.21913120148464421</v>
      </c>
      <c r="N425" s="29">
        <f>IF('RPT4'!$J425="","",'RPT4'!$J425)</f>
        <v>0.190823903672386</v>
      </c>
    </row>
    <row r="426" spans="1:14" x14ac:dyDescent="0.35">
      <c r="A426" s="16" t="s">
        <v>416</v>
      </c>
      <c r="B426" s="2"/>
      <c r="C426" s="28">
        <f t="shared" si="24"/>
        <v>9.7342516996863832E-2</v>
      </c>
      <c r="D426" s="2"/>
      <c r="E426" s="4"/>
      <c r="F426" s="2"/>
      <c r="G426" s="28">
        <f>IF((G135+G561-G566)=0,0,SUM(IF($K426="",0,($K135+$K561-$K566)*$K426),IF($L426="",0,($L135+$L561-$L566)*$L426),IF($M426="",0,($M135+$M561-$M566)*$M426),IF($N426="",0,($N135+$N561-$N566)*$N426))/(G135+G561-G566))</f>
        <v>9.7342516996863832E-2</v>
      </c>
      <c r="H426" s="2"/>
      <c r="I426" s="4"/>
      <c r="J426" s="2"/>
      <c r="K426" s="29">
        <f>IF('RPT1'!$J426="","",'RPT1'!$J426)</f>
        <v>0.1018936831192044</v>
      </c>
      <c r="L426" s="29">
        <f>IF('RPT2'!$J426="","",'RPT2'!$J426)</f>
        <v>9.4475301458086983E-2</v>
      </c>
      <c r="M426" s="29">
        <f>IF('RPT3'!$J426="","",'RPT3'!$J426)</f>
        <v>0.1020335822841355</v>
      </c>
      <c r="N426" s="29">
        <f>IF('RPT4'!$J426="","",'RPT4'!$J426)</f>
        <v>9.1834622267633226E-2</v>
      </c>
    </row>
    <row r="427" spans="1:14" x14ac:dyDescent="0.35">
      <c r="A427" s="16" t="s">
        <v>417</v>
      </c>
      <c r="B427" s="2"/>
      <c r="C427" s="28">
        <f t="shared" si="24"/>
        <v>0.11287133225465495</v>
      </c>
      <c r="D427" s="2"/>
      <c r="E427" s="4"/>
      <c r="F427" s="2"/>
      <c r="G427" s="28">
        <f>IF((G136+G562-G567)=0,0,SUM(IF($K427="",0,($K136+$K562-$K567)*$K427),IF($L427="",0,($L136+$L562-$L567)*$L427),IF($M427="",0,($M136+$M562-$M567)*$M427),IF($N427="",0,($N136+$N562-$N567)*$N427))/(G136+G562-G567))</f>
        <v>0.11287133225465495</v>
      </c>
      <c r="H427" s="2"/>
      <c r="I427" s="4"/>
      <c r="J427" s="2"/>
      <c r="K427" s="29">
        <f>IF('RPT1'!$J427="","",'RPT1'!$J427)</f>
        <v>0.1182595481632141</v>
      </c>
      <c r="L427" s="29">
        <f>IF('RPT2'!$J427="","",'RPT2'!$J427)</f>
        <v>0.10957897549870969</v>
      </c>
      <c r="M427" s="29">
        <f>IF('RPT3'!$J427="","",'RPT3'!$J427)</f>
        <v>0.1185348366270385</v>
      </c>
      <c r="N427" s="29">
        <f>IF('RPT4'!$J427="","",'RPT4'!$J427)</f>
        <v>0.10621898612555621</v>
      </c>
    </row>
    <row r="428" spans="1:14" x14ac:dyDescent="0.35">
      <c r="A428" s="16" t="s">
        <v>418</v>
      </c>
      <c r="B428" s="2"/>
      <c r="C428" s="28">
        <f t="shared" si="24"/>
        <v>1.7022426432799953</v>
      </c>
      <c r="D428" s="2"/>
      <c r="E428" s="4"/>
      <c r="F428" s="2"/>
      <c r="G428" s="28">
        <f>IF((G142+G568-G573)=0,0,SUM(IF($K428="",0,($K142+$K568-$K573)*$K428),IF($L428="",0,($L142+$L568-$L573)*$L428),IF($M428="",0,($M142+$M568-$M573)*$M428),IF($N428="",0,($N142+$N568-$N573)*$N428))/(G142+G568-G573))</f>
        <v>1.7022426432799953</v>
      </c>
      <c r="H428" s="2"/>
      <c r="I428" s="4"/>
      <c r="J428" s="2"/>
      <c r="K428" s="29">
        <f>IF('RPT1'!$J428="","",'RPT1'!$J428)</f>
        <v>1.3447849964715901</v>
      </c>
      <c r="L428" s="29">
        <f>IF('RPT2'!$J428="","",'RPT2'!$J428)</f>
        <v>2.9283577018247908</v>
      </c>
      <c r="M428" s="29">
        <f>IF('RPT3'!$J428="","",'RPT3'!$J428)</f>
        <v>1.405493208161869</v>
      </c>
      <c r="N428" s="29">
        <f>IF('RPT4'!$J428="","",'RPT4'!$J428)</f>
        <v>0.91692659014270983</v>
      </c>
    </row>
    <row r="429" spans="1:14" x14ac:dyDescent="0.35">
      <c r="A429" s="16" t="s">
        <v>419</v>
      </c>
      <c r="B429" s="2"/>
      <c r="C429" s="28">
        <f t="shared" si="24"/>
        <v>0.65792091859310131</v>
      </c>
      <c r="D429" s="2"/>
      <c r="E429" s="4"/>
      <c r="F429" s="2"/>
      <c r="G429" s="28">
        <f>IF((G143+G569-G574)=0,0,SUM(IF($K429="",0,($K143+$K569-$K574)*$K429),IF($L429="",0,($L143+$L569-$L574)*$L429),IF($M429="",0,($M143+$M569-$M574)*$M429),IF($N429="",0,($N143+$N569-$N574)*$N429))/(G143+G569-G574))</f>
        <v>0.65792091859310131</v>
      </c>
      <c r="H429" s="2"/>
      <c r="I429" s="4"/>
      <c r="J429" s="2"/>
      <c r="K429" s="29">
        <f>IF('RPT1'!$J429="","",'RPT1'!$J429)</f>
        <v>0.74594514542061952</v>
      </c>
      <c r="L429" s="29">
        <f>IF('RPT2'!$J429="","",'RPT2'!$J429)</f>
        <v>0.58617241299373601</v>
      </c>
      <c r="M429" s="29">
        <f>IF('RPT3'!$J429="","",'RPT3'!$J429)</f>
        <v>0.79175829638828654</v>
      </c>
      <c r="N429" s="29">
        <f>IF('RPT4'!$J429="","",'RPT4'!$J429)</f>
        <v>0.56663157888062587</v>
      </c>
    </row>
    <row r="430" spans="1:14" x14ac:dyDescent="0.35">
      <c r="A430" s="16" t="s">
        <v>420</v>
      </c>
      <c r="B430" s="2"/>
      <c r="C430" s="28">
        <f t="shared" si="24"/>
        <v>0.79713341148964123</v>
      </c>
      <c r="D430" s="2"/>
      <c r="E430" s="4"/>
      <c r="F430" s="2"/>
      <c r="G430" s="28">
        <f>IF((G144+G570-G575)=0,0,SUM(IF($K430="",0,($K144+$K570-$K575)*$K430),IF($L430="",0,($L144+$L570-$L575)*$L430),IF($M430="",0,($M144+$M570-$M575)*$M430),IF($N430="",0,($N144+$N570-$N575)*$N430))/(G144+G570-G575))</f>
        <v>0.79713341148964123</v>
      </c>
      <c r="H430" s="2"/>
      <c r="I430" s="4"/>
      <c r="J430" s="2"/>
      <c r="K430" s="29">
        <f>IF('RPT1'!$J430="","",'RPT1'!$J430)</f>
        <v>0.85297760920518262</v>
      </c>
      <c r="L430" s="29">
        <f>IF('RPT2'!$J430="","",'RPT2'!$J430)</f>
        <v>0.75244285343791029</v>
      </c>
      <c r="M430" s="29">
        <f>IF('RPT3'!$J430="","",'RPT3'!$J430)</f>
        <v>0.88994942774605579</v>
      </c>
      <c r="N430" s="29">
        <f>IF('RPT4'!$J430="","",'RPT4'!$J430)</f>
        <v>0.71926265132429346</v>
      </c>
    </row>
    <row r="431" spans="1:14" x14ac:dyDescent="0.35">
      <c r="A431" s="16" t="s">
        <v>421</v>
      </c>
      <c r="B431" s="2"/>
      <c r="C431" s="28">
        <f t="shared" si="24"/>
        <v>0.88343487407817045</v>
      </c>
      <c r="D431" s="2"/>
      <c r="E431" s="4"/>
      <c r="F431" s="2"/>
      <c r="G431" s="28">
        <f>IF((G145+G571-G576)=0,0,SUM(IF($K431="",0,($K145+$K571-$K576)*$K431),IF($L431="",0,($L145+$L571-$L576)*$L431),IF($M431="",0,($M145+$M571-$M576)*$M431),IF($N431="",0,($N145+$N571-$N576)*$N431))/(G145+G571-G576))</f>
        <v>0.88343487407817045</v>
      </c>
      <c r="H431" s="2"/>
      <c r="I431" s="4"/>
      <c r="J431" s="2"/>
      <c r="K431" s="29">
        <f>IF('RPT1'!$J431="","",'RPT1'!$J431)</f>
        <v>0.94214092706632135</v>
      </c>
      <c r="L431" s="29">
        <f>IF('RPT2'!$J431="","",'RPT2'!$J431)</f>
        <v>0.84767275332301195</v>
      </c>
      <c r="M431" s="29">
        <f>IF('RPT3'!$J431="","",'RPT3'!$J431)</f>
        <v>0.96768538652707448</v>
      </c>
      <c r="N431" s="29">
        <f>IF('RPT4'!$J431="","",'RPT4'!$J431)</f>
        <v>0.79960062910024621</v>
      </c>
    </row>
    <row r="432" spans="1:14" x14ac:dyDescent="0.35">
      <c r="A432" s="16" t="s">
        <v>422</v>
      </c>
      <c r="B432" s="2"/>
      <c r="C432" s="28">
        <f t="shared" si="24"/>
        <v>0.96629372701213645</v>
      </c>
      <c r="D432" s="2"/>
      <c r="E432" s="4"/>
      <c r="F432" s="2"/>
      <c r="G432" s="28">
        <f>IF((G146+G572-G577)=0,0,SUM(IF($K432="",0,($K146+$K572-$K577)*$K432),IF($L432="",0,($L146+$L572-$L577)*$L432),IF($M432="",0,($M146+$M572-$M577)*$M432),IF($N432="",0,($N146+$N572-$N577)*$N432))/(G146+G572-G577))</f>
        <v>0.96629372701213645</v>
      </c>
      <c r="H432" s="2"/>
      <c r="I432" s="4"/>
      <c r="J432" s="2"/>
      <c r="K432" s="29">
        <f>IF('RPT1'!$J432="","",'RPT1'!$J432)</f>
        <v>1.0387817030135129</v>
      </c>
      <c r="L432" s="29">
        <f>IF('RPT2'!$J432="","",'RPT2'!$J432)</f>
        <v>0.93108765168637553</v>
      </c>
      <c r="M432" s="29">
        <f>IF('RPT3'!$J432="","",'RPT3'!$J432)</f>
        <v>1.0563329207816869</v>
      </c>
      <c r="N432" s="29">
        <f>IF('RPT4'!$J432="","",'RPT4'!$J432)</f>
        <v>0.86680033829977721</v>
      </c>
    </row>
    <row r="433" spans="1:14" x14ac:dyDescent="0.35">
      <c r="A433" s="16" t="s">
        <v>423</v>
      </c>
      <c r="B433" s="2"/>
      <c r="C433" s="28">
        <f t="shared" si="24"/>
        <v>6.9258450914588998</v>
      </c>
      <c r="D433" s="2"/>
      <c r="E433" s="4"/>
      <c r="F433" s="2"/>
      <c r="G433" s="28">
        <f>IF((G152+G578-G583)=0,0,SUM(IF($K433="",0,($K152+$K578-$K583)*$K433),IF($L433="",0,($L152+$L578-$L583)*$L433),IF($M433="",0,($M152+$M578-$M583)*$M433),IF($N433="",0,($N152+$N578-$N583)*$N433))/(G152+G578-G583))</f>
        <v>6.9258450914588998</v>
      </c>
      <c r="H433" s="2"/>
      <c r="I433" s="4"/>
      <c r="J433" s="2"/>
      <c r="K433" s="29">
        <f>IF('RPT1'!$J433="","",'RPT1'!$J433)</f>
        <v>7.388816343967088</v>
      </c>
      <c r="L433" s="29">
        <f>IF('RPT2'!$J433="","",'RPT2'!$J433)</f>
        <v>5.7835082480209188</v>
      </c>
      <c r="M433" s="29">
        <f>IF('RPT3'!$J433="","",'RPT3'!$J433)</f>
        <v>11.40874853654852</v>
      </c>
      <c r="N433" s="29">
        <f>IF('RPT4'!$J433="","",'RPT4'!$J433)</f>
        <v>5.8464271301257584</v>
      </c>
    </row>
    <row r="434" spans="1:14" x14ac:dyDescent="0.35">
      <c r="A434" s="16" t="s">
        <v>424</v>
      </c>
      <c r="B434" s="2"/>
      <c r="C434" s="28">
        <f t="shared" si="24"/>
        <v>9.0719817627825812</v>
      </c>
      <c r="D434" s="2"/>
      <c r="E434" s="4"/>
      <c r="F434" s="2"/>
      <c r="G434" s="28">
        <f>IF((G153+G579-G584)=0,0,SUM(IF($K434="",0,($K153+$K579-$K584)*$K434),IF($L434="",0,($L153+$L579-$L584)*$L434),IF($M434="",0,($M153+$M579-$M584)*$M434),IF($N434="",0,($N153+$N579-$N584)*$N434))/(G153+G579-G584))</f>
        <v>9.0719817627825812</v>
      </c>
      <c r="H434" s="2"/>
      <c r="I434" s="4"/>
      <c r="J434" s="2"/>
      <c r="K434" s="29">
        <f>IF('RPT1'!$J434="","",'RPT1'!$J434)</f>
        <v>9.6378478654597544</v>
      </c>
      <c r="L434" s="29">
        <f>IF('RPT2'!$J434="","",'RPT2'!$J434)</f>
        <v>7.9700716155974449</v>
      </c>
      <c r="M434" s="29">
        <f>IF('RPT3'!$J434="","",'RPT3'!$J434)</f>
        <v>15.30169123931003</v>
      </c>
      <c r="N434" s="29">
        <f>IF('RPT4'!$J434="","",'RPT4'!$J434)</f>
        <v>7.1759125442290959</v>
      </c>
    </row>
    <row r="435" spans="1:14" x14ac:dyDescent="0.35">
      <c r="A435" s="16" t="s">
        <v>425</v>
      </c>
      <c r="B435" s="2"/>
      <c r="C435" s="28">
        <f t="shared" si="24"/>
        <v>13.364237051160723</v>
      </c>
      <c r="D435" s="2"/>
      <c r="E435" s="4"/>
      <c r="F435" s="2"/>
      <c r="G435" s="28">
        <f>IF((G154+G580-G585)=0,0,SUM(IF($K435="",0,($K154+$K580-$K585)*$K435),IF($L435="",0,($L154+$L580-$L585)*$L435),IF($M435="",0,($M154+$M580-$M585)*$M435),IF($N435="",0,($N154+$N580-$N585)*$N435))/(G154+G580-G585))</f>
        <v>13.364237051160723</v>
      </c>
      <c r="H435" s="2"/>
      <c r="I435" s="4"/>
      <c r="J435" s="2"/>
      <c r="K435" s="29">
        <f>IF('RPT1'!$J435="","",'RPT1'!$J435)</f>
        <v>14.83200902828165</v>
      </c>
      <c r="L435" s="29">
        <f>IF('RPT2'!$J435="","",'RPT2'!$J435)</f>
        <v>12.502358847936909</v>
      </c>
      <c r="M435" s="29">
        <f>IF('RPT3'!$J435="","",'RPT3'!$J435)</f>
        <v>21.12478833991571</v>
      </c>
      <c r="N435" s="29">
        <f>IF('RPT4'!$J435="","",'RPT4'!$J435)</f>
        <v>8.5295590997060362</v>
      </c>
    </row>
    <row r="436" spans="1:14" x14ac:dyDescent="0.35">
      <c r="A436" s="16" t="s">
        <v>426</v>
      </c>
      <c r="B436" s="2"/>
      <c r="C436" s="28">
        <f t="shared" si="24"/>
        <v>17.236602525308996</v>
      </c>
      <c r="D436" s="2"/>
      <c r="E436" s="4"/>
      <c r="F436" s="2"/>
      <c r="G436" s="28">
        <f>IF((G155+G581-G586)=0,0,SUM(IF($K436="",0,($K155+$K581-$K586)*$K436),IF($L436="",0,($L155+$L581-$L586)*$L436),IF($M436="",0,($M155+$M581-$M586)*$M436),IF($N436="",0,($N155+$N581-$N586)*$N436))/(G155+G581-G586))</f>
        <v>17.236602525308996</v>
      </c>
      <c r="H436" s="2"/>
      <c r="I436" s="4"/>
      <c r="J436" s="2"/>
      <c r="K436" s="29">
        <f>IF('RPT1'!$J436="","",'RPT1'!$J436)</f>
        <v>19.954116956276309</v>
      </c>
      <c r="L436" s="29">
        <f>IF('RPT2'!$J436="","",'RPT2'!$J436)</f>
        <v>17.40390992837623</v>
      </c>
      <c r="M436" s="29">
        <f>IF('RPT3'!$J436="","",'RPT3'!$J436)</f>
        <v>23.0218491019371</v>
      </c>
      <c r="N436" s="29">
        <f>IF('RPT4'!$J436="","",'RPT4'!$J436)</f>
        <v>9.0140553698429127</v>
      </c>
    </row>
    <row r="437" spans="1:14" x14ac:dyDescent="0.35">
      <c r="A437" s="16" t="s">
        <v>427</v>
      </c>
      <c r="B437" s="2"/>
      <c r="C437" s="28">
        <f t="shared" si="24"/>
        <v>19.657398665473636</v>
      </c>
      <c r="D437" s="2"/>
      <c r="E437" s="4"/>
      <c r="F437" s="2"/>
      <c r="G437" s="28">
        <f>IF((G156+G582-G587)=0,0,SUM(IF($K437="",0,($K156+$K582-$K587)*$K437),IF($L437="",0,($L156+$L582-$L587)*$L437),IF($M437="",0,($M156+$M582-$M587)*$M437),IF($N437="",0,($N156+$N582-$N587)*$N437))/(G156+G582-G587))</f>
        <v>19.657398665473636</v>
      </c>
      <c r="H437" s="2"/>
      <c r="I437" s="4"/>
      <c r="J437" s="2"/>
      <c r="K437" s="29">
        <f>IF('RPT1'!$J437="","",'RPT1'!$J437)</f>
        <v>23.07856926694047</v>
      </c>
      <c r="L437" s="29">
        <f>IF('RPT2'!$J437="","",'RPT2'!$J437)</f>
        <v>20.37778800142754</v>
      </c>
      <c r="M437" s="29">
        <f>IF('RPT3'!$J437="","",'RPT3'!$J437)</f>
        <v>24.5074833419703</v>
      </c>
      <c r="N437" s="29">
        <f>IF('RPT4'!$J437="","",'RPT4'!$J437)</f>
        <v>9.4095757434225025</v>
      </c>
    </row>
    <row r="438" spans="1:14" x14ac:dyDescent="0.35">
      <c r="A438" s="24"/>
      <c r="B438" s="2"/>
      <c r="C438" s="14"/>
      <c r="D438" s="2"/>
      <c r="E438" s="4"/>
      <c r="F438" s="2"/>
      <c r="G438" s="14"/>
      <c r="H438" s="2"/>
      <c r="I438" s="4"/>
      <c r="J438" s="2"/>
      <c r="K438" s="25"/>
      <c r="L438" s="25"/>
      <c r="M438" s="25"/>
      <c r="N438" s="25"/>
    </row>
    <row r="439" spans="1:14" x14ac:dyDescent="0.35">
      <c r="A439" s="12" t="s">
        <v>428</v>
      </c>
      <c r="B439" s="2"/>
      <c r="C439" s="14"/>
      <c r="D439" s="2"/>
      <c r="E439" s="4"/>
      <c r="F439" s="2"/>
      <c r="G439" s="14"/>
      <c r="H439" s="2"/>
      <c r="I439" s="4"/>
      <c r="J439" s="2"/>
      <c r="K439" s="25" t="str">
        <f>IF('RPT1'!$J439="","",'RPT1'!$J439)</f>
        <v/>
      </c>
      <c r="L439" s="25" t="str">
        <f>IF('RPT2'!$J439="","",'RPT2'!$J439)</f>
        <v/>
      </c>
      <c r="M439" s="25" t="str">
        <f>IF('RPT3'!$J439="","",'RPT3'!$J439)</f>
        <v/>
      </c>
      <c r="N439" s="25" t="str">
        <f>IF('RPT4'!$J439="","",'RPT4'!$J439)</f>
        <v/>
      </c>
    </row>
    <row r="440" spans="1:14" x14ac:dyDescent="0.35">
      <c r="A440" s="16" t="s">
        <v>429</v>
      </c>
      <c r="B440" s="2"/>
      <c r="C440" s="28">
        <f t="shared" ref="C440:C459" si="25">IF(Combine="Y", $G440, 0)</f>
        <v>319.55563464454929</v>
      </c>
      <c r="D440" s="2"/>
      <c r="E440" s="4"/>
      <c r="F440" s="2"/>
      <c r="G440" s="28">
        <f t="shared" ref="G440:G459" si="26">G352+G374+G396+G418</f>
        <v>319.55563464454929</v>
      </c>
      <c r="H440" s="2"/>
      <c r="I440" s="4"/>
      <c r="J440" s="2"/>
      <c r="K440" s="29">
        <f>IF('RPT1'!$J440="","",'RPT1'!$J440)</f>
        <v>347.59999000506002</v>
      </c>
      <c r="L440" s="29">
        <f>IF('RPT2'!$J440="","",'RPT2'!$J440)</f>
        <v>401.59973854378569</v>
      </c>
      <c r="M440" s="29">
        <f>IF('RPT3'!$J440="","",'RPT3'!$J440)</f>
        <v>291.44528084759781</v>
      </c>
      <c r="N440" s="29">
        <f>IF('RPT4'!$J440="","",'RPT4'!$J440)</f>
        <v>236.05772959243731</v>
      </c>
    </row>
    <row r="441" spans="1:14" x14ac:dyDescent="0.35">
      <c r="A441" s="16" t="s">
        <v>430</v>
      </c>
      <c r="B441" s="2"/>
      <c r="C441" s="28">
        <f t="shared" si="25"/>
        <v>360.17772223640031</v>
      </c>
      <c r="D441" s="2"/>
      <c r="E441" s="4"/>
      <c r="F441" s="2"/>
      <c r="G441" s="28">
        <f t="shared" si="26"/>
        <v>360.17772223640031</v>
      </c>
      <c r="H441" s="2"/>
      <c r="I441" s="4"/>
      <c r="J441" s="2"/>
      <c r="K441" s="29">
        <f>IF('RPT1'!$J441="","",'RPT1'!$J441)</f>
        <v>407.88396490539338</v>
      </c>
      <c r="L441" s="29">
        <f>IF('RPT2'!$J441="","",'RPT2'!$J441)</f>
        <v>422.20262029457223</v>
      </c>
      <c r="M441" s="29">
        <f>IF('RPT3'!$J441="","",'RPT3'!$J441)</f>
        <v>332.40686378152373</v>
      </c>
      <c r="N441" s="29">
        <f>IF('RPT4'!$J441="","",'RPT4'!$J441)</f>
        <v>277.82392272441399</v>
      </c>
    </row>
    <row r="442" spans="1:14" x14ac:dyDescent="0.35">
      <c r="A442" s="16" t="s">
        <v>431</v>
      </c>
      <c r="B442" s="2"/>
      <c r="C442" s="28">
        <f t="shared" si="25"/>
        <v>427.36411934547044</v>
      </c>
      <c r="D442" s="2"/>
      <c r="E442" s="4"/>
      <c r="F442" s="2"/>
      <c r="G442" s="28">
        <f t="shared" si="26"/>
        <v>427.36411934547044</v>
      </c>
      <c r="H442" s="2"/>
      <c r="I442" s="4"/>
      <c r="J442" s="2"/>
      <c r="K442" s="29">
        <f>IF('RPT1'!$J442="","",'RPT1'!$J442)</f>
        <v>477.19460550979039</v>
      </c>
      <c r="L442" s="29">
        <f>IF('RPT2'!$J442="","",'RPT2'!$J442)</f>
        <v>471.64815896402621</v>
      </c>
      <c r="M442" s="29">
        <f>IF('RPT3'!$J442="","",'RPT3'!$J442)</f>
        <v>404.13958359031949</v>
      </c>
      <c r="N442" s="29">
        <f>IF('RPT4'!$J442="","",'RPT4'!$J442)</f>
        <v>355.62821445665509</v>
      </c>
    </row>
    <row r="443" spans="1:14" x14ac:dyDescent="0.35">
      <c r="A443" s="16" t="s">
        <v>432</v>
      </c>
      <c r="B443" s="2"/>
      <c r="C443" s="28">
        <f t="shared" si="25"/>
        <v>526.45459732618326</v>
      </c>
      <c r="D443" s="2"/>
      <c r="E443" s="4"/>
      <c r="F443" s="2"/>
      <c r="G443" s="28">
        <f t="shared" si="26"/>
        <v>526.45459732618326</v>
      </c>
      <c r="H443" s="2"/>
      <c r="I443" s="4"/>
      <c r="J443" s="2"/>
      <c r="K443" s="29">
        <f>IF('RPT1'!$J443="","",'RPT1'!$J443)</f>
        <v>576.87579446660368</v>
      </c>
      <c r="L443" s="29">
        <f>IF('RPT2'!$J443="","",'RPT2'!$J443)</f>
        <v>571.24266955479663</v>
      </c>
      <c r="M443" s="29">
        <f>IF('RPT3'!$J443="","",'RPT3'!$J443)</f>
        <v>509.22241897001669</v>
      </c>
      <c r="N443" s="29">
        <f>IF('RPT4'!$J443="","",'RPT4'!$J443)</f>
        <v>448.24390189497223</v>
      </c>
    </row>
    <row r="444" spans="1:14" x14ac:dyDescent="0.35">
      <c r="A444" s="16" t="s">
        <v>433</v>
      </c>
      <c r="B444" s="2"/>
      <c r="C444" s="28">
        <f t="shared" si="25"/>
        <v>576.6582761662404</v>
      </c>
      <c r="D444" s="2"/>
      <c r="E444" s="4"/>
      <c r="F444" s="2"/>
      <c r="G444" s="28">
        <f t="shared" si="26"/>
        <v>576.6582761662404</v>
      </c>
      <c r="H444" s="2"/>
      <c r="I444" s="4"/>
      <c r="J444" s="2"/>
      <c r="K444" s="29">
        <f>IF('RPT1'!$J444="","",'RPT1'!$J444)</f>
        <v>615.06476976065005</v>
      </c>
      <c r="L444" s="29">
        <f>IF('RPT2'!$J444="","",'RPT2'!$J444)</f>
        <v>608.85449935319957</v>
      </c>
      <c r="M444" s="29">
        <f>IF('RPT3'!$J444="","",'RPT3'!$J444)</f>
        <v>571.48278759265429</v>
      </c>
      <c r="N444" s="29">
        <f>IF('RPT4'!$J444="","",'RPT4'!$J444)</f>
        <v>512.17216510451249</v>
      </c>
    </row>
    <row r="445" spans="1:14" x14ac:dyDescent="0.35">
      <c r="A445" s="16" t="s">
        <v>434</v>
      </c>
      <c r="B445" s="2"/>
      <c r="C445" s="28">
        <f t="shared" si="25"/>
        <v>154.50777048114838</v>
      </c>
      <c r="D445" s="2"/>
      <c r="E445" s="4"/>
      <c r="F445" s="2"/>
      <c r="G445" s="28">
        <f t="shared" si="26"/>
        <v>154.50777048114838</v>
      </c>
      <c r="H445" s="2"/>
      <c r="I445" s="4"/>
      <c r="J445" s="2"/>
      <c r="K445" s="29">
        <f>IF('RPT1'!$J445="","",'RPT1'!$J445)</f>
        <v>162.2275640978884</v>
      </c>
      <c r="L445" s="29">
        <f>IF('RPT2'!$J445="","",'RPT2'!$J445)</f>
        <v>196.72987393247851</v>
      </c>
      <c r="M445" s="29">
        <f>IF('RPT3'!$J445="","",'RPT3'!$J445)</f>
        <v>155.72146912099851</v>
      </c>
      <c r="N445" s="29">
        <f>IF('RPT4'!$J445="","",'RPT4'!$J445)</f>
        <v>106.31399172298509</v>
      </c>
    </row>
    <row r="446" spans="1:14" x14ac:dyDescent="0.35">
      <c r="A446" s="16" t="s">
        <v>435</v>
      </c>
      <c r="B446" s="2"/>
      <c r="C446" s="28">
        <f t="shared" si="25"/>
        <v>156.80790629059973</v>
      </c>
      <c r="D446" s="2"/>
      <c r="E446" s="4"/>
      <c r="F446" s="2"/>
      <c r="G446" s="28">
        <f t="shared" si="26"/>
        <v>156.80790629059973</v>
      </c>
      <c r="H446" s="2"/>
      <c r="I446" s="4"/>
      <c r="J446" s="2"/>
      <c r="K446" s="29">
        <f>IF('RPT1'!$J446="","",'RPT1'!$J446)</f>
        <v>170.9368211074283</v>
      </c>
      <c r="L446" s="29">
        <f>IF('RPT2'!$J446="","",'RPT2'!$J446)</f>
        <v>182.8129571858681</v>
      </c>
      <c r="M446" s="29">
        <f>IF('RPT3'!$J446="","",'RPT3'!$J446)</f>
        <v>160.90014399130499</v>
      </c>
      <c r="N446" s="29">
        <f>IF('RPT4'!$J446="","",'RPT4'!$J446)</f>
        <v>117.1034761793334</v>
      </c>
    </row>
    <row r="447" spans="1:14" x14ac:dyDescent="0.35">
      <c r="A447" s="16" t="s">
        <v>436</v>
      </c>
      <c r="B447" s="2"/>
      <c r="C447" s="28">
        <f t="shared" si="25"/>
        <v>170.2562891522004</v>
      </c>
      <c r="D447" s="2"/>
      <c r="E447" s="4"/>
      <c r="F447" s="2"/>
      <c r="G447" s="28">
        <f t="shared" si="26"/>
        <v>170.2562891522004</v>
      </c>
      <c r="H447" s="2"/>
      <c r="I447" s="4"/>
      <c r="J447" s="2"/>
      <c r="K447" s="29">
        <f>IF('RPT1'!$J447="","",'RPT1'!$J447)</f>
        <v>180.7457361365083</v>
      </c>
      <c r="L447" s="29">
        <f>IF('RPT2'!$J447="","",'RPT2'!$J447)</f>
        <v>173.14356493848331</v>
      </c>
      <c r="M447" s="29">
        <f>IF('RPT3'!$J447="","",'RPT3'!$J447)</f>
        <v>175.81079956816029</v>
      </c>
      <c r="N447" s="29">
        <f>IF('RPT4'!$J447="","",'RPT4'!$J447)</f>
        <v>153.099617279791</v>
      </c>
    </row>
    <row r="448" spans="1:14" x14ac:dyDescent="0.35">
      <c r="A448" s="16" t="s">
        <v>437</v>
      </c>
      <c r="B448" s="2"/>
      <c r="C448" s="28">
        <f t="shared" si="25"/>
        <v>173.64687051257155</v>
      </c>
      <c r="D448" s="2"/>
      <c r="E448" s="4"/>
      <c r="F448" s="2"/>
      <c r="G448" s="28">
        <f t="shared" si="26"/>
        <v>173.64687051257155</v>
      </c>
      <c r="H448" s="2"/>
      <c r="I448" s="4"/>
      <c r="J448" s="2"/>
      <c r="K448" s="29">
        <f>IF('RPT1'!$J448="","",'RPT1'!$J448)</f>
        <v>179.4515404682958</v>
      </c>
      <c r="L448" s="29">
        <f>IF('RPT2'!$J448="","",'RPT2'!$J448)</f>
        <v>175.8428708774606</v>
      </c>
      <c r="M448" s="29">
        <f>IF('RPT3'!$J448="","",'RPT3'!$J448)</f>
        <v>179.14729131701091</v>
      </c>
      <c r="N448" s="29">
        <f>IF('RPT4'!$J448="","",'RPT4'!$J448)</f>
        <v>161.2402844247226</v>
      </c>
    </row>
    <row r="449" spans="1:14" x14ac:dyDescent="0.35">
      <c r="A449" s="16" t="s">
        <v>438</v>
      </c>
      <c r="B449" s="2"/>
      <c r="C449" s="28">
        <f t="shared" si="25"/>
        <v>185.74022301626667</v>
      </c>
      <c r="D449" s="2"/>
      <c r="E449" s="4"/>
      <c r="F449" s="2"/>
      <c r="G449" s="28">
        <f t="shared" si="26"/>
        <v>185.74022301626667</v>
      </c>
      <c r="H449" s="2"/>
      <c r="I449" s="4"/>
      <c r="J449" s="2"/>
      <c r="K449" s="29">
        <f>IF('RPT1'!$J449="","",'RPT1'!$J449)</f>
        <v>191.77329105414921</v>
      </c>
      <c r="L449" s="29">
        <f>IF('RPT2'!$J449="","",'RPT2'!$J449)</f>
        <v>188.01772390924401</v>
      </c>
      <c r="M449" s="29">
        <f>IF('RPT3'!$J449="","",'RPT3'!$J449)</f>
        <v>192.21970722533209</v>
      </c>
      <c r="N449" s="29">
        <f>IF('RPT4'!$J449="","",'RPT4'!$J449)</f>
        <v>172.24794833157691</v>
      </c>
    </row>
    <row r="450" spans="1:14" x14ac:dyDescent="0.35">
      <c r="A450" s="16" t="s">
        <v>439</v>
      </c>
      <c r="B450" s="2"/>
      <c r="C450" s="28">
        <f t="shared" si="25"/>
        <v>289.16046937158609</v>
      </c>
      <c r="D450" s="2"/>
      <c r="E450" s="4"/>
      <c r="F450" s="2"/>
      <c r="G450" s="28">
        <f t="shared" si="26"/>
        <v>289.16046937158609</v>
      </c>
      <c r="H450" s="2"/>
      <c r="I450" s="4"/>
      <c r="J450" s="2"/>
      <c r="K450" s="29">
        <f>IF('RPT1'!$J450="","",'RPT1'!$J450)</f>
        <v>282.79039550861478</v>
      </c>
      <c r="L450" s="29">
        <f>IF('RPT2'!$J450="","",'RPT2'!$J450)</f>
        <v>447.41905119970232</v>
      </c>
      <c r="M450" s="29">
        <f>IF('RPT3'!$J450="","",'RPT3'!$J450)</f>
        <v>248.56938965291801</v>
      </c>
      <c r="N450" s="29">
        <f>IF('RPT4'!$J450="","",'RPT4'!$J450)</f>
        <v>162.16363163105049</v>
      </c>
    </row>
    <row r="451" spans="1:14" x14ac:dyDescent="0.35">
      <c r="A451" s="16" t="s">
        <v>440</v>
      </c>
      <c r="B451" s="2"/>
      <c r="C451" s="28">
        <f t="shared" si="25"/>
        <v>278.81736434615419</v>
      </c>
      <c r="D451" s="2"/>
      <c r="E451" s="4"/>
      <c r="F451" s="2"/>
      <c r="G451" s="28">
        <f t="shared" si="26"/>
        <v>278.81736434615419</v>
      </c>
      <c r="H451" s="2"/>
      <c r="I451" s="4"/>
      <c r="J451" s="2"/>
      <c r="K451" s="29">
        <f>IF('RPT1'!$J451="","",'RPT1'!$J451)</f>
        <v>304.6712786996257</v>
      </c>
      <c r="L451" s="29">
        <f>IF('RPT2'!$J451="","",'RPT2'!$J451)</f>
        <v>371.64994873577223</v>
      </c>
      <c r="M451" s="29">
        <f>IF('RPT3'!$J451="","",'RPT3'!$J451)</f>
        <v>255.60197814614281</v>
      </c>
      <c r="N451" s="29">
        <f>IF('RPT4'!$J451="","",'RPT4'!$J451)</f>
        <v>182.92470455015351</v>
      </c>
    </row>
    <row r="452" spans="1:14" x14ac:dyDescent="0.35">
      <c r="A452" s="16" t="s">
        <v>441</v>
      </c>
      <c r="B452" s="2"/>
      <c r="C452" s="28">
        <f t="shared" si="25"/>
        <v>300.32281325475572</v>
      </c>
      <c r="D452" s="2"/>
      <c r="E452" s="4"/>
      <c r="F452" s="2"/>
      <c r="G452" s="28">
        <f t="shared" si="26"/>
        <v>300.32281325475572</v>
      </c>
      <c r="H452" s="2"/>
      <c r="I452" s="4"/>
      <c r="J452" s="2"/>
      <c r="K452" s="29">
        <f>IF('RPT1'!$J452="","",'RPT1'!$J452)</f>
        <v>332.5907857248074</v>
      </c>
      <c r="L452" s="29">
        <f>IF('RPT2'!$J452="","",'RPT2'!$J452)</f>
        <v>339.72028432471308</v>
      </c>
      <c r="M452" s="29">
        <f>IF('RPT3'!$J452="","",'RPT3'!$J452)</f>
        <v>294.61938382591791</v>
      </c>
      <c r="N452" s="29">
        <f>IF('RPT4'!$J452="","",'RPT4'!$J452)</f>
        <v>238.11321467878599</v>
      </c>
    </row>
    <row r="453" spans="1:14" x14ac:dyDescent="0.35">
      <c r="A453" s="16" t="s">
        <v>442</v>
      </c>
      <c r="B453" s="2"/>
      <c r="C453" s="28">
        <f t="shared" si="25"/>
        <v>339.0880037349196</v>
      </c>
      <c r="D453" s="2"/>
      <c r="E453" s="4"/>
      <c r="F453" s="2"/>
      <c r="G453" s="28">
        <f t="shared" si="26"/>
        <v>339.0880037349196</v>
      </c>
      <c r="H453" s="2"/>
      <c r="I453" s="4"/>
      <c r="J453" s="2"/>
      <c r="K453" s="29">
        <f>IF('RPT1'!$J453="","",'RPT1'!$J453)</f>
        <v>365.81034392642789</v>
      </c>
      <c r="L453" s="29">
        <f>IF('RPT2'!$J453="","",'RPT2'!$J453)</f>
        <v>377.38402189485407</v>
      </c>
      <c r="M453" s="29">
        <f>IF('RPT3'!$J453="","",'RPT3'!$J453)</f>
        <v>337.81529278897978</v>
      </c>
      <c r="N453" s="29">
        <f>IF('RPT4'!$J453="","",'RPT4'!$J453)</f>
        <v>279.13754242293157</v>
      </c>
    </row>
    <row r="454" spans="1:14" x14ac:dyDescent="0.35">
      <c r="A454" s="16" t="s">
        <v>443</v>
      </c>
      <c r="B454" s="2"/>
      <c r="C454" s="28">
        <f t="shared" si="25"/>
        <v>370.54476901003784</v>
      </c>
      <c r="D454" s="2"/>
      <c r="E454" s="4"/>
      <c r="F454" s="2"/>
      <c r="G454" s="28">
        <f t="shared" si="26"/>
        <v>370.54476901003784</v>
      </c>
      <c r="H454" s="2"/>
      <c r="I454" s="4"/>
      <c r="J454" s="2"/>
      <c r="K454" s="29">
        <f>IF('RPT1'!$J454="","",'RPT1'!$J454)</f>
        <v>396.74299596143368</v>
      </c>
      <c r="L454" s="29">
        <f>IF('RPT2'!$J454="","",'RPT2'!$J454)</f>
        <v>408.15189886703968</v>
      </c>
      <c r="M454" s="29">
        <f>IF('RPT3'!$J454="","",'RPT3'!$J454)</f>
        <v>374.77420146999248</v>
      </c>
      <c r="N454" s="29">
        <f>IF('RPT4'!$J454="","",'RPT4'!$J454)</f>
        <v>307.53032328087062</v>
      </c>
    </row>
    <row r="455" spans="1:14" x14ac:dyDescent="0.35">
      <c r="A455" s="16" t="s">
        <v>444</v>
      </c>
      <c r="B455" s="2"/>
      <c r="C455" s="28">
        <f t="shared" si="25"/>
        <v>184.23606292637086</v>
      </c>
      <c r="D455" s="2"/>
      <c r="E455" s="4"/>
      <c r="F455" s="2"/>
      <c r="G455" s="28">
        <f t="shared" si="26"/>
        <v>184.23606292637086</v>
      </c>
      <c r="H455" s="2"/>
      <c r="I455" s="4"/>
      <c r="J455" s="2"/>
      <c r="K455" s="29">
        <f>IF('RPT1'!$J455="","",'RPT1'!$J455)</f>
        <v>57.501741995266983</v>
      </c>
      <c r="L455" s="29">
        <f>IF('RPT2'!$J455="","",'RPT2'!$J455)</f>
        <v>405.87662153049462</v>
      </c>
      <c r="M455" s="29">
        <f>IF('RPT3'!$J455="","",'RPT3'!$J455)</f>
        <v>127.5514646385042</v>
      </c>
      <c r="N455" s="29">
        <f>IF('RPT4'!$J455="","",'RPT4'!$J455)</f>
        <v>65.363903933974257</v>
      </c>
    </row>
    <row r="456" spans="1:14" x14ac:dyDescent="0.35">
      <c r="A456" s="16" t="s">
        <v>445</v>
      </c>
      <c r="B456" s="2"/>
      <c r="C456" s="28">
        <f t="shared" si="25"/>
        <v>213.44607800215044</v>
      </c>
      <c r="D456" s="2"/>
      <c r="E456" s="4"/>
      <c r="F456" s="2"/>
      <c r="G456" s="28">
        <f t="shared" si="26"/>
        <v>213.44607800215044</v>
      </c>
      <c r="H456" s="2"/>
      <c r="I456" s="4"/>
      <c r="J456" s="2"/>
      <c r="K456" s="29">
        <f>IF('RPT1'!$J456="","",'RPT1'!$J456)</f>
        <v>67.52059005415768</v>
      </c>
      <c r="L456" s="29">
        <f>IF('RPT2'!$J456="","",'RPT2'!$J456)</f>
        <v>446.14137181449217</v>
      </c>
      <c r="M456" s="29">
        <f>IF('RPT3'!$J456="","",'RPT3'!$J456)</f>
        <v>178.67889404423249</v>
      </c>
      <c r="N456" s="29">
        <f>IF('RPT4'!$J456="","",'RPT4'!$J456)</f>
        <v>83.793621051969723</v>
      </c>
    </row>
    <row r="457" spans="1:14" x14ac:dyDescent="0.35">
      <c r="A457" s="16" t="s">
        <v>446</v>
      </c>
      <c r="B457" s="2"/>
      <c r="C457" s="28">
        <f t="shared" si="25"/>
        <v>289.38344522739749</v>
      </c>
      <c r="D457" s="2"/>
      <c r="E457" s="4"/>
      <c r="F457" s="2"/>
      <c r="G457" s="28">
        <f t="shared" si="26"/>
        <v>289.38344522739749</v>
      </c>
      <c r="H457" s="2"/>
      <c r="I457" s="4"/>
      <c r="J457" s="2"/>
      <c r="K457" s="29">
        <f>IF('RPT1'!$J457="","",'RPT1'!$J457)</f>
        <v>97.106899446353225</v>
      </c>
      <c r="L457" s="29">
        <f>IF('RPT2'!$J457="","",'RPT2'!$J457)</f>
        <v>604.20786708554294</v>
      </c>
      <c r="M457" s="29">
        <f>IF('RPT3'!$J457="","",'RPT3'!$J457)</f>
        <v>258.28581474599781</v>
      </c>
      <c r="N457" s="29">
        <f>IF('RPT4'!$J457="","",'RPT4'!$J457)</f>
        <v>104.2881039110332</v>
      </c>
    </row>
    <row r="458" spans="1:14" x14ac:dyDescent="0.35">
      <c r="A458" s="16" t="s">
        <v>447</v>
      </c>
      <c r="B458" s="2"/>
      <c r="C458" s="28">
        <f t="shared" si="25"/>
        <v>349.04048849253695</v>
      </c>
      <c r="D458" s="2"/>
      <c r="E458" s="4"/>
      <c r="F458" s="2"/>
      <c r="G458" s="28">
        <f t="shared" si="26"/>
        <v>349.04048849253695</v>
      </c>
      <c r="H458" s="2"/>
      <c r="I458" s="4"/>
      <c r="J458" s="2"/>
      <c r="K458" s="29">
        <f>IF('RPT1'!$J458="","",'RPT1'!$J458)</f>
        <v>123.5213652829994</v>
      </c>
      <c r="L458" s="29">
        <f>IF('RPT2'!$J458="","",'RPT2'!$J458)</f>
        <v>753.75373933956519</v>
      </c>
      <c r="M458" s="29">
        <f>IF('RPT3'!$J458="","",'RPT3'!$J458)</f>
        <v>290.96616569463953</v>
      </c>
      <c r="N458" s="29">
        <f>IF('RPT4'!$J458="","",'RPT4'!$J458)</f>
        <v>113.9259108470866</v>
      </c>
    </row>
    <row r="459" spans="1:14" x14ac:dyDescent="0.35">
      <c r="A459" s="16" t="s">
        <v>448</v>
      </c>
      <c r="B459" s="2"/>
      <c r="C459" s="28">
        <f t="shared" si="25"/>
        <v>373.24250597376437</v>
      </c>
      <c r="D459" s="2"/>
      <c r="E459" s="4"/>
      <c r="F459" s="2"/>
      <c r="G459" s="28">
        <f t="shared" si="26"/>
        <v>373.24250597376437</v>
      </c>
      <c r="H459" s="2"/>
      <c r="I459" s="4"/>
      <c r="J459" s="2"/>
      <c r="K459" s="29">
        <f>IF('RPT1'!$J459="","",'RPT1'!$J459)</f>
        <v>135.67467234409591</v>
      </c>
      <c r="L459" s="29">
        <f>IF('RPT2'!$J459="","",'RPT2'!$J459)</f>
        <v>798.68358501472278</v>
      </c>
      <c r="M459" s="29">
        <f>IF('RPT3'!$J459="","",'RPT3'!$J459)</f>
        <v>318.94551183265918</v>
      </c>
      <c r="N459" s="29">
        <f>IF('RPT4'!$J459="","",'RPT4'!$J459)</f>
        <v>122.4581859237443</v>
      </c>
    </row>
    <row r="460" spans="1:14" x14ac:dyDescent="0.35">
      <c r="A460" s="24"/>
      <c r="B460" s="2"/>
      <c r="C460" s="28"/>
      <c r="D460" s="2"/>
      <c r="E460" s="4"/>
      <c r="F460" s="2"/>
      <c r="G460" s="28"/>
      <c r="H460" s="2"/>
      <c r="I460" s="4"/>
      <c r="J460" s="2"/>
      <c r="K460" s="29"/>
      <c r="L460" s="29"/>
      <c r="M460" s="29"/>
      <c r="N460" s="29"/>
    </row>
    <row r="461" spans="1:14" x14ac:dyDescent="0.35">
      <c r="A461" s="30" t="s">
        <v>449</v>
      </c>
      <c r="B461" s="2"/>
      <c r="C461" s="28"/>
      <c r="D461" s="2"/>
      <c r="E461" s="4"/>
      <c r="F461" s="2"/>
      <c r="G461" s="28"/>
      <c r="H461" s="2"/>
      <c r="I461" s="4"/>
      <c r="J461" s="2"/>
      <c r="K461" s="29" t="str">
        <f>IF('RPT1'!$J461="","",'RPT1'!$J461)</f>
        <v/>
      </c>
      <c r="L461" s="29" t="str">
        <f>IF('RPT2'!$J461="","",'RPT2'!$J461)</f>
        <v/>
      </c>
      <c r="M461" s="29" t="str">
        <f>IF('RPT3'!$J461="","",'RPT3'!$J461)</f>
        <v/>
      </c>
      <c r="N461" s="29" t="str">
        <f>IF('RPT4'!$J461="","",'RPT4'!$J461)</f>
        <v/>
      </c>
    </row>
    <row r="462" spans="1:14" x14ac:dyDescent="0.35">
      <c r="A462" s="16" t="s">
        <v>450</v>
      </c>
      <c r="B462" s="2"/>
      <c r="C462" s="31">
        <f t="shared" ref="C462:C481" si="27">IF(Combine="Y", $G462, 0)</f>
        <v>0</v>
      </c>
      <c r="D462" s="2"/>
      <c r="E462" s="4"/>
      <c r="F462" s="2"/>
      <c r="G462" s="31">
        <f>IF(((G122+G548-G553)*G440)=0,0,SUM(IF($K462="",0,($K122+$K548-$K553)*$K440*$K462),IF($L462="",0,($L122+$L548-$L553)*$L440*$L462),IF($M462="",0,($M122+$M548-$M553)*$M440*$M462),IF($N462="",0,($N122+$N548-$N553)*$N440*$N462))/((G122+G548-G553)*G440))</f>
        <v>0</v>
      </c>
      <c r="H462" s="2"/>
      <c r="I462" s="4"/>
      <c r="J462" s="2"/>
      <c r="K462" s="32">
        <f>IF('RPT1'!$J462="","",'RPT1'!$J462)</f>
        <v>0</v>
      </c>
      <c r="L462" s="32">
        <f>IF('RPT2'!$J462="","",'RPT2'!$J462)</f>
        <v>0</v>
      </c>
      <c r="M462" s="32">
        <f>IF('RPT3'!$J462="","",'RPT3'!$J462)</f>
        <v>0</v>
      </c>
      <c r="N462" s="32">
        <f>IF('RPT4'!$J462="","",'RPT4'!$J462)</f>
        <v>0</v>
      </c>
    </row>
    <row r="463" spans="1:14" x14ac:dyDescent="0.35">
      <c r="A463" s="16" t="s">
        <v>451</v>
      </c>
      <c r="B463" s="2"/>
      <c r="C463" s="31">
        <f t="shared" si="27"/>
        <v>0</v>
      </c>
      <c r="D463" s="2"/>
      <c r="E463" s="4"/>
      <c r="F463" s="2"/>
      <c r="G463" s="31">
        <f>IF(((G123+G549-G554)*G441)=0,0,SUM(IF($K463="",0,($K123+$K549-$K554)*$K441*$K463),IF($L463="",0,($L123+$L549-$L554)*$L441*$L463),IF($M463="",0,($M123+$M549-$M554)*$M441*$M463),IF($N463="",0,($N123+$N549-$N554)*$N441*$N463))/((G123+G549-G554)*G441))</f>
        <v>0</v>
      </c>
      <c r="H463" s="2"/>
      <c r="I463" s="4"/>
      <c r="J463" s="2"/>
      <c r="K463" s="32">
        <f>IF('RPT1'!$J463="","",'RPT1'!$J463)</f>
        <v>0</v>
      </c>
      <c r="L463" s="32">
        <f>IF('RPT2'!$J463="","",'RPT2'!$J463)</f>
        <v>0</v>
      </c>
      <c r="M463" s="32">
        <f>IF('RPT3'!$J463="","",'RPT3'!$J463)</f>
        <v>0</v>
      </c>
      <c r="N463" s="32">
        <f>IF('RPT4'!$J463="","",'RPT4'!$J463)</f>
        <v>0</v>
      </c>
    </row>
    <row r="464" spans="1:14" x14ac:dyDescent="0.35">
      <c r="A464" s="16" t="s">
        <v>452</v>
      </c>
      <c r="B464" s="2"/>
      <c r="C464" s="31">
        <f t="shared" si="27"/>
        <v>0</v>
      </c>
      <c r="D464" s="2"/>
      <c r="E464" s="4"/>
      <c r="F464" s="2"/>
      <c r="G464" s="31">
        <f>IF(((G124+G550-G555)*G442)=0,0,SUM(IF($K464="",0,($K124+$K550-$K555)*$K442*$K464),IF($L464="",0,($L124+$L550-$L555)*$L442*$L464),IF($M464="",0,($M124+$M550-$M555)*$M442*$M464),IF($N464="",0,($N124+$N550-$N555)*$N442*$N464))/((G124+G550-G555)*G442))</f>
        <v>0</v>
      </c>
      <c r="H464" s="2"/>
      <c r="I464" s="4"/>
      <c r="J464" s="2"/>
      <c r="K464" s="32">
        <f>IF('RPT1'!$J464="","",'RPT1'!$J464)</f>
        <v>0</v>
      </c>
      <c r="L464" s="32">
        <f>IF('RPT2'!$J464="","",'RPT2'!$J464)</f>
        <v>0</v>
      </c>
      <c r="M464" s="32">
        <f>IF('RPT3'!$J464="","",'RPT3'!$J464)</f>
        <v>0</v>
      </c>
      <c r="N464" s="32">
        <f>IF('RPT4'!$J464="","",'RPT4'!$J464)</f>
        <v>0</v>
      </c>
    </row>
    <row r="465" spans="1:14" x14ac:dyDescent="0.35">
      <c r="A465" s="16" t="s">
        <v>453</v>
      </c>
      <c r="B465" s="2"/>
      <c r="C465" s="31">
        <f t="shared" si="27"/>
        <v>0</v>
      </c>
      <c r="D465" s="2"/>
      <c r="E465" s="4"/>
      <c r="F465" s="2"/>
      <c r="G465" s="31">
        <f>IF(((G125+G551-G556)*G443)=0,0,SUM(IF($K465="",0,($K125+$K551-$K556)*$K443*$K465),IF($L465="",0,($L125+$L551-$L556)*$L443*$L465),IF($M465="",0,($M125+$M551-$M556)*$M443*$M465),IF($N465="",0,($N125+$N551-$N556)*$N443*$N465))/((G125+G551-G556)*G443))</f>
        <v>0</v>
      </c>
      <c r="H465" s="2"/>
      <c r="I465" s="4"/>
      <c r="J465" s="2"/>
      <c r="K465" s="32">
        <f>IF('RPT1'!$J465="","",'RPT1'!$J465)</f>
        <v>0</v>
      </c>
      <c r="L465" s="32">
        <f>IF('RPT2'!$J465="","",'RPT2'!$J465)</f>
        <v>0</v>
      </c>
      <c r="M465" s="32">
        <f>IF('RPT3'!$J465="","",'RPT3'!$J465)</f>
        <v>0</v>
      </c>
      <c r="N465" s="32">
        <f>IF('RPT4'!$J465="","",'RPT4'!$J465)</f>
        <v>0</v>
      </c>
    </row>
    <row r="466" spans="1:14" x14ac:dyDescent="0.35">
      <c r="A466" s="16" t="s">
        <v>454</v>
      </c>
      <c r="B466" s="2"/>
      <c r="C466" s="31">
        <f t="shared" si="27"/>
        <v>0</v>
      </c>
      <c r="D466" s="2"/>
      <c r="E466" s="4"/>
      <c r="F466" s="2"/>
      <c r="G466" s="31">
        <f>IF(((G126+G552-G557)*G444)=0,0,SUM(IF($K466="",0,($K126+$K552-$K557)*$K444*$K466),IF($L466="",0,($L126+$L552-$L557)*$L444*$L466),IF($M466="",0,($M126+$M552-$M557)*$M444*$M466),IF($N466="",0,($N126+$N552-$N557)*$N444*$N466))/((G126+G552-G557)*G444))</f>
        <v>0</v>
      </c>
      <c r="H466" s="2"/>
      <c r="I466" s="4"/>
      <c r="J466" s="2"/>
      <c r="K466" s="32">
        <f>IF('RPT1'!$J466="","",'RPT1'!$J466)</f>
        <v>0</v>
      </c>
      <c r="L466" s="32">
        <f>IF('RPT2'!$J466="","",'RPT2'!$J466)</f>
        <v>0</v>
      </c>
      <c r="M466" s="32">
        <f>IF('RPT3'!$J466="","",'RPT3'!$J466)</f>
        <v>0</v>
      </c>
      <c r="N466" s="32">
        <f>IF('RPT4'!$J466="","",'RPT4'!$J466)</f>
        <v>0</v>
      </c>
    </row>
    <row r="467" spans="1:14" x14ac:dyDescent="0.35">
      <c r="A467" s="16" t="s">
        <v>455</v>
      </c>
      <c r="B467" s="2"/>
      <c r="C467" s="31">
        <f t="shared" si="27"/>
        <v>0</v>
      </c>
      <c r="D467" s="2"/>
      <c r="E467" s="4"/>
      <c r="F467" s="2"/>
      <c r="G467" s="31">
        <f>IF(((G132+G558-G563)*G445)=0,0,SUM(IF($K467="",0,($K132+$K558-$K563)*$K445*$K467),IF($L467="",0,($L132+$L558-$L563)*$L445*$L467),IF($M467="",0,($M132+$M558-$M563)*$M445*$M467),IF($N467="",0,($N132+$N558-$N563)*$N445*$N467))/((G132+G558-G563)*G445))</f>
        <v>0</v>
      </c>
      <c r="H467" s="2"/>
      <c r="I467" s="4"/>
      <c r="J467" s="2"/>
      <c r="K467" s="32">
        <f>IF('RPT1'!$J467="","",'RPT1'!$J467)</f>
        <v>0</v>
      </c>
      <c r="L467" s="32">
        <f>IF('RPT2'!$J467="","",'RPT2'!$J467)</f>
        <v>0</v>
      </c>
      <c r="M467" s="32">
        <f>IF('RPT3'!$J467="","",'RPT3'!$J467)</f>
        <v>0</v>
      </c>
      <c r="N467" s="32">
        <f>IF('RPT4'!$J467="","",'RPT4'!$J467)</f>
        <v>0</v>
      </c>
    </row>
    <row r="468" spans="1:14" x14ac:dyDescent="0.35">
      <c r="A468" s="16" t="s">
        <v>456</v>
      </c>
      <c r="B468" s="2"/>
      <c r="C468" s="31">
        <f t="shared" si="27"/>
        <v>0</v>
      </c>
      <c r="D468" s="2"/>
      <c r="E468" s="4"/>
      <c r="F468" s="2"/>
      <c r="G468" s="31">
        <f>IF(((G133+G559-G564)*G446)=0,0,SUM(IF($K468="",0,($K133+$K559-$K564)*$K446*$K468),IF($L468="",0,($L133+$L559-$L564)*$L446*$L468),IF($M468="",0,($M133+$M559-$M564)*$M446*$M468),IF($N468="",0,($N133+$N559-$N564)*$N446*$N468))/((G133+G559-G564)*G446))</f>
        <v>0</v>
      </c>
      <c r="H468" s="2"/>
      <c r="I468" s="4"/>
      <c r="J468" s="2"/>
      <c r="K468" s="32">
        <f>IF('RPT1'!$J468="","",'RPT1'!$J468)</f>
        <v>0</v>
      </c>
      <c r="L468" s="32">
        <f>IF('RPT2'!$J468="","",'RPT2'!$J468)</f>
        <v>0</v>
      </c>
      <c r="M468" s="32">
        <f>IF('RPT3'!$J468="","",'RPT3'!$J468)</f>
        <v>0</v>
      </c>
      <c r="N468" s="32">
        <f>IF('RPT4'!$J468="","",'RPT4'!$J468)</f>
        <v>0</v>
      </c>
    </row>
    <row r="469" spans="1:14" x14ac:dyDescent="0.35">
      <c r="A469" s="16" t="s">
        <v>457</v>
      </c>
      <c r="B469" s="2"/>
      <c r="C469" s="31">
        <f t="shared" si="27"/>
        <v>0</v>
      </c>
      <c r="D469" s="2"/>
      <c r="E469" s="4"/>
      <c r="F469" s="2"/>
      <c r="G469" s="31">
        <f>IF(((G134+G560-G565)*G447)=0,0,SUM(IF($K469="",0,($K134+$K560-$K565)*$K447*$K469),IF($L469="",0,($L134+$L560-$L565)*$L447*$L469),IF($M469="",0,($M134+$M560-$M565)*$M447*$M469),IF($N469="",0,($N134+$N560-$N565)*$N447*$N469))/((G134+G560-G565)*G447))</f>
        <v>0</v>
      </c>
      <c r="H469" s="2"/>
      <c r="I469" s="4"/>
      <c r="J469" s="2"/>
      <c r="K469" s="32">
        <f>IF('RPT1'!$J469="","",'RPT1'!$J469)</f>
        <v>0</v>
      </c>
      <c r="L469" s="32">
        <f>IF('RPT2'!$J469="","",'RPT2'!$J469)</f>
        <v>0</v>
      </c>
      <c r="M469" s="32">
        <f>IF('RPT3'!$J469="","",'RPT3'!$J469)</f>
        <v>0</v>
      </c>
      <c r="N469" s="32">
        <f>IF('RPT4'!$J469="","",'RPT4'!$J469)</f>
        <v>0</v>
      </c>
    </row>
    <row r="470" spans="1:14" x14ac:dyDescent="0.35">
      <c r="A470" s="16" t="s">
        <v>458</v>
      </c>
      <c r="B470" s="2"/>
      <c r="C470" s="31">
        <f t="shared" si="27"/>
        <v>0</v>
      </c>
      <c r="D470" s="2"/>
      <c r="E470" s="4"/>
      <c r="F470" s="2"/>
      <c r="G470" s="31">
        <f>IF(((G135+G561-G566)*G448)=0,0,SUM(IF($K470="",0,($K135+$K561-$K566)*$K448*$K470),IF($L470="",0,($L135+$L561-$L566)*$L448*$L470),IF($M470="",0,($M135+$M561-$M566)*$M448*$M470),IF($N470="",0,($N135+$N561-$N566)*$N448*$N470))/((G135+G561-G566)*G448))</f>
        <v>0</v>
      </c>
      <c r="H470" s="2"/>
      <c r="I470" s="4"/>
      <c r="J470" s="2"/>
      <c r="K470" s="32">
        <f>IF('RPT1'!$J470="","",'RPT1'!$J470)</f>
        <v>0</v>
      </c>
      <c r="L470" s="32">
        <f>IF('RPT2'!$J470="","",'RPT2'!$J470)</f>
        <v>0</v>
      </c>
      <c r="M470" s="32">
        <f>IF('RPT3'!$J470="","",'RPT3'!$J470)</f>
        <v>0</v>
      </c>
      <c r="N470" s="32">
        <f>IF('RPT4'!$J470="","",'RPT4'!$J470)</f>
        <v>0</v>
      </c>
    </row>
    <row r="471" spans="1:14" x14ac:dyDescent="0.35">
      <c r="A471" s="16" t="s">
        <v>459</v>
      </c>
      <c r="B471" s="2"/>
      <c r="C471" s="31">
        <f t="shared" si="27"/>
        <v>0</v>
      </c>
      <c r="D471" s="2"/>
      <c r="E471" s="4"/>
      <c r="F471" s="2"/>
      <c r="G471" s="31">
        <f>IF(((G136+G562-G567)*G449)=0,0,SUM(IF($K471="",0,($K136+$K562-$K567)*$K449*$K471),IF($L471="",0,($L136+$L562-$L567)*$L449*$L471),IF($M471="",0,($M136+$M562-$M567)*$M449*$M471),IF($N471="",0,($N136+$N562-$N567)*$N449*$N471))/((G136+G562-G567)*G449))</f>
        <v>0</v>
      </c>
      <c r="H471" s="2"/>
      <c r="I471" s="4"/>
      <c r="J471" s="2"/>
      <c r="K471" s="32">
        <f>IF('RPT1'!$J471="","",'RPT1'!$J471)</f>
        <v>0</v>
      </c>
      <c r="L471" s="32">
        <f>IF('RPT2'!$J471="","",'RPT2'!$J471)</f>
        <v>0</v>
      </c>
      <c r="M471" s="32">
        <f>IF('RPT3'!$J471="","",'RPT3'!$J471)</f>
        <v>0</v>
      </c>
      <c r="N471" s="32">
        <f>IF('RPT4'!$J471="","",'RPT4'!$J471)</f>
        <v>0</v>
      </c>
    </row>
    <row r="472" spans="1:14" x14ac:dyDescent="0.35">
      <c r="A472" s="16" t="s">
        <v>460</v>
      </c>
      <c r="B472" s="2"/>
      <c r="C472" s="31">
        <f t="shared" si="27"/>
        <v>0</v>
      </c>
      <c r="D472" s="2"/>
      <c r="E472" s="4"/>
      <c r="F472" s="2"/>
      <c r="G472" s="31">
        <f>IF(((G142+G568-G573)*G450)=0,0,SUM(IF($K472="",0,($K142+$K568-$K573)*$K450*$K472),IF($L472="",0,($L142+$L568-$L573)*$L450*$L472),IF($M472="",0,($M142+$M568-$M573)*$M450*$M472),IF($N472="",0,($N142+$N568-$N573)*$N450*$N472))/((G142+G568-G573)*G450))</f>
        <v>0</v>
      </c>
      <c r="H472" s="2"/>
      <c r="I472" s="4"/>
      <c r="J472" s="2"/>
      <c r="K472" s="32">
        <f>IF('RPT1'!$J472="","",'RPT1'!$J472)</f>
        <v>0</v>
      </c>
      <c r="L472" s="32">
        <f>IF('RPT2'!$J472="","",'RPT2'!$J472)</f>
        <v>0</v>
      </c>
      <c r="M472" s="32">
        <f>IF('RPT3'!$J472="","",'RPT3'!$J472)</f>
        <v>0</v>
      </c>
      <c r="N472" s="32">
        <f>IF('RPT4'!$J472="","",'RPT4'!$J472)</f>
        <v>0</v>
      </c>
    </row>
    <row r="473" spans="1:14" x14ac:dyDescent="0.35">
      <c r="A473" s="16" t="s">
        <v>461</v>
      </c>
      <c r="B473" s="2"/>
      <c r="C473" s="31">
        <f t="shared" si="27"/>
        <v>0</v>
      </c>
      <c r="D473" s="2"/>
      <c r="E473" s="4"/>
      <c r="F473" s="2"/>
      <c r="G473" s="31">
        <f>IF(((G143+G569-G574)*G451)=0,0,SUM(IF($K473="",0,($K143+$K569-$K574)*$K451*$K473),IF($L473="",0,($L143+$L569-$L574)*$L451*$L473),IF($M473="",0,($M143+$M569-$M574)*$M451*$M473),IF($N473="",0,($N143+$N569-$N574)*$N451*$N473))/((G143+G569-G574)*G451))</f>
        <v>0</v>
      </c>
      <c r="H473" s="2"/>
      <c r="I473" s="4"/>
      <c r="J473" s="2"/>
      <c r="K473" s="32">
        <f>IF('RPT1'!$J473="","",'RPT1'!$J473)</f>
        <v>0</v>
      </c>
      <c r="L473" s="32">
        <f>IF('RPT2'!$J473="","",'RPT2'!$J473)</f>
        <v>0</v>
      </c>
      <c r="M473" s="32">
        <f>IF('RPT3'!$J473="","",'RPT3'!$J473)</f>
        <v>0</v>
      </c>
      <c r="N473" s="32">
        <f>IF('RPT4'!$J473="","",'RPT4'!$J473)</f>
        <v>0</v>
      </c>
    </row>
    <row r="474" spans="1:14" x14ac:dyDescent="0.35">
      <c r="A474" s="16" t="s">
        <v>462</v>
      </c>
      <c r="B474" s="2"/>
      <c r="C474" s="31">
        <f t="shared" si="27"/>
        <v>0</v>
      </c>
      <c r="D474" s="2"/>
      <c r="E474" s="4"/>
      <c r="F474" s="2"/>
      <c r="G474" s="31">
        <f>IF(((G144+G570-G575)*G452)=0,0,SUM(IF($K474="",0,($K144+$K570-$K575)*$K452*$K474),IF($L474="",0,($L144+$L570-$L575)*$L452*$L474),IF($M474="",0,($M144+$M570-$M575)*$M452*$M474),IF($N474="",0,($N144+$N570-$N575)*$N452*$N474))/((G144+G570-G575)*G452))</f>
        <v>0</v>
      </c>
      <c r="H474" s="2"/>
      <c r="I474" s="4"/>
      <c r="J474" s="2"/>
      <c r="K474" s="32">
        <f>IF('RPT1'!$J474="","",'RPT1'!$J474)</f>
        <v>0</v>
      </c>
      <c r="L474" s="32">
        <f>IF('RPT2'!$J474="","",'RPT2'!$J474)</f>
        <v>0</v>
      </c>
      <c r="M474" s="32">
        <f>IF('RPT3'!$J474="","",'RPT3'!$J474)</f>
        <v>0</v>
      </c>
      <c r="N474" s="32">
        <f>IF('RPT4'!$J474="","",'RPT4'!$J474)</f>
        <v>0</v>
      </c>
    </row>
    <row r="475" spans="1:14" x14ac:dyDescent="0.35">
      <c r="A475" s="16" t="s">
        <v>463</v>
      </c>
      <c r="B475" s="2"/>
      <c r="C475" s="31">
        <f t="shared" si="27"/>
        <v>0</v>
      </c>
      <c r="D475" s="2"/>
      <c r="E475" s="4"/>
      <c r="F475" s="2"/>
      <c r="G475" s="31">
        <f>IF(((G145+G571-G576)*G453)=0,0,SUM(IF($K475="",0,($K145+$K571-$K576)*$K453*$K475),IF($L475="",0,($L145+$L571-$L576)*$L453*$L475),IF($M475="",0,($M145+$M571-$M576)*$M453*$M475),IF($N475="",0,($N145+$N571-$N576)*$N453*$N475))/((G145+G571-G576)*G453))</f>
        <v>0</v>
      </c>
      <c r="H475" s="2"/>
      <c r="I475" s="4"/>
      <c r="J475" s="2"/>
      <c r="K475" s="32">
        <f>IF('RPT1'!$J475="","",'RPT1'!$J475)</f>
        <v>0</v>
      </c>
      <c r="L475" s="32">
        <f>IF('RPT2'!$J475="","",'RPT2'!$J475)</f>
        <v>0</v>
      </c>
      <c r="M475" s="32">
        <f>IF('RPT3'!$J475="","",'RPT3'!$J475)</f>
        <v>0</v>
      </c>
      <c r="N475" s="32">
        <f>IF('RPT4'!$J475="","",'RPT4'!$J475)</f>
        <v>0</v>
      </c>
    </row>
    <row r="476" spans="1:14" x14ac:dyDescent="0.35">
      <c r="A476" s="16" t="s">
        <v>464</v>
      </c>
      <c r="B476" s="2"/>
      <c r="C476" s="31">
        <f t="shared" si="27"/>
        <v>0</v>
      </c>
      <c r="D476" s="2"/>
      <c r="E476" s="4"/>
      <c r="F476" s="2"/>
      <c r="G476" s="31">
        <f>IF(((G146+G572-G577)*G454)=0,0,SUM(IF($K476="",0,($K146+$K572-$K577)*$K454*$K476),IF($L476="",0,($L146+$L572-$L577)*$L454*$L476),IF($M476="",0,($M146+$M572-$M577)*$M454*$M476),IF($N476="",0,($N146+$N572-$N577)*$N454*$N476))/((G146+G572-G577)*G454))</f>
        <v>0</v>
      </c>
      <c r="H476" s="2"/>
      <c r="I476" s="4"/>
      <c r="J476" s="2"/>
      <c r="K476" s="32">
        <f>IF('RPT1'!$J476="","",'RPT1'!$J476)</f>
        <v>0</v>
      </c>
      <c r="L476" s="32">
        <f>IF('RPT2'!$J476="","",'RPT2'!$J476)</f>
        <v>0</v>
      </c>
      <c r="M476" s="32">
        <f>IF('RPT3'!$J476="","",'RPT3'!$J476)</f>
        <v>0</v>
      </c>
      <c r="N476" s="32">
        <f>IF('RPT4'!$J476="","",'RPT4'!$J476)</f>
        <v>0</v>
      </c>
    </row>
    <row r="477" spans="1:14" x14ac:dyDescent="0.35">
      <c r="A477" s="16" t="s">
        <v>465</v>
      </c>
      <c r="B477" s="2"/>
      <c r="C477" s="31">
        <f t="shared" si="27"/>
        <v>0</v>
      </c>
      <c r="D477" s="2"/>
      <c r="E477" s="4"/>
      <c r="F477" s="2"/>
      <c r="G477" s="31">
        <f>IF(((G152+G578-G583)*G455)=0,0,SUM(IF($K477="",0,($K152+$K578-$K583)*$K455*$K477),IF($L477="",0,($L152+$L578-$L583)*$L455*$L477),IF($M477="",0,($M152+$M578-$M583)*$M455*$M477),IF($N477="",0,($N152+$N578-$N583)*$N455*$N477))/((G152+G578-G583)*G455))</f>
        <v>0</v>
      </c>
      <c r="H477" s="2"/>
      <c r="I477" s="4"/>
      <c r="J477" s="2"/>
      <c r="K477" s="32">
        <f>IF('RPT1'!$J477="","",'RPT1'!$J477)</f>
        <v>0</v>
      </c>
      <c r="L477" s="32">
        <f>IF('RPT2'!$J477="","",'RPT2'!$J477)</f>
        <v>0</v>
      </c>
      <c r="M477" s="32">
        <f>IF('RPT3'!$J477="","",'RPT3'!$J477)</f>
        <v>0</v>
      </c>
      <c r="N477" s="32">
        <f>IF('RPT4'!$J477="","",'RPT4'!$J477)</f>
        <v>0</v>
      </c>
    </row>
    <row r="478" spans="1:14" x14ac:dyDescent="0.35">
      <c r="A478" s="16" t="s">
        <v>466</v>
      </c>
      <c r="B478" s="2"/>
      <c r="C478" s="31">
        <f t="shared" si="27"/>
        <v>0</v>
      </c>
      <c r="D478" s="2"/>
      <c r="E478" s="4"/>
      <c r="F478" s="2"/>
      <c r="G478" s="31">
        <f>IF(((G153+G579-G584)*G456)=0,0,SUM(IF($K478="",0,($K153+$K579-$K584)*$K456*$K478),IF($L478="",0,($L153+$L579-$L584)*$L456*$L478),IF($M478="",0,($M153+$M579-$M584)*$M456*$M478),IF($N478="",0,($N153+$N579-$N584)*$N456*$N478))/((G153+G579-G584)*G456))</f>
        <v>0</v>
      </c>
      <c r="H478" s="2"/>
      <c r="I478" s="4"/>
      <c r="J478" s="2"/>
      <c r="K478" s="32">
        <f>IF('RPT1'!$J478="","",'RPT1'!$J478)</f>
        <v>0</v>
      </c>
      <c r="L478" s="32">
        <f>IF('RPT2'!$J478="","",'RPT2'!$J478)</f>
        <v>0</v>
      </c>
      <c r="M478" s="32">
        <f>IF('RPT3'!$J478="","",'RPT3'!$J478)</f>
        <v>0</v>
      </c>
      <c r="N478" s="32">
        <f>IF('RPT4'!$J478="","",'RPT4'!$J478)</f>
        <v>0</v>
      </c>
    </row>
    <row r="479" spans="1:14" x14ac:dyDescent="0.35">
      <c r="A479" s="16" t="s">
        <v>467</v>
      </c>
      <c r="B479" s="2"/>
      <c r="C479" s="31">
        <f t="shared" si="27"/>
        <v>0</v>
      </c>
      <c r="D479" s="2"/>
      <c r="E479" s="4"/>
      <c r="F479" s="2"/>
      <c r="G479" s="31">
        <f>IF(((G154+G580-G585)*G457)=0,0,SUM(IF($K479="",0,($K154+$K580-$K585)*$K457*$K479),IF($L479="",0,($L154+$L580-$L585)*$L457*$L479),IF($M479="",0,($M154+$M580-$M585)*$M457*$M479),IF($N479="",0,($N154+$N580-$N585)*$N457*$N479))/((G154+G580-G585)*G457))</f>
        <v>0</v>
      </c>
      <c r="H479" s="2"/>
      <c r="I479" s="4"/>
      <c r="J479" s="2"/>
      <c r="K479" s="32">
        <f>IF('RPT1'!$J479="","",'RPT1'!$J479)</f>
        <v>0</v>
      </c>
      <c r="L479" s="32">
        <f>IF('RPT2'!$J479="","",'RPT2'!$J479)</f>
        <v>0</v>
      </c>
      <c r="M479" s="32">
        <f>IF('RPT3'!$J479="","",'RPT3'!$J479)</f>
        <v>0</v>
      </c>
      <c r="N479" s="32">
        <f>IF('RPT4'!$J479="","",'RPT4'!$J479)</f>
        <v>0</v>
      </c>
    </row>
    <row r="480" spans="1:14" x14ac:dyDescent="0.35">
      <c r="A480" s="16" t="s">
        <v>468</v>
      </c>
      <c r="B480" s="2"/>
      <c r="C480" s="31">
        <f t="shared" si="27"/>
        <v>0</v>
      </c>
      <c r="D480" s="2"/>
      <c r="E480" s="4"/>
      <c r="F480" s="2"/>
      <c r="G480" s="31">
        <f>IF(((G155+G581-G586)*G458)=0,0,SUM(IF($K480="",0,($K155+$K581-$K586)*$K458*$K480),IF($L480="",0,($L155+$L581-$L586)*$L458*$L480),IF($M480="",0,($M155+$M581-$M586)*$M458*$M480),IF($N480="",0,($N155+$N581-$N586)*$N458*$N480))/((G155+G581-G586)*G458))</f>
        <v>0</v>
      </c>
      <c r="H480" s="2"/>
      <c r="I480" s="4"/>
      <c r="J480" s="2"/>
      <c r="K480" s="32">
        <f>IF('RPT1'!$J480="","",'RPT1'!$J480)</f>
        <v>0</v>
      </c>
      <c r="L480" s="32">
        <f>IF('RPT2'!$J480="","",'RPT2'!$J480)</f>
        <v>0</v>
      </c>
      <c r="M480" s="32">
        <f>IF('RPT3'!$J480="","",'RPT3'!$J480)</f>
        <v>0</v>
      </c>
      <c r="N480" s="32">
        <f>IF('RPT4'!$J480="","",'RPT4'!$J480)</f>
        <v>0</v>
      </c>
    </row>
    <row r="481" spans="1:14" x14ac:dyDescent="0.35">
      <c r="A481" s="16" t="s">
        <v>469</v>
      </c>
      <c r="B481" s="2"/>
      <c r="C481" s="31">
        <f t="shared" si="27"/>
        <v>0</v>
      </c>
      <c r="D481" s="2"/>
      <c r="E481" s="4"/>
      <c r="F481" s="2"/>
      <c r="G481" s="31">
        <f>IF(((G156+G582-G587)*G459)=0,0,SUM(IF($K481="",0,($K156+$K582-$K587)*$K459*$K481),IF($L481="",0,($L156+$L582-$L587)*$L459*$L481),IF($M481="",0,($M156+$M582-$M587)*$M459*$M481),IF($N481="",0,($N156+$N582-$N587)*$N459*$N481))/((G156+G582-G587)*G459))</f>
        <v>0</v>
      </c>
      <c r="H481" s="2"/>
      <c r="I481" s="4"/>
      <c r="J481" s="2"/>
      <c r="K481" s="32">
        <f>IF('RPT1'!$J481="","",'RPT1'!$J481)</f>
        <v>0</v>
      </c>
      <c r="L481" s="32">
        <f>IF('RPT2'!$J481="","",'RPT2'!$J481)</f>
        <v>0</v>
      </c>
      <c r="M481" s="32">
        <f>IF('RPT3'!$J481="","",'RPT3'!$J481)</f>
        <v>0</v>
      </c>
      <c r="N481" s="32">
        <f>IF('RPT4'!$J481="","",'RPT4'!$J481)</f>
        <v>0</v>
      </c>
    </row>
    <row r="482" spans="1:14" x14ac:dyDescent="0.35">
      <c r="A482" s="24"/>
      <c r="B482" s="2"/>
      <c r="C482" s="31"/>
      <c r="D482" s="2"/>
      <c r="E482" s="4"/>
      <c r="F482" s="2"/>
      <c r="G482" s="31"/>
      <c r="H482" s="2"/>
      <c r="I482" s="4"/>
      <c r="J482" s="2"/>
      <c r="K482" s="32"/>
      <c r="L482" s="32"/>
      <c r="M482" s="32"/>
      <c r="N482" s="32"/>
    </row>
    <row r="483" spans="1:14" x14ac:dyDescent="0.35">
      <c r="A483" s="30" t="s">
        <v>470</v>
      </c>
      <c r="B483" s="2"/>
      <c r="C483" s="31"/>
      <c r="D483" s="2"/>
      <c r="E483" s="4"/>
      <c r="F483" s="2"/>
      <c r="G483" s="31"/>
      <c r="H483" s="2"/>
      <c r="I483" s="4"/>
      <c r="J483" s="2"/>
      <c r="K483" s="32" t="str">
        <f>IF('RPT1'!$J483="","",'RPT1'!$J483)</f>
        <v/>
      </c>
      <c r="L483" s="32" t="str">
        <f>IF('RPT2'!$J483="","",'RPT2'!$J483)</f>
        <v/>
      </c>
      <c r="M483" s="32" t="str">
        <f>IF('RPT3'!$J483="","",'RPT3'!$J483)</f>
        <v/>
      </c>
      <c r="N483" s="32" t="str">
        <f>IF('RPT4'!$J483="","",'RPT4'!$J483)</f>
        <v/>
      </c>
    </row>
    <row r="484" spans="1:14" x14ac:dyDescent="0.35">
      <c r="A484" s="16" t="s">
        <v>471</v>
      </c>
      <c r="B484" s="2"/>
      <c r="C484" s="33">
        <f t="shared" ref="C484:C503" si="28">IF(Combine="Y", $G484, 0)</f>
        <v>433960.58509511064</v>
      </c>
      <c r="D484" s="2"/>
      <c r="E484" s="4"/>
      <c r="F484" s="2"/>
      <c r="G484" s="33">
        <f t="shared" ref="G484:G503" si="29">SUM($K484:$N484)</f>
        <v>433960.58509511064</v>
      </c>
      <c r="H484" s="2"/>
      <c r="I484" s="4"/>
      <c r="J484" s="2"/>
      <c r="K484" s="34">
        <f>IF('RPT1'!$J484="","",'RPT1'!$J484)</f>
        <v>109488.77845728039</v>
      </c>
      <c r="L484" s="34">
        <f>IF('RPT2'!$J484="","",'RPT2'!$J484)</f>
        <v>150416.0141856281</v>
      </c>
      <c r="M484" s="34">
        <f>IF('RPT3'!$J484="","",'RPT3'!$J484)</f>
        <v>87011.395873202287</v>
      </c>
      <c r="N484" s="34">
        <f>IF('RPT4'!$J484="","",'RPT4'!$J484)</f>
        <v>87044.396578999862</v>
      </c>
    </row>
    <row r="485" spans="1:14" x14ac:dyDescent="0.35">
      <c r="A485" s="16" t="s">
        <v>472</v>
      </c>
      <c r="B485" s="2"/>
      <c r="C485" s="33">
        <f t="shared" si="28"/>
        <v>480042.15234196518</v>
      </c>
      <c r="D485" s="2"/>
      <c r="E485" s="4"/>
      <c r="F485" s="2"/>
      <c r="G485" s="33">
        <f t="shared" si="29"/>
        <v>480042.15234196518</v>
      </c>
      <c r="H485" s="2"/>
      <c r="I485" s="4"/>
      <c r="J485" s="2"/>
      <c r="K485" s="34">
        <f>IF('RPT1'!$J485="","",'RPT1'!$J485)</f>
        <v>129045.0622594872</v>
      </c>
      <c r="L485" s="34">
        <f>IF('RPT2'!$J485="","",'RPT2'!$J485)</f>
        <v>154602.85963563481</v>
      </c>
      <c r="M485" s="34">
        <f>IF('RPT3'!$J485="","",'RPT3'!$J485)</f>
        <v>98173.016412427009</v>
      </c>
      <c r="N485" s="34">
        <f>IF('RPT4'!$J485="","",'RPT4'!$J485)</f>
        <v>98221.214034416145</v>
      </c>
    </row>
    <row r="486" spans="1:14" x14ac:dyDescent="0.35">
      <c r="A486" s="16" t="s">
        <v>473</v>
      </c>
      <c r="B486" s="2"/>
      <c r="C486" s="33">
        <f t="shared" si="28"/>
        <v>545076.38242859964</v>
      </c>
      <c r="D486" s="2"/>
      <c r="E486" s="4"/>
      <c r="F486" s="2"/>
      <c r="G486" s="33">
        <f t="shared" si="29"/>
        <v>545076.38242859964</v>
      </c>
      <c r="H486" s="2"/>
      <c r="I486" s="4"/>
      <c r="J486" s="2"/>
      <c r="K486" s="34">
        <f>IF('RPT1'!$J486="","",'RPT1'!$J486)</f>
        <v>149886.30351645179</v>
      </c>
      <c r="L486" s="34">
        <f>IF('RPT2'!$J486="","",'RPT2'!$J486)</f>
        <v>159097.17468421569</v>
      </c>
      <c r="M486" s="34">
        <f>IF('RPT3'!$J486="","",'RPT3'!$J486)</f>
        <v>118018.2595812295</v>
      </c>
      <c r="N486" s="34">
        <f>IF('RPT4'!$J486="","",'RPT4'!$J486)</f>
        <v>118074.6446467027</v>
      </c>
    </row>
    <row r="487" spans="1:14" x14ac:dyDescent="0.35">
      <c r="A487" s="16" t="s">
        <v>474</v>
      </c>
      <c r="B487" s="2"/>
      <c r="C487" s="33">
        <f t="shared" si="28"/>
        <v>648476.868417399</v>
      </c>
      <c r="D487" s="2"/>
      <c r="E487" s="4"/>
      <c r="F487" s="2"/>
      <c r="G487" s="33">
        <f t="shared" si="29"/>
        <v>648476.868417399</v>
      </c>
      <c r="H487" s="2"/>
      <c r="I487" s="4"/>
      <c r="J487" s="2"/>
      <c r="K487" s="34">
        <f>IF('RPT1'!$J487="","",'RPT1'!$J487)</f>
        <v>175314.9590303241</v>
      </c>
      <c r="L487" s="34">
        <f>IF('RPT2'!$J487="","",'RPT2'!$J487)</f>
        <v>185661.68168860819</v>
      </c>
      <c r="M487" s="34">
        <f>IF('RPT3'!$J487="","",'RPT3'!$J487)</f>
        <v>143707.37091377901</v>
      </c>
      <c r="N487" s="34">
        <f>IF('RPT4'!$J487="","",'RPT4'!$J487)</f>
        <v>143792.8567846877</v>
      </c>
    </row>
    <row r="488" spans="1:14" x14ac:dyDescent="0.35">
      <c r="A488" s="16" t="s">
        <v>475</v>
      </c>
      <c r="B488" s="2"/>
      <c r="C488" s="33">
        <f t="shared" si="28"/>
        <v>733175.82102174801</v>
      </c>
      <c r="D488" s="2"/>
      <c r="E488" s="4"/>
      <c r="F488" s="2"/>
      <c r="G488" s="33">
        <f t="shared" si="29"/>
        <v>733175.82102174801</v>
      </c>
      <c r="H488" s="2"/>
      <c r="I488" s="4"/>
      <c r="J488" s="2"/>
      <c r="K488" s="34">
        <f>IF('RPT1'!$J488="","",'RPT1'!$J488)</f>
        <v>192843.345762351</v>
      </c>
      <c r="L488" s="34">
        <f>IF('RPT2'!$J488="","",'RPT2'!$J488)</f>
        <v>204465.2270195139</v>
      </c>
      <c r="M488" s="34">
        <f>IF('RPT3'!$J488="","",'RPT3'!$J488)</f>
        <v>167881.7796152402</v>
      </c>
      <c r="N488" s="34">
        <f>IF('RPT4'!$J488="","",'RPT4'!$J488)</f>
        <v>167985.46862464299</v>
      </c>
    </row>
    <row r="489" spans="1:14" x14ac:dyDescent="0.35">
      <c r="A489" s="16" t="s">
        <v>476</v>
      </c>
      <c r="B489" s="2"/>
      <c r="C489" s="33">
        <f t="shared" si="28"/>
        <v>258602.77184902161</v>
      </c>
      <c r="D489" s="2"/>
      <c r="E489" s="4"/>
      <c r="F489" s="2"/>
      <c r="G489" s="33">
        <f t="shared" si="29"/>
        <v>258602.77184902161</v>
      </c>
      <c r="H489" s="2"/>
      <c r="I489" s="4"/>
      <c r="J489" s="2"/>
      <c r="K489" s="34">
        <f>IF('RPT1'!$J489="","",'RPT1'!$J489)</f>
        <v>56738.055866976152</v>
      </c>
      <c r="L489" s="34">
        <f>IF('RPT2'!$J489="","",'RPT2'!$J489)</f>
        <v>98876.317565135818</v>
      </c>
      <c r="M489" s="34">
        <f>IF('RPT3'!$J489="","",'RPT3'!$J489)</f>
        <v>51477.929455253987</v>
      </c>
      <c r="N489" s="34">
        <f>IF('RPT4'!$J489="","",'RPT4'!$J489)</f>
        <v>51510.468961655613</v>
      </c>
    </row>
    <row r="490" spans="1:14" x14ac:dyDescent="0.35">
      <c r="A490" s="16" t="s">
        <v>477</v>
      </c>
      <c r="B490" s="2"/>
      <c r="C490" s="33">
        <f t="shared" si="28"/>
        <v>225764.70531881903</v>
      </c>
      <c r="D490" s="2"/>
      <c r="E490" s="4"/>
      <c r="F490" s="2"/>
      <c r="G490" s="33">
        <f t="shared" si="29"/>
        <v>225764.70531881903</v>
      </c>
      <c r="H490" s="2"/>
      <c r="I490" s="4"/>
      <c r="J490" s="2"/>
      <c r="K490" s="34">
        <f>IF('RPT1'!$J490="","",'RPT1'!$J490)</f>
        <v>53208.587847304072</v>
      </c>
      <c r="L490" s="34">
        <f>IF('RPT2'!$J490="","",'RPT2'!$J490)</f>
        <v>81226.367629211833</v>
      </c>
      <c r="M490" s="34">
        <f>IF('RPT3'!$J490="","",'RPT3'!$J490)</f>
        <v>45646.341637038196</v>
      </c>
      <c r="N490" s="34">
        <f>IF('RPT4'!$J490="","",'RPT4'!$J490)</f>
        <v>45683.408205264946</v>
      </c>
    </row>
    <row r="491" spans="1:14" x14ac:dyDescent="0.35">
      <c r="A491" s="16" t="s">
        <v>478</v>
      </c>
      <c r="B491" s="2"/>
      <c r="C491" s="33">
        <f t="shared" si="28"/>
        <v>212151.69319216709</v>
      </c>
      <c r="D491" s="2"/>
      <c r="E491" s="4"/>
      <c r="F491" s="2"/>
      <c r="G491" s="33">
        <f t="shared" si="29"/>
        <v>212151.69319216709</v>
      </c>
      <c r="H491" s="2"/>
      <c r="I491" s="4"/>
      <c r="J491" s="2"/>
      <c r="K491" s="34">
        <f>IF('RPT1'!$J491="","",'RPT1'!$J491)</f>
        <v>54438.845830350911</v>
      </c>
      <c r="L491" s="34">
        <f>IF('RPT2'!$J491="","",'RPT2'!$J491)</f>
        <v>61050.446799904566</v>
      </c>
      <c r="M491" s="34">
        <f>IF('RPT3'!$J491="","",'RPT3'!$J491)</f>
        <v>48318.828287135482</v>
      </c>
      <c r="N491" s="34">
        <f>IF('RPT4'!$J491="","",'RPT4'!$J491)</f>
        <v>48343.572274776132</v>
      </c>
    </row>
    <row r="492" spans="1:14" x14ac:dyDescent="0.35">
      <c r="A492" s="16" t="s">
        <v>479</v>
      </c>
      <c r="B492" s="2"/>
      <c r="C492" s="33">
        <f t="shared" si="28"/>
        <v>203649.79751620587</v>
      </c>
      <c r="D492" s="2"/>
      <c r="E492" s="4"/>
      <c r="F492" s="2"/>
      <c r="G492" s="33">
        <f t="shared" si="29"/>
        <v>203649.79751620587</v>
      </c>
      <c r="H492" s="2"/>
      <c r="I492" s="4"/>
      <c r="J492" s="2"/>
      <c r="K492" s="34">
        <f>IF('RPT1'!$J492="","",'RPT1'!$J492)</f>
        <v>50062.960036859731</v>
      </c>
      <c r="L492" s="34">
        <f>IF('RPT2'!$J492="","",'RPT2'!$J492)</f>
        <v>57494.932544840703</v>
      </c>
      <c r="M492" s="34">
        <f>IF('RPT3'!$J492="","",'RPT3'!$J492)</f>
        <v>48034.086657476983</v>
      </c>
      <c r="N492" s="34">
        <f>IF('RPT4'!$J492="","",'RPT4'!$J492)</f>
        <v>48057.818277028433</v>
      </c>
    </row>
    <row r="493" spans="1:14" x14ac:dyDescent="0.35">
      <c r="A493" s="16" t="s">
        <v>480</v>
      </c>
      <c r="B493" s="2"/>
      <c r="C493" s="33">
        <f t="shared" si="28"/>
        <v>199168.88463100413</v>
      </c>
      <c r="D493" s="2"/>
      <c r="E493" s="4"/>
      <c r="F493" s="2"/>
      <c r="G493" s="33">
        <f t="shared" si="29"/>
        <v>199168.88463100413</v>
      </c>
      <c r="H493" s="2"/>
      <c r="I493" s="4"/>
      <c r="J493" s="2"/>
      <c r="K493" s="34">
        <f>IF('RPT1'!$J493="","",'RPT1'!$J493)</f>
        <v>47725.227449525803</v>
      </c>
      <c r="L493" s="34">
        <f>IF('RPT2'!$J493="","",'RPT2'!$J493)</f>
        <v>56077.089414719972</v>
      </c>
      <c r="M493" s="34">
        <f>IF('RPT3'!$J493="","",'RPT3'!$J493)</f>
        <v>47668.632009512607</v>
      </c>
      <c r="N493" s="34">
        <f>IF('RPT4'!$J493="","",'RPT4'!$J493)</f>
        <v>47697.935757245759</v>
      </c>
    </row>
    <row r="494" spans="1:14" x14ac:dyDescent="0.35">
      <c r="A494" s="16" t="s">
        <v>481</v>
      </c>
      <c r="B494" s="2"/>
      <c r="C494" s="33">
        <f t="shared" si="28"/>
        <v>259512.56620400515</v>
      </c>
      <c r="D494" s="2"/>
      <c r="E494" s="4"/>
      <c r="F494" s="2"/>
      <c r="G494" s="33">
        <f t="shared" si="29"/>
        <v>259512.56620400515</v>
      </c>
      <c r="H494" s="2"/>
      <c r="I494" s="4"/>
      <c r="J494" s="2"/>
      <c r="K494" s="34">
        <f>IF('RPT1'!$J494="","",'RPT1'!$J494)</f>
        <v>49382.983546869909</v>
      </c>
      <c r="L494" s="34">
        <f>IF('RPT2'!$J494="","",'RPT2'!$J494)</f>
        <v>127951.8642909862</v>
      </c>
      <c r="M494" s="34">
        <f>IF('RPT3'!$J494="","",'RPT3'!$J494)</f>
        <v>41074.614650786207</v>
      </c>
      <c r="N494" s="34">
        <f>IF('RPT4'!$J494="","",'RPT4'!$J494)</f>
        <v>41103.103715362842</v>
      </c>
    </row>
    <row r="495" spans="1:14" x14ac:dyDescent="0.35">
      <c r="A495" s="16" t="s">
        <v>482</v>
      </c>
      <c r="B495" s="2"/>
      <c r="C495" s="33">
        <f t="shared" si="28"/>
        <v>220060.6059446671</v>
      </c>
      <c r="D495" s="2"/>
      <c r="E495" s="4"/>
      <c r="F495" s="2"/>
      <c r="G495" s="33">
        <f t="shared" si="29"/>
        <v>220060.6059446671</v>
      </c>
      <c r="H495" s="2"/>
      <c r="I495" s="4"/>
      <c r="J495" s="2"/>
      <c r="K495" s="34">
        <f>IF('RPT1'!$J495="","",'RPT1'!$J495)</f>
        <v>48403.240159570261</v>
      </c>
      <c r="L495" s="34">
        <f>IF('RPT2'!$J495="","",'RPT2'!$J495)</f>
        <v>97958.526217157792</v>
      </c>
      <c r="M495" s="34">
        <f>IF('RPT3'!$J495="","",'RPT3'!$J495)</f>
        <v>36833.773640135158</v>
      </c>
      <c r="N495" s="34">
        <f>IF('RPT4'!$J495="","",'RPT4'!$J495)</f>
        <v>36865.065927803887</v>
      </c>
    </row>
    <row r="496" spans="1:14" x14ac:dyDescent="0.35">
      <c r="A496" s="16" t="s">
        <v>483</v>
      </c>
      <c r="B496" s="2"/>
      <c r="C496" s="33">
        <f t="shared" si="28"/>
        <v>211109.64951309568</v>
      </c>
      <c r="D496" s="2"/>
      <c r="E496" s="4"/>
      <c r="F496" s="2"/>
      <c r="G496" s="33">
        <f t="shared" si="29"/>
        <v>211109.64951309568</v>
      </c>
      <c r="H496" s="2"/>
      <c r="I496" s="4"/>
      <c r="J496" s="2"/>
      <c r="K496" s="34">
        <f>IF('RPT1'!$J496="","",'RPT1'!$J496)</f>
        <v>51460.303297689577</v>
      </c>
      <c r="L496" s="34">
        <f>IF('RPT2'!$J496="","",'RPT2'!$J496)</f>
        <v>75997.913120095036</v>
      </c>
      <c r="M496" s="34">
        <f>IF('RPT3'!$J496="","",'RPT3'!$J496)</f>
        <v>41809.783591084342</v>
      </c>
      <c r="N496" s="34">
        <f>IF('RPT4'!$J496="","",'RPT4'!$J496)</f>
        <v>41841.64950422672</v>
      </c>
    </row>
    <row r="497" spans="1:14" x14ac:dyDescent="0.35">
      <c r="A497" s="16" t="s">
        <v>484</v>
      </c>
      <c r="B497" s="2"/>
      <c r="C497" s="33">
        <f t="shared" si="28"/>
        <v>229574.52458940071</v>
      </c>
      <c r="D497" s="2"/>
      <c r="E497" s="4"/>
      <c r="F497" s="2"/>
      <c r="G497" s="33">
        <f t="shared" si="29"/>
        <v>229574.52458940071</v>
      </c>
      <c r="H497" s="2"/>
      <c r="I497" s="4"/>
      <c r="J497" s="2"/>
      <c r="K497" s="34">
        <f>IF('RPT1'!$J497="","",'RPT1'!$J497)</f>
        <v>53384.38482933199</v>
      </c>
      <c r="L497" s="34">
        <f>IF('RPT2'!$J497="","",'RPT2'!$J497)</f>
        <v>80960.711797998083</v>
      </c>
      <c r="M497" s="34">
        <f>IF('RPT3'!$J497="","",'RPT3'!$J497)</f>
        <v>47594.220752530833</v>
      </c>
      <c r="N497" s="34">
        <f>IF('RPT4'!$J497="","",'RPT4'!$J497)</f>
        <v>47635.207209539811</v>
      </c>
    </row>
    <row r="498" spans="1:14" x14ac:dyDescent="0.35">
      <c r="A498" s="16" t="s">
        <v>485</v>
      </c>
      <c r="B498" s="2"/>
      <c r="C498" s="33">
        <f t="shared" si="28"/>
        <v>251583.34972811854</v>
      </c>
      <c r="D498" s="2"/>
      <c r="E498" s="4"/>
      <c r="F498" s="2"/>
      <c r="G498" s="33">
        <f t="shared" si="29"/>
        <v>251583.34972811854</v>
      </c>
      <c r="H498" s="2"/>
      <c r="I498" s="4"/>
      <c r="J498" s="2"/>
      <c r="K498" s="34">
        <f>IF('RPT1'!$J498="","",'RPT1'!$J498)</f>
        <v>57546.627371202652</v>
      </c>
      <c r="L498" s="34">
        <f>IF('RPT2'!$J498="","",'RPT2'!$J498)</f>
        <v>88532.756518296024</v>
      </c>
      <c r="M498" s="34">
        <f>IF('RPT3'!$J498="","",'RPT3'!$J498)</f>
        <v>52723.888690833031</v>
      </c>
      <c r="N498" s="34">
        <f>IF('RPT4'!$J498="","",'RPT4'!$J498)</f>
        <v>52780.077147786833</v>
      </c>
    </row>
    <row r="499" spans="1:14" x14ac:dyDescent="0.35">
      <c r="A499" s="16" t="s">
        <v>486</v>
      </c>
      <c r="B499" s="2"/>
      <c r="C499" s="33">
        <f t="shared" si="28"/>
        <v>46225.265601313913</v>
      </c>
      <c r="D499" s="2"/>
      <c r="E499" s="4"/>
      <c r="F499" s="2"/>
      <c r="G499" s="33">
        <f t="shared" si="29"/>
        <v>46225.265601313913</v>
      </c>
      <c r="H499" s="2"/>
      <c r="I499" s="4"/>
      <c r="J499" s="2"/>
      <c r="K499" s="34">
        <f>IF('RPT1'!$J499="","",'RPT1'!$J499)</f>
        <v>8919.020625605006</v>
      </c>
      <c r="L499" s="34">
        <f>IF('RPT2'!$J499="","",'RPT2'!$J499)</f>
        <v>28470.2154956997</v>
      </c>
      <c r="M499" s="34">
        <f>IF('RPT3'!$J499="","",'RPT3'!$J499)</f>
        <v>4418.0147400046053</v>
      </c>
      <c r="N499" s="34">
        <f>IF('RPT4'!$J499="","",'RPT4'!$J499)</f>
        <v>4418.0147400046053</v>
      </c>
    </row>
    <row r="500" spans="1:14" x14ac:dyDescent="0.35">
      <c r="A500" s="16" t="s">
        <v>487</v>
      </c>
      <c r="B500" s="2"/>
      <c r="C500" s="33">
        <f t="shared" si="28"/>
        <v>49186.107191388473</v>
      </c>
      <c r="D500" s="2"/>
      <c r="E500" s="4"/>
      <c r="F500" s="2"/>
      <c r="G500" s="33">
        <f t="shared" si="29"/>
        <v>49186.107191388473</v>
      </c>
      <c r="H500" s="2"/>
      <c r="I500" s="4"/>
      <c r="J500" s="2"/>
      <c r="K500" s="34">
        <f>IF('RPT1'!$J500="","",'RPT1'!$J500)</f>
        <v>9671.5246680466171</v>
      </c>
      <c r="L500" s="34">
        <f>IF('RPT2'!$J500="","",'RPT2'!$J500)</f>
        <v>29982.960768879941</v>
      </c>
      <c r="M500" s="34">
        <f>IF('RPT3'!$J500="","",'RPT3'!$J500)</f>
        <v>4765.8108772309597</v>
      </c>
      <c r="N500" s="34">
        <f>IF('RPT4'!$J500="","",'RPT4'!$J500)</f>
        <v>4765.8108772309597</v>
      </c>
    </row>
    <row r="501" spans="1:14" x14ac:dyDescent="0.35">
      <c r="A501" s="16" t="s">
        <v>488</v>
      </c>
      <c r="B501" s="2"/>
      <c r="C501" s="33">
        <f t="shared" si="28"/>
        <v>52716.572173002234</v>
      </c>
      <c r="D501" s="2"/>
      <c r="E501" s="4"/>
      <c r="F501" s="2"/>
      <c r="G501" s="33">
        <f t="shared" si="29"/>
        <v>52716.572173002234</v>
      </c>
      <c r="H501" s="2"/>
      <c r="I501" s="4"/>
      <c r="J501" s="2"/>
      <c r="K501" s="34">
        <f>IF('RPT1'!$J501="","",'RPT1'!$J501)</f>
        <v>10540.97659433757</v>
      </c>
      <c r="L501" s="34">
        <f>IF('RPT2'!$J501="","",'RPT2'!$J501)</f>
        <v>31837.633764398241</v>
      </c>
      <c r="M501" s="34">
        <f>IF('RPT3'!$J501="","",'RPT3'!$J501)</f>
        <v>5168.9809071332093</v>
      </c>
      <c r="N501" s="34">
        <f>IF('RPT4'!$J501="","",'RPT4'!$J501)</f>
        <v>5168.9809071332093</v>
      </c>
    </row>
    <row r="502" spans="1:14" x14ac:dyDescent="0.35">
      <c r="A502" s="16" t="s">
        <v>489</v>
      </c>
      <c r="B502" s="2"/>
      <c r="C502" s="33">
        <f t="shared" si="28"/>
        <v>56050.761507800198</v>
      </c>
      <c r="D502" s="2"/>
      <c r="E502" s="4"/>
      <c r="F502" s="2"/>
      <c r="G502" s="33">
        <f t="shared" si="29"/>
        <v>56050.761507800198</v>
      </c>
      <c r="H502" s="2"/>
      <c r="I502" s="4"/>
      <c r="J502" s="2"/>
      <c r="K502" s="34">
        <f>IF('RPT1'!$J502="","",'RPT1'!$J502)</f>
        <v>11372.829695132499</v>
      </c>
      <c r="L502" s="34">
        <f>IF('RPT2'!$J502="","",'RPT2'!$J502)</f>
        <v>33573.835375273498</v>
      </c>
      <c r="M502" s="34">
        <f>IF('RPT3'!$J502="","",'RPT3'!$J502)</f>
        <v>5552.0482186970976</v>
      </c>
      <c r="N502" s="34">
        <f>IF('RPT4'!$J502="","",'RPT4'!$J502)</f>
        <v>5552.0482186970976</v>
      </c>
    </row>
    <row r="503" spans="1:14" x14ac:dyDescent="0.35">
      <c r="A503" s="16" t="s">
        <v>490</v>
      </c>
      <c r="B503" s="2"/>
      <c r="C503" s="33">
        <f t="shared" si="28"/>
        <v>59561.178465502402</v>
      </c>
      <c r="D503" s="2"/>
      <c r="E503" s="4"/>
      <c r="F503" s="2"/>
      <c r="G503" s="33">
        <f t="shared" si="29"/>
        <v>59561.178465502402</v>
      </c>
      <c r="H503" s="2"/>
      <c r="I503" s="4"/>
      <c r="J503" s="2"/>
      <c r="K503" s="34">
        <f>IF('RPT1'!$J503="","",'RPT1'!$J503)</f>
        <v>12259.474549770801</v>
      </c>
      <c r="L503" s="34">
        <f>IF('RPT2'!$J503="","",'RPT2'!$J503)</f>
        <v>35383.657999213683</v>
      </c>
      <c r="M503" s="34">
        <f>IF('RPT3'!$J503="","",'RPT3'!$J503)</f>
        <v>5959.0229582589609</v>
      </c>
      <c r="N503" s="34">
        <f>IF('RPT4'!$J503="","",'RPT4'!$J503)</f>
        <v>5959.0229582589609</v>
      </c>
    </row>
    <row r="504" spans="1:14" x14ac:dyDescent="0.35">
      <c r="A504" s="24"/>
      <c r="B504" s="2"/>
      <c r="C504" s="33"/>
      <c r="D504" s="2"/>
      <c r="E504" s="4"/>
      <c r="F504" s="2"/>
      <c r="G504" s="33"/>
      <c r="H504" s="2"/>
      <c r="I504" s="4"/>
      <c r="J504" s="2"/>
      <c r="K504" s="34"/>
      <c r="L504" s="34"/>
      <c r="M504" s="34"/>
      <c r="N504" s="34"/>
    </row>
    <row r="505" spans="1:14" x14ac:dyDescent="0.35">
      <c r="A505" s="12" t="s">
        <v>491</v>
      </c>
      <c r="B505" s="2"/>
      <c r="C505" s="14"/>
      <c r="D505" s="2"/>
      <c r="E505" s="4"/>
      <c r="F505" s="2"/>
      <c r="G505" s="14"/>
      <c r="H505" s="2"/>
      <c r="I505" s="4"/>
      <c r="J505" s="2"/>
      <c r="K505" s="25" t="str">
        <f>IF('RPT1'!$J505="","",'RPT1'!$J505)</f>
        <v/>
      </c>
      <c r="L505" s="25" t="str">
        <f>IF('RPT2'!$J505="","",'RPT2'!$J505)</f>
        <v/>
      </c>
      <c r="M505" s="25" t="str">
        <f>IF('RPT3'!$J505="","",'RPT3'!$J505)</f>
        <v/>
      </c>
      <c r="N505" s="25" t="str">
        <f>IF('RPT4'!$J505="","",'RPT4'!$J505)</f>
        <v/>
      </c>
    </row>
    <row r="506" spans="1:14" x14ac:dyDescent="0.35">
      <c r="A506" s="16" t="s">
        <v>492</v>
      </c>
      <c r="B506" s="2"/>
      <c r="C506" s="26">
        <f t="shared" ref="C506:C545" si="30">IF(Combine="Y", $G506, 0)</f>
        <v>0</v>
      </c>
      <c r="D506" s="2"/>
      <c r="E506" s="4"/>
      <c r="F506" s="2"/>
      <c r="G506" s="26">
        <f t="shared" ref="G506:G545" si="31">SUM($K506:$N506)</f>
        <v>0</v>
      </c>
      <c r="H506" s="2"/>
      <c r="I506" s="4"/>
      <c r="J506" s="2"/>
      <c r="K506" s="27">
        <f>IF('RPT1'!$J506="","",'RPT1'!$J506)</f>
        <v>0</v>
      </c>
      <c r="L506" s="27">
        <f>IF('RPT2'!$J506="","",'RPT2'!$J506)</f>
        <v>0</v>
      </c>
      <c r="M506" s="27">
        <f>IF('RPT3'!$J506="","",'RPT3'!$J506)</f>
        <v>0</v>
      </c>
      <c r="N506" s="27">
        <f>IF('RPT4'!$J506="","",'RPT4'!$J506)</f>
        <v>0</v>
      </c>
    </row>
    <row r="507" spans="1:14" x14ac:dyDescent="0.35">
      <c r="A507" s="16" t="s">
        <v>493</v>
      </c>
      <c r="B507" s="2"/>
      <c r="C507" s="26">
        <f t="shared" si="30"/>
        <v>0</v>
      </c>
      <c r="D507" s="2"/>
      <c r="E507" s="4"/>
      <c r="F507" s="2"/>
      <c r="G507" s="26">
        <f t="shared" si="31"/>
        <v>0</v>
      </c>
      <c r="H507" s="2"/>
      <c r="I507" s="4"/>
      <c r="J507" s="2"/>
      <c r="K507" s="27">
        <f>IF('RPT1'!$J507="","",'RPT1'!$J507)</f>
        <v>0</v>
      </c>
      <c r="L507" s="27">
        <f>IF('RPT2'!$J507="","",'RPT2'!$J507)</f>
        <v>0</v>
      </c>
      <c r="M507" s="27">
        <f>IF('RPT3'!$J507="","",'RPT3'!$J507)</f>
        <v>0</v>
      </c>
      <c r="N507" s="27">
        <f>IF('RPT4'!$J507="","",'RPT4'!$J507)</f>
        <v>0</v>
      </c>
    </row>
    <row r="508" spans="1:14" x14ac:dyDescent="0.35">
      <c r="A508" s="16" t="s">
        <v>494</v>
      </c>
      <c r="B508" s="2"/>
      <c r="C508" s="26">
        <f t="shared" si="30"/>
        <v>0</v>
      </c>
      <c r="D508" s="2"/>
      <c r="E508" s="4"/>
      <c r="F508" s="2"/>
      <c r="G508" s="26">
        <f t="shared" si="31"/>
        <v>0</v>
      </c>
      <c r="H508" s="2"/>
      <c r="I508" s="4"/>
      <c r="J508" s="2"/>
      <c r="K508" s="27">
        <f>IF('RPT1'!$J508="","",'RPT1'!$J508)</f>
        <v>0</v>
      </c>
      <c r="L508" s="27">
        <f>IF('RPT2'!$J508="","",'RPT2'!$J508)</f>
        <v>0</v>
      </c>
      <c r="M508" s="27">
        <f>IF('RPT3'!$J508="","",'RPT3'!$J508)</f>
        <v>0</v>
      </c>
      <c r="N508" s="27">
        <f>IF('RPT4'!$J508="","",'RPT4'!$J508)</f>
        <v>0</v>
      </c>
    </row>
    <row r="509" spans="1:14" x14ac:dyDescent="0.35">
      <c r="A509" s="16" t="s">
        <v>495</v>
      </c>
      <c r="B509" s="2"/>
      <c r="C509" s="26">
        <f t="shared" si="30"/>
        <v>0</v>
      </c>
      <c r="D509" s="2"/>
      <c r="E509" s="4"/>
      <c r="F509" s="2"/>
      <c r="G509" s="26">
        <f t="shared" si="31"/>
        <v>0</v>
      </c>
      <c r="H509" s="2"/>
      <c r="I509" s="4"/>
      <c r="J509" s="2"/>
      <c r="K509" s="27">
        <f>IF('RPT1'!$J509="","",'RPT1'!$J509)</f>
        <v>0</v>
      </c>
      <c r="L509" s="27">
        <f>IF('RPT2'!$J509="","",'RPT2'!$J509)</f>
        <v>0</v>
      </c>
      <c r="M509" s="27">
        <f>IF('RPT3'!$J509="","",'RPT3'!$J509)</f>
        <v>0</v>
      </c>
      <c r="N509" s="27">
        <f>IF('RPT4'!$J509="","",'RPT4'!$J509)</f>
        <v>0</v>
      </c>
    </row>
    <row r="510" spans="1:14" x14ac:dyDescent="0.35">
      <c r="A510" s="16" t="s">
        <v>496</v>
      </c>
      <c r="B510" s="2"/>
      <c r="C510" s="26">
        <f t="shared" si="30"/>
        <v>0</v>
      </c>
      <c r="D510" s="2"/>
      <c r="E510" s="4"/>
      <c r="F510" s="2"/>
      <c r="G510" s="26">
        <f t="shared" si="31"/>
        <v>0</v>
      </c>
      <c r="H510" s="2"/>
      <c r="I510" s="4"/>
      <c r="J510" s="2"/>
      <c r="K510" s="27">
        <f>IF('RPT1'!$J510="","",'RPT1'!$J510)</f>
        <v>0</v>
      </c>
      <c r="L510" s="27">
        <f>IF('RPT2'!$J510="","",'RPT2'!$J510)</f>
        <v>0</v>
      </c>
      <c r="M510" s="27">
        <f>IF('RPT3'!$J510="","",'RPT3'!$J510)</f>
        <v>0</v>
      </c>
      <c r="N510" s="27">
        <f>IF('RPT4'!$J510="","",'RPT4'!$J510)</f>
        <v>0</v>
      </c>
    </row>
    <row r="511" spans="1:14" x14ac:dyDescent="0.35">
      <c r="A511" s="16" t="s">
        <v>497</v>
      </c>
      <c r="B511" s="2"/>
      <c r="C511" s="26">
        <f t="shared" si="30"/>
        <v>0</v>
      </c>
      <c r="D511" s="2"/>
      <c r="E511" s="4"/>
      <c r="F511" s="2"/>
      <c r="G511" s="26">
        <f t="shared" si="31"/>
        <v>0</v>
      </c>
      <c r="H511" s="2"/>
      <c r="I511" s="4"/>
      <c r="J511" s="2"/>
      <c r="K511" s="27">
        <f>IF('RPT1'!$J511="","",'RPT1'!$J511)</f>
        <v>0</v>
      </c>
      <c r="L511" s="27">
        <f>IF('RPT2'!$J511="","",'RPT2'!$J511)</f>
        <v>0</v>
      </c>
      <c r="M511" s="27">
        <f>IF('RPT3'!$J511="","",'RPT3'!$J511)</f>
        <v>0</v>
      </c>
      <c r="N511" s="27">
        <f>IF('RPT4'!$J511="","",'RPT4'!$J511)</f>
        <v>0</v>
      </c>
    </row>
    <row r="512" spans="1:14" x14ac:dyDescent="0.35">
      <c r="A512" s="16" t="s">
        <v>498</v>
      </c>
      <c r="B512" s="2"/>
      <c r="C512" s="26">
        <f t="shared" si="30"/>
        <v>0</v>
      </c>
      <c r="D512" s="2"/>
      <c r="E512" s="4"/>
      <c r="F512" s="2"/>
      <c r="G512" s="26">
        <f t="shared" si="31"/>
        <v>0</v>
      </c>
      <c r="H512" s="2"/>
      <c r="I512" s="4"/>
      <c r="J512" s="2"/>
      <c r="K512" s="27">
        <f>IF('RPT1'!$J512="","",'RPT1'!$J512)</f>
        <v>0</v>
      </c>
      <c r="L512" s="27">
        <f>IF('RPT2'!$J512="","",'RPT2'!$J512)</f>
        <v>0</v>
      </c>
      <c r="M512" s="27">
        <f>IF('RPT3'!$J512="","",'RPT3'!$J512)</f>
        <v>0</v>
      </c>
      <c r="N512" s="27">
        <f>IF('RPT4'!$J512="","",'RPT4'!$J512)</f>
        <v>0</v>
      </c>
    </row>
    <row r="513" spans="1:14" x14ac:dyDescent="0.35">
      <c r="A513" s="16" t="s">
        <v>499</v>
      </c>
      <c r="B513" s="2"/>
      <c r="C513" s="26">
        <f t="shared" si="30"/>
        <v>0</v>
      </c>
      <c r="D513" s="2"/>
      <c r="E513" s="4"/>
      <c r="F513" s="2"/>
      <c r="G513" s="26">
        <f t="shared" si="31"/>
        <v>0</v>
      </c>
      <c r="H513" s="2"/>
      <c r="I513" s="4"/>
      <c r="J513" s="2"/>
      <c r="K513" s="27">
        <f>IF('RPT1'!$J513="","",'RPT1'!$J513)</f>
        <v>0</v>
      </c>
      <c r="L513" s="27">
        <f>IF('RPT2'!$J513="","",'RPT2'!$J513)</f>
        <v>0</v>
      </c>
      <c r="M513" s="27">
        <f>IF('RPT3'!$J513="","",'RPT3'!$J513)</f>
        <v>0</v>
      </c>
      <c r="N513" s="27">
        <f>IF('RPT4'!$J513="","",'RPT4'!$J513)</f>
        <v>0</v>
      </c>
    </row>
    <row r="514" spans="1:14" x14ac:dyDescent="0.35">
      <c r="A514" s="16" t="s">
        <v>500</v>
      </c>
      <c r="B514" s="2"/>
      <c r="C514" s="26">
        <f t="shared" si="30"/>
        <v>0</v>
      </c>
      <c r="D514" s="2"/>
      <c r="E514" s="4"/>
      <c r="F514" s="2"/>
      <c r="G514" s="26">
        <f t="shared" si="31"/>
        <v>0</v>
      </c>
      <c r="H514" s="2"/>
      <c r="I514" s="4"/>
      <c r="J514" s="2"/>
      <c r="K514" s="27">
        <f>IF('RPT1'!$J514="","",'RPT1'!$J514)</f>
        <v>0</v>
      </c>
      <c r="L514" s="27">
        <f>IF('RPT2'!$J514="","",'RPT2'!$J514)</f>
        <v>0</v>
      </c>
      <c r="M514" s="27">
        <f>IF('RPT3'!$J514="","",'RPT3'!$J514)</f>
        <v>0</v>
      </c>
      <c r="N514" s="27">
        <f>IF('RPT4'!$J514="","",'RPT4'!$J514)</f>
        <v>0</v>
      </c>
    </row>
    <row r="515" spans="1:14" x14ac:dyDescent="0.35">
      <c r="A515" s="16" t="s">
        <v>501</v>
      </c>
      <c r="B515" s="2"/>
      <c r="C515" s="26">
        <f t="shared" si="30"/>
        <v>0</v>
      </c>
      <c r="D515" s="2"/>
      <c r="E515" s="4"/>
      <c r="F515" s="2"/>
      <c r="G515" s="26">
        <f t="shared" si="31"/>
        <v>0</v>
      </c>
      <c r="H515" s="2"/>
      <c r="I515" s="4"/>
      <c r="J515" s="2"/>
      <c r="K515" s="27">
        <f>IF('RPT1'!$J515="","",'RPT1'!$J515)</f>
        <v>0</v>
      </c>
      <c r="L515" s="27">
        <f>IF('RPT2'!$J515="","",'RPT2'!$J515)</f>
        <v>0</v>
      </c>
      <c r="M515" s="27">
        <f>IF('RPT3'!$J515="","",'RPT3'!$J515)</f>
        <v>0</v>
      </c>
      <c r="N515" s="27">
        <f>IF('RPT4'!$J515="","",'RPT4'!$J515)</f>
        <v>0</v>
      </c>
    </row>
    <row r="516" spans="1:14" x14ac:dyDescent="0.35">
      <c r="A516" s="16" t="s">
        <v>502</v>
      </c>
      <c r="B516" s="2"/>
      <c r="C516" s="26">
        <f t="shared" si="30"/>
        <v>0</v>
      </c>
      <c r="D516" s="2"/>
      <c r="E516" s="4"/>
      <c r="F516" s="2"/>
      <c r="G516" s="26">
        <f t="shared" si="31"/>
        <v>0</v>
      </c>
      <c r="H516" s="2"/>
      <c r="I516" s="4"/>
      <c r="J516" s="2"/>
      <c r="K516" s="27">
        <f>IF('RPT1'!$J516="","",'RPT1'!$J516)</f>
        <v>0</v>
      </c>
      <c r="L516" s="27">
        <f>IF('RPT2'!$J516="","",'RPT2'!$J516)</f>
        <v>0</v>
      </c>
      <c r="M516" s="27">
        <f>IF('RPT3'!$J516="","",'RPT3'!$J516)</f>
        <v>0</v>
      </c>
      <c r="N516" s="27">
        <f>IF('RPT4'!$J516="","",'RPT4'!$J516)</f>
        <v>0</v>
      </c>
    </row>
    <row r="517" spans="1:14" x14ac:dyDescent="0.35">
      <c r="A517" s="16" t="s">
        <v>503</v>
      </c>
      <c r="B517" s="2"/>
      <c r="C517" s="26">
        <f t="shared" si="30"/>
        <v>0</v>
      </c>
      <c r="D517" s="2"/>
      <c r="E517" s="4"/>
      <c r="F517" s="2"/>
      <c r="G517" s="26">
        <f t="shared" si="31"/>
        <v>0</v>
      </c>
      <c r="H517" s="2"/>
      <c r="I517" s="4"/>
      <c r="J517" s="2"/>
      <c r="K517" s="27">
        <f>IF('RPT1'!$J517="","",'RPT1'!$J517)</f>
        <v>0</v>
      </c>
      <c r="L517" s="27">
        <f>IF('RPT2'!$J517="","",'RPT2'!$J517)</f>
        <v>0</v>
      </c>
      <c r="M517" s="27">
        <f>IF('RPT3'!$J517="","",'RPT3'!$J517)</f>
        <v>0</v>
      </c>
      <c r="N517" s="27">
        <f>IF('RPT4'!$J517="","",'RPT4'!$J517)</f>
        <v>0</v>
      </c>
    </row>
    <row r="518" spans="1:14" x14ac:dyDescent="0.35">
      <c r="A518" s="16" t="s">
        <v>504</v>
      </c>
      <c r="B518" s="2"/>
      <c r="C518" s="26">
        <f t="shared" si="30"/>
        <v>0</v>
      </c>
      <c r="D518" s="2"/>
      <c r="E518" s="4"/>
      <c r="F518" s="2"/>
      <c r="G518" s="26">
        <f t="shared" si="31"/>
        <v>0</v>
      </c>
      <c r="H518" s="2"/>
      <c r="I518" s="4"/>
      <c r="J518" s="2"/>
      <c r="K518" s="27">
        <f>IF('RPT1'!$J518="","",'RPT1'!$J518)</f>
        <v>0</v>
      </c>
      <c r="L518" s="27">
        <f>IF('RPT2'!$J518="","",'RPT2'!$J518)</f>
        <v>0</v>
      </c>
      <c r="M518" s="27">
        <f>IF('RPT3'!$J518="","",'RPT3'!$J518)</f>
        <v>0</v>
      </c>
      <c r="N518" s="27">
        <f>IF('RPT4'!$J518="","",'RPT4'!$J518)</f>
        <v>0</v>
      </c>
    </row>
    <row r="519" spans="1:14" x14ac:dyDescent="0.35">
      <c r="A519" s="16" t="s">
        <v>505</v>
      </c>
      <c r="B519" s="2"/>
      <c r="C519" s="26">
        <f t="shared" si="30"/>
        <v>0</v>
      </c>
      <c r="D519" s="2"/>
      <c r="E519" s="4"/>
      <c r="F519" s="2"/>
      <c r="G519" s="26">
        <f t="shared" si="31"/>
        <v>0</v>
      </c>
      <c r="H519" s="2"/>
      <c r="I519" s="4"/>
      <c r="J519" s="2"/>
      <c r="K519" s="27">
        <f>IF('RPT1'!$J519="","",'RPT1'!$J519)</f>
        <v>0</v>
      </c>
      <c r="L519" s="27">
        <f>IF('RPT2'!$J519="","",'RPT2'!$J519)</f>
        <v>0</v>
      </c>
      <c r="M519" s="27">
        <f>IF('RPT3'!$J519="","",'RPT3'!$J519)</f>
        <v>0</v>
      </c>
      <c r="N519" s="27">
        <f>IF('RPT4'!$J519="","",'RPT4'!$J519)</f>
        <v>0</v>
      </c>
    </row>
    <row r="520" spans="1:14" x14ac:dyDescent="0.35">
      <c r="A520" s="16" t="s">
        <v>506</v>
      </c>
      <c r="B520" s="2"/>
      <c r="C520" s="26">
        <f t="shared" si="30"/>
        <v>0</v>
      </c>
      <c r="D520" s="2"/>
      <c r="E520" s="4"/>
      <c r="F520" s="2"/>
      <c r="G520" s="26">
        <f t="shared" si="31"/>
        <v>0</v>
      </c>
      <c r="H520" s="2"/>
      <c r="I520" s="4"/>
      <c r="J520" s="2"/>
      <c r="K520" s="27">
        <f>IF('RPT1'!$J520="","",'RPT1'!$J520)</f>
        <v>0</v>
      </c>
      <c r="L520" s="27">
        <f>IF('RPT2'!$J520="","",'RPT2'!$J520)</f>
        <v>0</v>
      </c>
      <c r="M520" s="27">
        <f>IF('RPT3'!$J520="","",'RPT3'!$J520)</f>
        <v>0</v>
      </c>
      <c r="N520" s="27">
        <f>IF('RPT4'!$J520="","",'RPT4'!$J520)</f>
        <v>0</v>
      </c>
    </row>
    <row r="521" spans="1:14" x14ac:dyDescent="0.35">
      <c r="A521" s="16" t="s">
        <v>507</v>
      </c>
      <c r="B521" s="2"/>
      <c r="C521" s="26">
        <f t="shared" si="30"/>
        <v>0</v>
      </c>
      <c r="D521" s="2"/>
      <c r="E521" s="4"/>
      <c r="F521" s="2"/>
      <c r="G521" s="26">
        <f t="shared" si="31"/>
        <v>0</v>
      </c>
      <c r="H521" s="2"/>
      <c r="I521" s="4"/>
      <c r="J521" s="2"/>
      <c r="K521" s="27">
        <f>IF('RPT1'!$J521="","",'RPT1'!$J521)</f>
        <v>0</v>
      </c>
      <c r="L521" s="27">
        <f>IF('RPT2'!$J521="","",'RPT2'!$J521)</f>
        <v>0</v>
      </c>
      <c r="M521" s="27">
        <f>IF('RPT3'!$J521="","",'RPT3'!$J521)</f>
        <v>0</v>
      </c>
      <c r="N521" s="27">
        <f>IF('RPT4'!$J521="","",'RPT4'!$J521)</f>
        <v>0</v>
      </c>
    </row>
    <row r="522" spans="1:14" x14ac:dyDescent="0.35">
      <c r="A522" s="16" t="s">
        <v>508</v>
      </c>
      <c r="B522" s="2"/>
      <c r="C522" s="26">
        <f t="shared" si="30"/>
        <v>0</v>
      </c>
      <c r="D522" s="2"/>
      <c r="E522" s="4"/>
      <c r="F522" s="2"/>
      <c r="G522" s="26">
        <f t="shared" si="31"/>
        <v>0</v>
      </c>
      <c r="H522" s="2"/>
      <c r="I522" s="4"/>
      <c r="J522" s="2"/>
      <c r="K522" s="27">
        <f>IF('RPT1'!$J522="","",'RPT1'!$J522)</f>
        <v>0</v>
      </c>
      <c r="L522" s="27">
        <f>IF('RPT2'!$J522="","",'RPT2'!$J522)</f>
        <v>0</v>
      </c>
      <c r="M522" s="27">
        <f>IF('RPT3'!$J522="","",'RPT3'!$J522)</f>
        <v>0</v>
      </c>
      <c r="N522" s="27">
        <f>IF('RPT4'!$J522="","",'RPT4'!$J522)</f>
        <v>0</v>
      </c>
    </row>
    <row r="523" spans="1:14" x14ac:dyDescent="0.35">
      <c r="A523" s="16" t="s">
        <v>509</v>
      </c>
      <c r="B523" s="2"/>
      <c r="C523" s="26">
        <f t="shared" si="30"/>
        <v>0</v>
      </c>
      <c r="D523" s="2"/>
      <c r="E523" s="4"/>
      <c r="F523" s="2"/>
      <c r="G523" s="26">
        <f t="shared" si="31"/>
        <v>0</v>
      </c>
      <c r="H523" s="2"/>
      <c r="I523" s="4"/>
      <c r="J523" s="2"/>
      <c r="K523" s="27">
        <f>IF('RPT1'!$J523="","",'RPT1'!$J523)</f>
        <v>0</v>
      </c>
      <c r="L523" s="27">
        <f>IF('RPT2'!$J523="","",'RPT2'!$J523)</f>
        <v>0</v>
      </c>
      <c r="M523" s="27">
        <f>IF('RPT3'!$J523="","",'RPT3'!$J523)</f>
        <v>0</v>
      </c>
      <c r="N523" s="27">
        <f>IF('RPT4'!$J523="","",'RPT4'!$J523)</f>
        <v>0</v>
      </c>
    </row>
    <row r="524" spans="1:14" x14ac:dyDescent="0.35">
      <c r="A524" s="16" t="s">
        <v>510</v>
      </c>
      <c r="B524" s="2"/>
      <c r="C524" s="26">
        <f t="shared" si="30"/>
        <v>0</v>
      </c>
      <c r="D524" s="2"/>
      <c r="E524" s="4"/>
      <c r="F524" s="2"/>
      <c r="G524" s="26">
        <f t="shared" si="31"/>
        <v>0</v>
      </c>
      <c r="H524" s="2"/>
      <c r="I524" s="4"/>
      <c r="J524" s="2"/>
      <c r="K524" s="27">
        <f>IF('RPT1'!$J524="","",'RPT1'!$J524)</f>
        <v>0</v>
      </c>
      <c r="L524" s="27">
        <f>IF('RPT2'!$J524="","",'RPT2'!$J524)</f>
        <v>0</v>
      </c>
      <c r="M524" s="27">
        <f>IF('RPT3'!$J524="","",'RPT3'!$J524)</f>
        <v>0</v>
      </c>
      <c r="N524" s="27">
        <f>IF('RPT4'!$J524="","",'RPT4'!$J524)</f>
        <v>0</v>
      </c>
    </row>
    <row r="525" spans="1:14" x14ac:dyDescent="0.35">
      <c r="A525" s="16" t="s">
        <v>511</v>
      </c>
      <c r="B525" s="2"/>
      <c r="C525" s="26">
        <f t="shared" si="30"/>
        <v>0</v>
      </c>
      <c r="D525" s="2"/>
      <c r="E525" s="4"/>
      <c r="F525" s="2"/>
      <c r="G525" s="26">
        <f t="shared" si="31"/>
        <v>0</v>
      </c>
      <c r="H525" s="2"/>
      <c r="I525" s="4"/>
      <c r="J525" s="2"/>
      <c r="K525" s="27">
        <f>IF('RPT1'!$J525="","",'RPT1'!$J525)</f>
        <v>0</v>
      </c>
      <c r="L525" s="27">
        <f>IF('RPT2'!$J525="","",'RPT2'!$J525)</f>
        <v>0</v>
      </c>
      <c r="M525" s="27">
        <f>IF('RPT3'!$J525="","",'RPT3'!$J525)</f>
        <v>0</v>
      </c>
      <c r="N525" s="27">
        <f>IF('RPT4'!$J525="","",'RPT4'!$J525)</f>
        <v>0</v>
      </c>
    </row>
    <row r="526" spans="1:14" x14ac:dyDescent="0.35">
      <c r="A526" s="16" t="s">
        <v>512</v>
      </c>
      <c r="B526" s="2"/>
      <c r="C526" s="26">
        <f t="shared" si="30"/>
        <v>0</v>
      </c>
      <c r="D526" s="2"/>
      <c r="E526" s="4"/>
      <c r="F526" s="2"/>
      <c r="G526" s="26">
        <f t="shared" si="31"/>
        <v>0</v>
      </c>
      <c r="H526" s="2"/>
      <c r="I526" s="4"/>
      <c r="J526" s="2"/>
      <c r="K526" s="27">
        <f>IF('RPT1'!$J526="","",'RPT1'!$J526)</f>
        <v>0</v>
      </c>
      <c r="L526" s="27">
        <f>IF('RPT2'!$J526="","",'RPT2'!$J526)</f>
        <v>0</v>
      </c>
      <c r="M526" s="27">
        <f>IF('RPT3'!$J526="","",'RPT3'!$J526)</f>
        <v>0</v>
      </c>
      <c r="N526" s="27">
        <f>IF('RPT4'!$J526="","",'RPT4'!$J526)</f>
        <v>0</v>
      </c>
    </row>
    <row r="527" spans="1:14" x14ac:dyDescent="0.35">
      <c r="A527" s="16" t="s">
        <v>513</v>
      </c>
      <c r="B527" s="2"/>
      <c r="C527" s="26">
        <f t="shared" si="30"/>
        <v>0</v>
      </c>
      <c r="D527" s="2"/>
      <c r="E527" s="4"/>
      <c r="F527" s="2"/>
      <c r="G527" s="26">
        <f t="shared" si="31"/>
        <v>0</v>
      </c>
      <c r="H527" s="2"/>
      <c r="I527" s="4"/>
      <c r="J527" s="2"/>
      <c r="K527" s="27">
        <f>IF('RPT1'!$J527="","",'RPT1'!$J527)</f>
        <v>0</v>
      </c>
      <c r="L527" s="27">
        <f>IF('RPT2'!$J527="","",'RPT2'!$J527)</f>
        <v>0</v>
      </c>
      <c r="M527" s="27">
        <f>IF('RPT3'!$J527="","",'RPT3'!$J527)</f>
        <v>0</v>
      </c>
      <c r="N527" s="27">
        <f>IF('RPT4'!$J527="","",'RPT4'!$J527)</f>
        <v>0</v>
      </c>
    </row>
    <row r="528" spans="1:14" x14ac:dyDescent="0.35">
      <c r="A528" s="16" t="s">
        <v>514</v>
      </c>
      <c r="B528" s="2"/>
      <c r="C528" s="26">
        <f t="shared" si="30"/>
        <v>0</v>
      </c>
      <c r="D528" s="2"/>
      <c r="E528" s="4"/>
      <c r="F528" s="2"/>
      <c r="G528" s="26">
        <f t="shared" si="31"/>
        <v>0</v>
      </c>
      <c r="H528" s="2"/>
      <c r="I528" s="4"/>
      <c r="J528" s="2"/>
      <c r="K528" s="27">
        <f>IF('RPT1'!$J528="","",'RPT1'!$J528)</f>
        <v>0</v>
      </c>
      <c r="L528" s="27">
        <f>IF('RPT2'!$J528="","",'RPT2'!$J528)</f>
        <v>0</v>
      </c>
      <c r="M528" s="27">
        <f>IF('RPT3'!$J528="","",'RPT3'!$J528)</f>
        <v>0</v>
      </c>
      <c r="N528" s="27">
        <f>IF('RPT4'!$J528="","",'RPT4'!$J528)</f>
        <v>0</v>
      </c>
    </row>
    <row r="529" spans="1:14" x14ac:dyDescent="0.35">
      <c r="A529" s="16" t="s">
        <v>515</v>
      </c>
      <c r="B529" s="2"/>
      <c r="C529" s="26">
        <f t="shared" si="30"/>
        <v>0</v>
      </c>
      <c r="D529" s="2"/>
      <c r="E529" s="4"/>
      <c r="F529" s="2"/>
      <c r="G529" s="26">
        <f t="shared" si="31"/>
        <v>0</v>
      </c>
      <c r="H529" s="2"/>
      <c r="I529" s="4"/>
      <c r="J529" s="2"/>
      <c r="K529" s="27">
        <f>IF('RPT1'!$J529="","",'RPT1'!$J529)</f>
        <v>0</v>
      </c>
      <c r="L529" s="27">
        <f>IF('RPT2'!$J529="","",'RPT2'!$J529)</f>
        <v>0</v>
      </c>
      <c r="M529" s="27">
        <f>IF('RPT3'!$J529="","",'RPT3'!$J529)</f>
        <v>0</v>
      </c>
      <c r="N529" s="27">
        <f>IF('RPT4'!$J529="","",'RPT4'!$J529)</f>
        <v>0</v>
      </c>
    </row>
    <row r="530" spans="1:14" x14ac:dyDescent="0.35">
      <c r="A530" s="16" t="s">
        <v>516</v>
      </c>
      <c r="B530" s="2"/>
      <c r="C530" s="26">
        <f t="shared" si="30"/>
        <v>0</v>
      </c>
      <c r="D530" s="2"/>
      <c r="E530" s="4"/>
      <c r="F530" s="2"/>
      <c r="G530" s="26">
        <f t="shared" si="31"/>
        <v>0</v>
      </c>
      <c r="H530" s="2"/>
      <c r="I530" s="4"/>
      <c r="J530" s="2"/>
      <c r="K530" s="27">
        <f>IF('RPT1'!$J530="","",'RPT1'!$J530)</f>
        <v>0</v>
      </c>
      <c r="L530" s="27">
        <f>IF('RPT2'!$J530="","",'RPT2'!$J530)</f>
        <v>0</v>
      </c>
      <c r="M530" s="27">
        <f>IF('RPT3'!$J530="","",'RPT3'!$J530)</f>
        <v>0</v>
      </c>
      <c r="N530" s="27">
        <f>IF('RPT4'!$J530="","",'RPT4'!$J530)</f>
        <v>0</v>
      </c>
    </row>
    <row r="531" spans="1:14" x14ac:dyDescent="0.35">
      <c r="A531" s="16" t="s">
        <v>517</v>
      </c>
      <c r="B531" s="2"/>
      <c r="C531" s="26">
        <f t="shared" si="30"/>
        <v>0</v>
      </c>
      <c r="D531" s="2"/>
      <c r="E531" s="4"/>
      <c r="F531" s="2"/>
      <c r="G531" s="26">
        <f t="shared" si="31"/>
        <v>0</v>
      </c>
      <c r="H531" s="2"/>
      <c r="I531" s="4"/>
      <c r="J531" s="2"/>
      <c r="K531" s="27">
        <f>IF('RPT1'!$J531="","",'RPT1'!$J531)</f>
        <v>0</v>
      </c>
      <c r="L531" s="27">
        <f>IF('RPT2'!$J531="","",'RPT2'!$J531)</f>
        <v>0</v>
      </c>
      <c r="M531" s="27">
        <f>IF('RPT3'!$J531="","",'RPT3'!$J531)</f>
        <v>0</v>
      </c>
      <c r="N531" s="27">
        <f>IF('RPT4'!$J531="","",'RPT4'!$J531)</f>
        <v>0</v>
      </c>
    </row>
    <row r="532" spans="1:14" x14ac:dyDescent="0.35">
      <c r="A532" s="16" t="s">
        <v>518</v>
      </c>
      <c r="B532" s="2"/>
      <c r="C532" s="26">
        <f t="shared" si="30"/>
        <v>0</v>
      </c>
      <c r="D532" s="2"/>
      <c r="E532" s="4"/>
      <c r="F532" s="2"/>
      <c r="G532" s="26">
        <f t="shared" si="31"/>
        <v>0</v>
      </c>
      <c r="H532" s="2"/>
      <c r="I532" s="4"/>
      <c r="J532" s="2"/>
      <c r="K532" s="27">
        <f>IF('RPT1'!$J532="","",'RPT1'!$J532)</f>
        <v>0</v>
      </c>
      <c r="L532" s="27">
        <f>IF('RPT2'!$J532="","",'RPT2'!$J532)</f>
        <v>0</v>
      </c>
      <c r="M532" s="27">
        <f>IF('RPT3'!$J532="","",'RPT3'!$J532)</f>
        <v>0</v>
      </c>
      <c r="N532" s="27">
        <f>IF('RPT4'!$J532="","",'RPT4'!$J532)</f>
        <v>0</v>
      </c>
    </row>
    <row r="533" spans="1:14" x14ac:dyDescent="0.35">
      <c r="A533" s="16" t="s">
        <v>519</v>
      </c>
      <c r="B533" s="2"/>
      <c r="C533" s="26">
        <f t="shared" si="30"/>
        <v>0</v>
      </c>
      <c r="D533" s="2"/>
      <c r="E533" s="4"/>
      <c r="F533" s="2"/>
      <c r="G533" s="26">
        <f t="shared" si="31"/>
        <v>0</v>
      </c>
      <c r="H533" s="2"/>
      <c r="I533" s="4"/>
      <c r="J533" s="2"/>
      <c r="K533" s="27">
        <f>IF('RPT1'!$J533="","",'RPT1'!$J533)</f>
        <v>0</v>
      </c>
      <c r="L533" s="27">
        <f>IF('RPT2'!$J533="","",'RPT2'!$J533)</f>
        <v>0</v>
      </c>
      <c r="M533" s="27">
        <f>IF('RPT3'!$J533="","",'RPT3'!$J533)</f>
        <v>0</v>
      </c>
      <c r="N533" s="27">
        <f>IF('RPT4'!$J533="","",'RPT4'!$J533)</f>
        <v>0</v>
      </c>
    </row>
    <row r="534" spans="1:14" x14ac:dyDescent="0.35">
      <c r="A534" s="16" t="s">
        <v>520</v>
      </c>
      <c r="B534" s="2"/>
      <c r="C534" s="26">
        <f t="shared" si="30"/>
        <v>0</v>
      </c>
      <c r="D534" s="2"/>
      <c r="E534" s="4"/>
      <c r="F534" s="2"/>
      <c r="G534" s="26">
        <f t="shared" si="31"/>
        <v>0</v>
      </c>
      <c r="H534" s="2"/>
      <c r="I534" s="4"/>
      <c r="J534" s="2"/>
      <c r="K534" s="27">
        <f>IF('RPT1'!$J534="","",'RPT1'!$J534)</f>
        <v>0</v>
      </c>
      <c r="L534" s="27">
        <f>IF('RPT2'!$J534="","",'RPT2'!$J534)</f>
        <v>0</v>
      </c>
      <c r="M534" s="27">
        <f>IF('RPT3'!$J534="","",'RPT3'!$J534)</f>
        <v>0</v>
      </c>
      <c r="N534" s="27">
        <f>IF('RPT4'!$J534="","",'RPT4'!$J534)</f>
        <v>0</v>
      </c>
    </row>
    <row r="535" spans="1:14" x14ac:dyDescent="0.35">
      <c r="A535" s="16" t="s">
        <v>521</v>
      </c>
      <c r="B535" s="2"/>
      <c r="C535" s="26">
        <f t="shared" si="30"/>
        <v>0</v>
      </c>
      <c r="D535" s="2"/>
      <c r="E535" s="4"/>
      <c r="F535" s="2"/>
      <c r="G535" s="26">
        <f t="shared" si="31"/>
        <v>0</v>
      </c>
      <c r="H535" s="2"/>
      <c r="I535" s="4"/>
      <c r="J535" s="2"/>
      <c r="K535" s="27">
        <f>IF('RPT1'!$J535="","",'RPT1'!$J535)</f>
        <v>0</v>
      </c>
      <c r="L535" s="27">
        <f>IF('RPT2'!$J535="","",'RPT2'!$J535)</f>
        <v>0</v>
      </c>
      <c r="M535" s="27">
        <f>IF('RPT3'!$J535="","",'RPT3'!$J535)</f>
        <v>0</v>
      </c>
      <c r="N535" s="27">
        <f>IF('RPT4'!$J535="","",'RPT4'!$J535)</f>
        <v>0</v>
      </c>
    </row>
    <row r="536" spans="1:14" x14ac:dyDescent="0.35">
      <c r="A536" s="16" t="s">
        <v>522</v>
      </c>
      <c r="B536" s="2"/>
      <c r="C536" s="26">
        <f t="shared" si="30"/>
        <v>0</v>
      </c>
      <c r="D536" s="2"/>
      <c r="E536" s="4"/>
      <c r="F536" s="2"/>
      <c r="G536" s="26">
        <f t="shared" si="31"/>
        <v>0</v>
      </c>
      <c r="H536" s="2"/>
      <c r="I536" s="4"/>
      <c r="J536" s="2"/>
      <c r="K536" s="27">
        <f>IF('RPT1'!$J536="","",'RPT1'!$J536)</f>
        <v>0</v>
      </c>
      <c r="L536" s="27">
        <f>IF('RPT2'!$J536="","",'RPT2'!$J536)</f>
        <v>0</v>
      </c>
      <c r="M536" s="27">
        <f>IF('RPT3'!$J536="","",'RPT3'!$J536)</f>
        <v>0</v>
      </c>
      <c r="N536" s="27">
        <f>IF('RPT4'!$J536="","",'RPT4'!$J536)</f>
        <v>0</v>
      </c>
    </row>
    <row r="537" spans="1:14" x14ac:dyDescent="0.35">
      <c r="A537" s="16" t="s">
        <v>523</v>
      </c>
      <c r="B537" s="2"/>
      <c r="C537" s="26">
        <f t="shared" si="30"/>
        <v>0</v>
      </c>
      <c r="D537" s="2"/>
      <c r="E537" s="4"/>
      <c r="F537" s="2"/>
      <c r="G537" s="26">
        <f t="shared" si="31"/>
        <v>0</v>
      </c>
      <c r="H537" s="2"/>
      <c r="I537" s="4"/>
      <c r="J537" s="2"/>
      <c r="K537" s="27">
        <f>IF('RPT1'!$J537="","",'RPT1'!$J537)</f>
        <v>0</v>
      </c>
      <c r="L537" s="27">
        <f>IF('RPT2'!$J537="","",'RPT2'!$J537)</f>
        <v>0</v>
      </c>
      <c r="M537" s="27">
        <f>IF('RPT3'!$J537="","",'RPT3'!$J537)</f>
        <v>0</v>
      </c>
      <c r="N537" s="27">
        <f>IF('RPT4'!$J537="","",'RPT4'!$J537)</f>
        <v>0</v>
      </c>
    </row>
    <row r="538" spans="1:14" x14ac:dyDescent="0.35">
      <c r="A538" s="16" t="s">
        <v>524</v>
      </c>
      <c r="B538" s="2"/>
      <c r="C538" s="26">
        <f t="shared" si="30"/>
        <v>0</v>
      </c>
      <c r="D538" s="2"/>
      <c r="E538" s="4"/>
      <c r="F538" s="2"/>
      <c r="G538" s="26">
        <f t="shared" si="31"/>
        <v>0</v>
      </c>
      <c r="H538" s="2"/>
      <c r="I538" s="4"/>
      <c r="J538" s="2"/>
      <c r="K538" s="27">
        <f>IF('RPT1'!$J538="","",'RPT1'!$J538)</f>
        <v>0</v>
      </c>
      <c r="L538" s="27">
        <f>IF('RPT2'!$J538="","",'RPT2'!$J538)</f>
        <v>0</v>
      </c>
      <c r="M538" s="27">
        <f>IF('RPT3'!$J538="","",'RPT3'!$J538)</f>
        <v>0</v>
      </c>
      <c r="N538" s="27">
        <f>IF('RPT4'!$J538="","",'RPT4'!$J538)</f>
        <v>0</v>
      </c>
    </row>
    <row r="539" spans="1:14" x14ac:dyDescent="0.35">
      <c r="A539" s="16" t="s">
        <v>525</v>
      </c>
      <c r="B539" s="2"/>
      <c r="C539" s="26">
        <f t="shared" si="30"/>
        <v>0</v>
      </c>
      <c r="D539" s="2"/>
      <c r="E539" s="4"/>
      <c r="F539" s="2"/>
      <c r="G539" s="26">
        <f t="shared" si="31"/>
        <v>0</v>
      </c>
      <c r="H539" s="2"/>
      <c r="I539" s="4"/>
      <c r="J539" s="2"/>
      <c r="K539" s="27">
        <f>IF('RPT1'!$J539="","",'RPT1'!$J539)</f>
        <v>0</v>
      </c>
      <c r="L539" s="27">
        <f>IF('RPT2'!$J539="","",'RPT2'!$J539)</f>
        <v>0</v>
      </c>
      <c r="M539" s="27">
        <f>IF('RPT3'!$J539="","",'RPT3'!$J539)</f>
        <v>0</v>
      </c>
      <c r="N539" s="27">
        <f>IF('RPT4'!$J539="","",'RPT4'!$J539)</f>
        <v>0</v>
      </c>
    </row>
    <row r="540" spans="1:14" x14ac:dyDescent="0.35">
      <c r="A540" s="16" t="s">
        <v>526</v>
      </c>
      <c r="B540" s="2"/>
      <c r="C540" s="26">
        <f t="shared" si="30"/>
        <v>0</v>
      </c>
      <c r="D540" s="2"/>
      <c r="E540" s="4"/>
      <c r="F540" s="2"/>
      <c r="G540" s="26">
        <f t="shared" si="31"/>
        <v>0</v>
      </c>
      <c r="H540" s="2"/>
      <c r="I540" s="4"/>
      <c r="J540" s="2"/>
      <c r="K540" s="27">
        <f>IF('RPT1'!$J540="","",'RPT1'!$J540)</f>
        <v>0</v>
      </c>
      <c r="L540" s="27">
        <f>IF('RPT2'!$J540="","",'RPT2'!$J540)</f>
        <v>0</v>
      </c>
      <c r="M540" s="27">
        <f>IF('RPT3'!$J540="","",'RPT3'!$J540)</f>
        <v>0</v>
      </c>
      <c r="N540" s="27">
        <f>IF('RPT4'!$J540="","",'RPT4'!$J540)</f>
        <v>0</v>
      </c>
    </row>
    <row r="541" spans="1:14" x14ac:dyDescent="0.35">
      <c r="A541" s="16" t="s">
        <v>527</v>
      </c>
      <c r="B541" s="2"/>
      <c r="C541" s="26">
        <f t="shared" si="30"/>
        <v>0</v>
      </c>
      <c r="D541" s="2"/>
      <c r="E541" s="4"/>
      <c r="F541" s="2"/>
      <c r="G541" s="26">
        <f t="shared" si="31"/>
        <v>0</v>
      </c>
      <c r="H541" s="2"/>
      <c r="I541" s="4"/>
      <c r="J541" s="2"/>
      <c r="K541" s="27">
        <f>IF('RPT1'!$J541="","",'RPT1'!$J541)</f>
        <v>0</v>
      </c>
      <c r="L541" s="27">
        <f>IF('RPT2'!$J541="","",'RPT2'!$J541)</f>
        <v>0</v>
      </c>
      <c r="M541" s="27">
        <f>IF('RPT3'!$J541="","",'RPT3'!$J541)</f>
        <v>0</v>
      </c>
      <c r="N541" s="27">
        <f>IF('RPT4'!$J541="","",'RPT4'!$J541)</f>
        <v>0</v>
      </c>
    </row>
    <row r="542" spans="1:14" x14ac:dyDescent="0.35">
      <c r="A542" s="16" t="s">
        <v>528</v>
      </c>
      <c r="B542" s="2"/>
      <c r="C542" s="26">
        <f t="shared" si="30"/>
        <v>0</v>
      </c>
      <c r="D542" s="2"/>
      <c r="E542" s="4"/>
      <c r="F542" s="2"/>
      <c r="G542" s="26">
        <f t="shared" si="31"/>
        <v>0</v>
      </c>
      <c r="H542" s="2"/>
      <c r="I542" s="4"/>
      <c r="J542" s="2"/>
      <c r="K542" s="27">
        <f>IF('RPT1'!$J542="","",'RPT1'!$J542)</f>
        <v>0</v>
      </c>
      <c r="L542" s="27">
        <f>IF('RPT2'!$J542="","",'RPT2'!$J542)</f>
        <v>0</v>
      </c>
      <c r="M542" s="27">
        <f>IF('RPT3'!$J542="","",'RPT3'!$J542)</f>
        <v>0</v>
      </c>
      <c r="N542" s="27">
        <f>IF('RPT4'!$J542="","",'RPT4'!$J542)</f>
        <v>0</v>
      </c>
    </row>
    <row r="543" spans="1:14" x14ac:dyDescent="0.35">
      <c r="A543" s="16" t="s">
        <v>529</v>
      </c>
      <c r="B543" s="2"/>
      <c r="C543" s="26">
        <f t="shared" si="30"/>
        <v>0</v>
      </c>
      <c r="D543" s="2"/>
      <c r="E543" s="4"/>
      <c r="F543" s="2"/>
      <c r="G543" s="26">
        <f t="shared" si="31"/>
        <v>0</v>
      </c>
      <c r="H543" s="2"/>
      <c r="I543" s="4"/>
      <c r="J543" s="2"/>
      <c r="K543" s="27">
        <f>IF('RPT1'!$J543="","",'RPT1'!$J543)</f>
        <v>0</v>
      </c>
      <c r="L543" s="27">
        <f>IF('RPT2'!$J543="","",'RPT2'!$J543)</f>
        <v>0</v>
      </c>
      <c r="M543" s="27">
        <f>IF('RPT3'!$J543="","",'RPT3'!$J543)</f>
        <v>0</v>
      </c>
      <c r="N543" s="27">
        <f>IF('RPT4'!$J543="","",'RPT4'!$J543)</f>
        <v>0</v>
      </c>
    </row>
    <row r="544" spans="1:14" x14ac:dyDescent="0.35">
      <c r="A544" s="16" t="s">
        <v>530</v>
      </c>
      <c r="B544" s="2"/>
      <c r="C544" s="26">
        <f t="shared" si="30"/>
        <v>0</v>
      </c>
      <c r="D544" s="2"/>
      <c r="E544" s="4"/>
      <c r="F544" s="2"/>
      <c r="G544" s="26">
        <f t="shared" si="31"/>
        <v>0</v>
      </c>
      <c r="H544" s="2"/>
      <c r="I544" s="4"/>
      <c r="J544" s="2"/>
      <c r="K544" s="27">
        <f>IF('RPT1'!$J544="","",'RPT1'!$J544)</f>
        <v>0</v>
      </c>
      <c r="L544" s="27">
        <f>IF('RPT2'!$J544="","",'RPT2'!$J544)</f>
        <v>0</v>
      </c>
      <c r="M544" s="27">
        <f>IF('RPT3'!$J544="","",'RPT3'!$J544)</f>
        <v>0</v>
      </c>
      <c r="N544" s="27">
        <f>IF('RPT4'!$J544="","",'RPT4'!$J544)</f>
        <v>0</v>
      </c>
    </row>
    <row r="545" spans="1:14" x14ac:dyDescent="0.35">
      <c r="A545" s="16" t="s">
        <v>531</v>
      </c>
      <c r="B545" s="2"/>
      <c r="C545" s="26">
        <f t="shared" si="30"/>
        <v>0</v>
      </c>
      <c r="D545" s="2"/>
      <c r="E545" s="4"/>
      <c r="F545" s="2"/>
      <c r="G545" s="26">
        <f t="shared" si="31"/>
        <v>0</v>
      </c>
      <c r="H545" s="2"/>
      <c r="I545" s="4"/>
      <c r="J545" s="2"/>
      <c r="K545" s="27">
        <f>IF('RPT1'!$J545="","",'RPT1'!$J545)</f>
        <v>0</v>
      </c>
      <c r="L545" s="27">
        <f>IF('RPT2'!$J545="","",'RPT2'!$J545)</f>
        <v>0</v>
      </c>
      <c r="M545" s="27">
        <f>IF('RPT3'!$J545="","",'RPT3'!$J545)</f>
        <v>0</v>
      </c>
      <c r="N545" s="27">
        <f>IF('RPT4'!$J545="","",'RPT4'!$J545)</f>
        <v>0</v>
      </c>
    </row>
    <row r="546" spans="1:14" x14ac:dyDescent="0.35">
      <c r="A546" s="24"/>
      <c r="B546" s="2"/>
      <c r="C546" s="14"/>
      <c r="D546" s="2"/>
      <c r="E546" s="4"/>
      <c r="F546" s="2"/>
      <c r="G546" s="14"/>
      <c r="H546" s="2"/>
      <c r="I546" s="4"/>
      <c r="J546" s="2"/>
      <c r="K546" s="25"/>
      <c r="L546" s="25"/>
      <c r="M546" s="25"/>
      <c r="N546" s="25"/>
    </row>
    <row r="547" spans="1:14" x14ac:dyDescent="0.35">
      <c r="A547" s="12" t="s">
        <v>532</v>
      </c>
      <c r="B547" s="2"/>
      <c r="C547" s="14"/>
      <c r="D547" s="2"/>
      <c r="E547" s="4"/>
      <c r="F547" s="2"/>
      <c r="G547" s="14"/>
      <c r="H547" s="2"/>
      <c r="I547" s="4"/>
      <c r="J547" s="2"/>
      <c r="K547" s="25" t="str">
        <f>IF('RPT1'!$J547="","",'RPT1'!$J547)</f>
        <v/>
      </c>
      <c r="L547" s="25" t="str">
        <f>IF('RPT2'!$J547="","",'RPT2'!$J547)</f>
        <v/>
      </c>
      <c r="M547" s="25" t="str">
        <f>IF('RPT3'!$J547="","",'RPT3'!$J547)</f>
        <v/>
      </c>
      <c r="N547" s="25" t="str">
        <f>IF('RPT4'!$J547="","",'RPT4'!$J547)</f>
        <v/>
      </c>
    </row>
    <row r="548" spans="1:14" x14ac:dyDescent="0.35">
      <c r="A548" s="16" t="s">
        <v>533</v>
      </c>
      <c r="B548" s="2"/>
      <c r="C548" s="26">
        <f t="shared" ref="C548:C587" si="32">IF(Combine="Y", $G548, 0)</f>
        <v>0</v>
      </c>
      <c r="D548" s="2"/>
      <c r="E548" s="4"/>
      <c r="F548" s="2"/>
      <c r="G548" s="26">
        <f t="shared" ref="G548:G587" si="33">SUM($K548:$N548)</f>
        <v>0</v>
      </c>
      <c r="H548" s="2"/>
      <c r="I548" s="4"/>
      <c r="J548" s="2"/>
      <c r="K548" s="27">
        <f>IF('RPT1'!$J548="","",'RPT1'!$J548)</f>
        <v>0</v>
      </c>
      <c r="L548" s="27">
        <f>IF('RPT2'!$J548="","",'RPT2'!$J548)</f>
        <v>0</v>
      </c>
      <c r="M548" s="27">
        <f>IF('RPT3'!$J548="","",'RPT3'!$J548)</f>
        <v>0</v>
      </c>
      <c r="N548" s="27">
        <f>IF('RPT4'!$J548="","",'RPT4'!$J548)</f>
        <v>0</v>
      </c>
    </row>
    <row r="549" spans="1:14" x14ac:dyDescent="0.35">
      <c r="A549" s="16" t="s">
        <v>534</v>
      </c>
      <c r="B549" s="2"/>
      <c r="C549" s="26">
        <f t="shared" si="32"/>
        <v>0</v>
      </c>
      <c r="D549" s="2"/>
      <c r="E549" s="4"/>
      <c r="F549" s="2"/>
      <c r="G549" s="26">
        <f t="shared" si="33"/>
        <v>0</v>
      </c>
      <c r="H549" s="2"/>
      <c r="I549" s="4"/>
      <c r="J549" s="2"/>
      <c r="K549" s="27">
        <f>IF('RPT1'!$J549="","",'RPT1'!$J549)</f>
        <v>0</v>
      </c>
      <c r="L549" s="27">
        <f>IF('RPT2'!$J549="","",'RPT2'!$J549)</f>
        <v>0</v>
      </c>
      <c r="M549" s="27">
        <f>IF('RPT3'!$J549="","",'RPT3'!$J549)</f>
        <v>0</v>
      </c>
      <c r="N549" s="27">
        <f>IF('RPT4'!$J549="","",'RPT4'!$J549)</f>
        <v>0</v>
      </c>
    </row>
    <row r="550" spans="1:14" x14ac:dyDescent="0.35">
      <c r="A550" s="16" t="s">
        <v>535</v>
      </c>
      <c r="B550" s="2"/>
      <c r="C550" s="26">
        <f t="shared" si="32"/>
        <v>0</v>
      </c>
      <c r="D550" s="2"/>
      <c r="E550" s="4"/>
      <c r="F550" s="2"/>
      <c r="G550" s="26">
        <f t="shared" si="33"/>
        <v>0</v>
      </c>
      <c r="H550" s="2"/>
      <c r="I550" s="4"/>
      <c r="J550" s="2"/>
      <c r="K550" s="27">
        <f>IF('RPT1'!$J550="","",'RPT1'!$J550)</f>
        <v>0</v>
      </c>
      <c r="L550" s="27">
        <f>IF('RPT2'!$J550="","",'RPT2'!$J550)</f>
        <v>0</v>
      </c>
      <c r="M550" s="27">
        <f>IF('RPT3'!$J550="","",'RPT3'!$J550)</f>
        <v>0</v>
      </c>
      <c r="N550" s="27">
        <f>IF('RPT4'!$J550="","",'RPT4'!$J550)</f>
        <v>0</v>
      </c>
    </row>
    <row r="551" spans="1:14" x14ac:dyDescent="0.35">
      <c r="A551" s="16" t="s">
        <v>536</v>
      </c>
      <c r="B551" s="2"/>
      <c r="C551" s="26">
        <f t="shared" si="32"/>
        <v>0</v>
      </c>
      <c r="D551" s="2"/>
      <c r="E551" s="4"/>
      <c r="F551" s="2"/>
      <c r="G551" s="26">
        <f t="shared" si="33"/>
        <v>0</v>
      </c>
      <c r="H551" s="2"/>
      <c r="I551" s="4"/>
      <c r="J551" s="2"/>
      <c r="K551" s="27">
        <f>IF('RPT1'!$J551="","",'RPT1'!$J551)</f>
        <v>0</v>
      </c>
      <c r="L551" s="27">
        <f>IF('RPT2'!$J551="","",'RPT2'!$J551)</f>
        <v>0</v>
      </c>
      <c r="M551" s="27">
        <f>IF('RPT3'!$J551="","",'RPT3'!$J551)</f>
        <v>0</v>
      </c>
      <c r="N551" s="27">
        <f>IF('RPT4'!$J551="","",'RPT4'!$J551)</f>
        <v>0</v>
      </c>
    </row>
    <row r="552" spans="1:14" x14ac:dyDescent="0.35">
      <c r="A552" s="16" t="s">
        <v>537</v>
      </c>
      <c r="B552" s="2"/>
      <c r="C552" s="26">
        <f t="shared" si="32"/>
        <v>0</v>
      </c>
      <c r="D552" s="2"/>
      <c r="E552" s="4"/>
      <c r="F552" s="2"/>
      <c r="G552" s="26">
        <f t="shared" si="33"/>
        <v>0</v>
      </c>
      <c r="H552" s="2"/>
      <c r="I552" s="4"/>
      <c r="J552" s="2"/>
      <c r="K552" s="27">
        <f>IF('RPT1'!$J552="","",'RPT1'!$J552)</f>
        <v>0</v>
      </c>
      <c r="L552" s="27">
        <f>IF('RPT2'!$J552="","",'RPT2'!$J552)</f>
        <v>0</v>
      </c>
      <c r="M552" s="27">
        <f>IF('RPT3'!$J552="","",'RPT3'!$J552)</f>
        <v>0</v>
      </c>
      <c r="N552" s="27">
        <f>IF('RPT4'!$J552="","",'RPT4'!$J552)</f>
        <v>0</v>
      </c>
    </row>
    <row r="553" spans="1:14" x14ac:dyDescent="0.35">
      <c r="A553" s="16" t="s">
        <v>538</v>
      </c>
      <c r="B553" s="2"/>
      <c r="C553" s="26">
        <f t="shared" si="32"/>
        <v>0</v>
      </c>
      <c r="D553" s="2"/>
      <c r="E553" s="4"/>
      <c r="F553" s="2"/>
      <c r="G553" s="26">
        <f t="shared" si="33"/>
        <v>0</v>
      </c>
      <c r="H553" s="2"/>
      <c r="I553" s="4"/>
      <c r="J553" s="2"/>
      <c r="K553" s="27">
        <f>IF('RPT1'!$J553="","",'RPT1'!$J553)</f>
        <v>0</v>
      </c>
      <c r="L553" s="27">
        <f>IF('RPT2'!$J553="","",'RPT2'!$J553)</f>
        <v>0</v>
      </c>
      <c r="M553" s="27">
        <f>IF('RPT3'!$J553="","",'RPT3'!$J553)</f>
        <v>0</v>
      </c>
      <c r="N553" s="27">
        <f>IF('RPT4'!$J553="","",'RPT4'!$J553)</f>
        <v>0</v>
      </c>
    </row>
    <row r="554" spans="1:14" x14ac:dyDescent="0.35">
      <c r="A554" s="16" t="s">
        <v>539</v>
      </c>
      <c r="B554" s="2"/>
      <c r="C554" s="26">
        <f t="shared" si="32"/>
        <v>0</v>
      </c>
      <c r="D554" s="2"/>
      <c r="E554" s="4"/>
      <c r="F554" s="2"/>
      <c r="G554" s="26">
        <f t="shared" si="33"/>
        <v>0</v>
      </c>
      <c r="H554" s="2"/>
      <c r="I554" s="4"/>
      <c r="J554" s="2"/>
      <c r="K554" s="27">
        <f>IF('RPT1'!$J554="","",'RPT1'!$J554)</f>
        <v>0</v>
      </c>
      <c r="L554" s="27">
        <f>IF('RPT2'!$J554="","",'RPT2'!$J554)</f>
        <v>0</v>
      </c>
      <c r="M554" s="27">
        <f>IF('RPT3'!$J554="","",'RPT3'!$J554)</f>
        <v>0</v>
      </c>
      <c r="N554" s="27">
        <f>IF('RPT4'!$J554="","",'RPT4'!$J554)</f>
        <v>0</v>
      </c>
    </row>
    <row r="555" spans="1:14" x14ac:dyDescent="0.35">
      <c r="A555" s="16" t="s">
        <v>540</v>
      </c>
      <c r="B555" s="2"/>
      <c r="C555" s="26">
        <f t="shared" si="32"/>
        <v>0</v>
      </c>
      <c r="D555" s="2"/>
      <c r="E555" s="4"/>
      <c r="F555" s="2"/>
      <c r="G555" s="26">
        <f t="shared" si="33"/>
        <v>0</v>
      </c>
      <c r="H555" s="2"/>
      <c r="I555" s="4"/>
      <c r="J555" s="2"/>
      <c r="K555" s="27">
        <f>IF('RPT1'!$J555="","",'RPT1'!$J555)</f>
        <v>0</v>
      </c>
      <c r="L555" s="27">
        <f>IF('RPT2'!$J555="","",'RPT2'!$J555)</f>
        <v>0</v>
      </c>
      <c r="M555" s="27">
        <f>IF('RPT3'!$J555="","",'RPT3'!$J555)</f>
        <v>0</v>
      </c>
      <c r="N555" s="27">
        <f>IF('RPT4'!$J555="","",'RPT4'!$J555)</f>
        <v>0</v>
      </c>
    </row>
    <row r="556" spans="1:14" x14ac:dyDescent="0.35">
      <c r="A556" s="16" t="s">
        <v>541</v>
      </c>
      <c r="B556" s="2"/>
      <c r="C556" s="26">
        <f t="shared" si="32"/>
        <v>0</v>
      </c>
      <c r="D556" s="2"/>
      <c r="E556" s="4"/>
      <c r="F556" s="2"/>
      <c r="G556" s="26">
        <f t="shared" si="33"/>
        <v>0</v>
      </c>
      <c r="H556" s="2"/>
      <c r="I556" s="4"/>
      <c r="J556" s="2"/>
      <c r="K556" s="27">
        <f>IF('RPT1'!$J556="","",'RPT1'!$J556)</f>
        <v>0</v>
      </c>
      <c r="L556" s="27">
        <f>IF('RPT2'!$J556="","",'RPT2'!$J556)</f>
        <v>0</v>
      </c>
      <c r="M556" s="27">
        <f>IF('RPT3'!$J556="","",'RPT3'!$J556)</f>
        <v>0</v>
      </c>
      <c r="N556" s="27">
        <f>IF('RPT4'!$J556="","",'RPT4'!$J556)</f>
        <v>0</v>
      </c>
    </row>
    <row r="557" spans="1:14" x14ac:dyDescent="0.35">
      <c r="A557" s="16" t="s">
        <v>542</v>
      </c>
      <c r="B557" s="2"/>
      <c r="C557" s="26">
        <f t="shared" si="32"/>
        <v>0</v>
      </c>
      <c r="D557" s="2"/>
      <c r="E557" s="4"/>
      <c r="F557" s="2"/>
      <c r="G557" s="26">
        <f t="shared" si="33"/>
        <v>0</v>
      </c>
      <c r="H557" s="2"/>
      <c r="I557" s="4"/>
      <c r="J557" s="2"/>
      <c r="K557" s="27">
        <f>IF('RPT1'!$J557="","",'RPT1'!$J557)</f>
        <v>0</v>
      </c>
      <c r="L557" s="27">
        <f>IF('RPT2'!$J557="","",'RPT2'!$J557)</f>
        <v>0</v>
      </c>
      <c r="M557" s="27">
        <f>IF('RPT3'!$J557="","",'RPT3'!$J557)</f>
        <v>0</v>
      </c>
      <c r="N557" s="27">
        <f>IF('RPT4'!$J557="","",'RPT4'!$J557)</f>
        <v>0</v>
      </c>
    </row>
    <row r="558" spans="1:14" x14ac:dyDescent="0.35">
      <c r="A558" s="16" t="s">
        <v>543</v>
      </c>
      <c r="B558" s="2"/>
      <c r="C558" s="26">
        <f t="shared" si="32"/>
        <v>0</v>
      </c>
      <c r="D558" s="2"/>
      <c r="E558" s="4"/>
      <c r="F558" s="2"/>
      <c r="G558" s="26">
        <f t="shared" si="33"/>
        <v>0</v>
      </c>
      <c r="H558" s="2"/>
      <c r="I558" s="4"/>
      <c r="J558" s="2"/>
      <c r="K558" s="27">
        <f>IF('RPT1'!$J558="","",'RPT1'!$J558)</f>
        <v>0</v>
      </c>
      <c r="L558" s="27">
        <f>IF('RPT2'!$J558="","",'RPT2'!$J558)</f>
        <v>0</v>
      </c>
      <c r="M558" s="27">
        <f>IF('RPT3'!$J558="","",'RPT3'!$J558)</f>
        <v>0</v>
      </c>
      <c r="N558" s="27">
        <f>IF('RPT4'!$J558="","",'RPT4'!$J558)</f>
        <v>0</v>
      </c>
    </row>
    <row r="559" spans="1:14" x14ac:dyDescent="0.35">
      <c r="A559" s="16" t="s">
        <v>544</v>
      </c>
      <c r="B559" s="2"/>
      <c r="C559" s="26">
        <f t="shared" si="32"/>
        <v>0</v>
      </c>
      <c r="D559" s="2"/>
      <c r="E559" s="4"/>
      <c r="F559" s="2"/>
      <c r="G559" s="26">
        <f t="shared" si="33"/>
        <v>0</v>
      </c>
      <c r="H559" s="2"/>
      <c r="I559" s="4"/>
      <c r="J559" s="2"/>
      <c r="K559" s="27">
        <f>IF('RPT1'!$J559="","",'RPT1'!$J559)</f>
        <v>0</v>
      </c>
      <c r="L559" s="27">
        <f>IF('RPT2'!$J559="","",'RPT2'!$J559)</f>
        <v>0</v>
      </c>
      <c r="M559" s="27">
        <f>IF('RPT3'!$J559="","",'RPT3'!$J559)</f>
        <v>0</v>
      </c>
      <c r="N559" s="27">
        <f>IF('RPT4'!$J559="","",'RPT4'!$J559)</f>
        <v>0</v>
      </c>
    </row>
    <row r="560" spans="1:14" x14ac:dyDescent="0.35">
      <c r="A560" s="16" t="s">
        <v>545</v>
      </c>
      <c r="B560" s="2"/>
      <c r="C560" s="26">
        <f t="shared" si="32"/>
        <v>0</v>
      </c>
      <c r="D560" s="2"/>
      <c r="E560" s="4"/>
      <c r="F560" s="2"/>
      <c r="G560" s="26">
        <f t="shared" si="33"/>
        <v>0</v>
      </c>
      <c r="H560" s="2"/>
      <c r="I560" s="4"/>
      <c r="J560" s="2"/>
      <c r="K560" s="27">
        <f>IF('RPT1'!$J560="","",'RPT1'!$J560)</f>
        <v>0</v>
      </c>
      <c r="L560" s="27">
        <f>IF('RPT2'!$J560="","",'RPT2'!$J560)</f>
        <v>0</v>
      </c>
      <c r="M560" s="27">
        <f>IF('RPT3'!$J560="","",'RPT3'!$J560)</f>
        <v>0</v>
      </c>
      <c r="N560" s="27">
        <f>IF('RPT4'!$J560="","",'RPT4'!$J560)</f>
        <v>0</v>
      </c>
    </row>
    <row r="561" spans="1:14" x14ac:dyDescent="0.35">
      <c r="A561" s="16" t="s">
        <v>546</v>
      </c>
      <c r="B561" s="2"/>
      <c r="C561" s="26">
        <f t="shared" si="32"/>
        <v>0</v>
      </c>
      <c r="D561" s="2"/>
      <c r="E561" s="4"/>
      <c r="F561" s="2"/>
      <c r="G561" s="26">
        <f t="shared" si="33"/>
        <v>0</v>
      </c>
      <c r="H561" s="2"/>
      <c r="I561" s="4"/>
      <c r="J561" s="2"/>
      <c r="K561" s="27">
        <f>IF('RPT1'!$J561="","",'RPT1'!$J561)</f>
        <v>0</v>
      </c>
      <c r="L561" s="27">
        <f>IF('RPT2'!$J561="","",'RPT2'!$J561)</f>
        <v>0</v>
      </c>
      <c r="M561" s="27">
        <f>IF('RPT3'!$J561="","",'RPT3'!$J561)</f>
        <v>0</v>
      </c>
      <c r="N561" s="27">
        <f>IF('RPT4'!$J561="","",'RPT4'!$J561)</f>
        <v>0</v>
      </c>
    </row>
    <row r="562" spans="1:14" x14ac:dyDescent="0.35">
      <c r="A562" s="16" t="s">
        <v>547</v>
      </c>
      <c r="B562" s="2"/>
      <c r="C562" s="26">
        <f t="shared" si="32"/>
        <v>0</v>
      </c>
      <c r="D562" s="2"/>
      <c r="E562" s="4"/>
      <c r="F562" s="2"/>
      <c r="G562" s="26">
        <f t="shared" si="33"/>
        <v>0</v>
      </c>
      <c r="H562" s="2"/>
      <c r="I562" s="4"/>
      <c r="J562" s="2"/>
      <c r="K562" s="27">
        <f>IF('RPT1'!$J562="","",'RPT1'!$J562)</f>
        <v>0</v>
      </c>
      <c r="L562" s="27">
        <f>IF('RPT2'!$J562="","",'RPT2'!$J562)</f>
        <v>0</v>
      </c>
      <c r="M562" s="27">
        <f>IF('RPT3'!$J562="","",'RPT3'!$J562)</f>
        <v>0</v>
      </c>
      <c r="N562" s="27">
        <f>IF('RPT4'!$J562="","",'RPT4'!$J562)</f>
        <v>0</v>
      </c>
    </row>
    <row r="563" spans="1:14" x14ac:dyDescent="0.35">
      <c r="A563" s="16" t="s">
        <v>548</v>
      </c>
      <c r="B563" s="2"/>
      <c r="C563" s="26">
        <f t="shared" si="32"/>
        <v>0</v>
      </c>
      <c r="D563" s="2"/>
      <c r="E563" s="4"/>
      <c r="F563" s="2"/>
      <c r="G563" s="26">
        <f t="shared" si="33"/>
        <v>0</v>
      </c>
      <c r="H563" s="2"/>
      <c r="I563" s="4"/>
      <c r="J563" s="2"/>
      <c r="K563" s="27">
        <f>IF('RPT1'!$J563="","",'RPT1'!$J563)</f>
        <v>0</v>
      </c>
      <c r="L563" s="27">
        <f>IF('RPT2'!$J563="","",'RPT2'!$J563)</f>
        <v>0</v>
      </c>
      <c r="M563" s="27">
        <f>IF('RPT3'!$J563="","",'RPT3'!$J563)</f>
        <v>0</v>
      </c>
      <c r="N563" s="27">
        <f>IF('RPT4'!$J563="","",'RPT4'!$J563)</f>
        <v>0</v>
      </c>
    </row>
    <row r="564" spans="1:14" x14ac:dyDescent="0.35">
      <c r="A564" s="16" t="s">
        <v>549</v>
      </c>
      <c r="B564" s="2"/>
      <c r="C564" s="26">
        <f t="shared" si="32"/>
        <v>0</v>
      </c>
      <c r="D564" s="2"/>
      <c r="E564" s="4"/>
      <c r="F564" s="2"/>
      <c r="G564" s="26">
        <f t="shared" si="33"/>
        <v>0</v>
      </c>
      <c r="H564" s="2"/>
      <c r="I564" s="4"/>
      <c r="J564" s="2"/>
      <c r="K564" s="27">
        <f>IF('RPT1'!$J564="","",'RPT1'!$J564)</f>
        <v>0</v>
      </c>
      <c r="L564" s="27">
        <f>IF('RPT2'!$J564="","",'RPT2'!$J564)</f>
        <v>0</v>
      </c>
      <c r="M564" s="27">
        <f>IF('RPT3'!$J564="","",'RPT3'!$J564)</f>
        <v>0</v>
      </c>
      <c r="N564" s="27">
        <f>IF('RPT4'!$J564="","",'RPT4'!$J564)</f>
        <v>0</v>
      </c>
    </row>
    <row r="565" spans="1:14" x14ac:dyDescent="0.35">
      <c r="A565" s="16" t="s">
        <v>550</v>
      </c>
      <c r="B565" s="2"/>
      <c r="C565" s="26">
        <f t="shared" si="32"/>
        <v>0</v>
      </c>
      <c r="D565" s="2"/>
      <c r="E565" s="4"/>
      <c r="F565" s="2"/>
      <c r="G565" s="26">
        <f t="shared" si="33"/>
        <v>0</v>
      </c>
      <c r="H565" s="2"/>
      <c r="I565" s="4"/>
      <c r="J565" s="2"/>
      <c r="K565" s="27">
        <f>IF('RPT1'!$J565="","",'RPT1'!$J565)</f>
        <v>0</v>
      </c>
      <c r="L565" s="27">
        <f>IF('RPT2'!$J565="","",'RPT2'!$J565)</f>
        <v>0</v>
      </c>
      <c r="M565" s="27">
        <f>IF('RPT3'!$J565="","",'RPT3'!$J565)</f>
        <v>0</v>
      </c>
      <c r="N565" s="27">
        <f>IF('RPT4'!$J565="","",'RPT4'!$J565)</f>
        <v>0</v>
      </c>
    </row>
    <row r="566" spans="1:14" x14ac:dyDescent="0.35">
      <c r="A566" s="16" t="s">
        <v>551</v>
      </c>
      <c r="B566" s="2"/>
      <c r="C566" s="26">
        <f t="shared" si="32"/>
        <v>0</v>
      </c>
      <c r="D566" s="2"/>
      <c r="E566" s="4"/>
      <c r="F566" s="2"/>
      <c r="G566" s="26">
        <f t="shared" si="33"/>
        <v>0</v>
      </c>
      <c r="H566" s="2"/>
      <c r="I566" s="4"/>
      <c r="J566" s="2"/>
      <c r="K566" s="27">
        <f>IF('RPT1'!$J566="","",'RPT1'!$J566)</f>
        <v>0</v>
      </c>
      <c r="L566" s="27">
        <f>IF('RPT2'!$J566="","",'RPT2'!$J566)</f>
        <v>0</v>
      </c>
      <c r="M566" s="27">
        <f>IF('RPT3'!$J566="","",'RPT3'!$J566)</f>
        <v>0</v>
      </c>
      <c r="N566" s="27">
        <f>IF('RPT4'!$J566="","",'RPT4'!$J566)</f>
        <v>0</v>
      </c>
    </row>
    <row r="567" spans="1:14" x14ac:dyDescent="0.35">
      <c r="A567" s="16" t="s">
        <v>552</v>
      </c>
      <c r="B567" s="2"/>
      <c r="C567" s="26">
        <f t="shared" si="32"/>
        <v>0</v>
      </c>
      <c r="D567" s="2"/>
      <c r="E567" s="4"/>
      <c r="F567" s="2"/>
      <c r="G567" s="26">
        <f t="shared" si="33"/>
        <v>0</v>
      </c>
      <c r="H567" s="2"/>
      <c r="I567" s="4"/>
      <c r="J567" s="2"/>
      <c r="K567" s="27">
        <f>IF('RPT1'!$J567="","",'RPT1'!$J567)</f>
        <v>0</v>
      </c>
      <c r="L567" s="27">
        <f>IF('RPT2'!$J567="","",'RPT2'!$J567)</f>
        <v>0</v>
      </c>
      <c r="M567" s="27">
        <f>IF('RPT3'!$J567="","",'RPT3'!$J567)</f>
        <v>0</v>
      </c>
      <c r="N567" s="27">
        <f>IF('RPT4'!$J567="","",'RPT4'!$J567)</f>
        <v>0</v>
      </c>
    </row>
    <row r="568" spans="1:14" x14ac:dyDescent="0.35">
      <c r="A568" s="16" t="s">
        <v>553</v>
      </c>
      <c r="B568" s="2"/>
      <c r="C568" s="26">
        <f t="shared" si="32"/>
        <v>0</v>
      </c>
      <c r="D568" s="2"/>
      <c r="E568" s="4"/>
      <c r="F568" s="2"/>
      <c r="G568" s="26">
        <f t="shared" si="33"/>
        <v>0</v>
      </c>
      <c r="H568" s="2"/>
      <c r="I568" s="4"/>
      <c r="J568" s="2"/>
      <c r="K568" s="27">
        <f>IF('RPT1'!$J568="","",'RPT1'!$J568)</f>
        <v>0</v>
      </c>
      <c r="L568" s="27">
        <f>IF('RPT2'!$J568="","",'RPT2'!$J568)</f>
        <v>0</v>
      </c>
      <c r="M568" s="27">
        <f>IF('RPT3'!$J568="","",'RPT3'!$J568)</f>
        <v>0</v>
      </c>
      <c r="N568" s="27">
        <f>IF('RPT4'!$J568="","",'RPT4'!$J568)</f>
        <v>0</v>
      </c>
    </row>
    <row r="569" spans="1:14" x14ac:dyDescent="0.35">
      <c r="A569" s="16" t="s">
        <v>554</v>
      </c>
      <c r="B569" s="2"/>
      <c r="C569" s="26">
        <f t="shared" si="32"/>
        <v>0</v>
      </c>
      <c r="D569" s="2"/>
      <c r="E569" s="4"/>
      <c r="F569" s="2"/>
      <c r="G569" s="26">
        <f t="shared" si="33"/>
        <v>0</v>
      </c>
      <c r="H569" s="2"/>
      <c r="I569" s="4"/>
      <c r="J569" s="2"/>
      <c r="K569" s="27">
        <f>IF('RPT1'!$J569="","",'RPT1'!$J569)</f>
        <v>0</v>
      </c>
      <c r="L569" s="27">
        <f>IF('RPT2'!$J569="","",'RPT2'!$J569)</f>
        <v>0</v>
      </c>
      <c r="M569" s="27">
        <f>IF('RPT3'!$J569="","",'RPT3'!$J569)</f>
        <v>0</v>
      </c>
      <c r="N569" s="27">
        <f>IF('RPT4'!$J569="","",'RPT4'!$J569)</f>
        <v>0</v>
      </c>
    </row>
    <row r="570" spans="1:14" x14ac:dyDescent="0.35">
      <c r="A570" s="16" t="s">
        <v>555</v>
      </c>
      <c r="B570" s="2"/>
      <c r="C570" s="26">
        <f t="shared" si="32"/>
        <v>0</v>
      </c>
      <c r="D570" s="2"/>
      <c r="E570" s="4"/>
      <c r="F570" s="2"/>
      <c r="G570" s="26">
        <f t="shared" si="33"/>
        <v>0</v>
      </c>
      <c r="H570" s="2"/>
      <c r="I570" s="4"/>
      <c r="J570" s="2"/>
      <c r="K570" s="27">
        <f>IF('RPT1'!$J570="","",'RPT1'!$J570)</f>
        <v>0</v>
      </c>
      <c r="L570" s="27">
        <f>IF('RPT2'!$J570="","",'RPT2'!$J570)</f>
        <v>0</v>
      </c>
      <c r="M570" s="27">
        <f>IF('RPT3'!$J570="","",'RPT3'!$J570)</f>
        <v>0</v>
      </c>
      <c r="N570" s="27">
        <f>IF('RPT4'!$J570="","",'RPT4'!$J570)</f>
        <v>0</v>
      </c>
    </row>
    <row r="571" spans="1:14" x14ac:dyDescent="0.35">
      <c r="A571" s="16" t="s">
        <v>556</v>
      </c>
      <c r="B571" s="2"/>
      <c r="C571" s="26">
        <f t="shared" si="32"/>
        <v>0</v>
      </c>
      <c r="D571" s="2"/>
      <c r="E571" s="4"/>
      <c r="F571" s="2"/>
      <c r="G571" s="26">
        <f t="shared" si="33"/>
        <v>0</v>
      </c>
      <c r="H571" s="2"/>
      <c r="I571" s="4"/>
      <c r="J571" s="2"/>
      <c r="K571" s="27">
        <f>IF('RPT1'!$J571="","",'RPT1'!$J571)</f>
        <v>0</v>
      </c>
      <c r="L571" s="27">
        <f>IF('RPT2'!$J571="","",'RPT2'!$J571)</f>
        <v>0</v>
      </c>
      <c r="M571" s="27">
        <f>IF('RPT3'!$J571="","",'RPT3'!$J571)</f>
        <v>0</v>
      </c>
      <c r="N571" s="27">
        <f>IF('RPT4'!$J571="","",'RPT4'!$J571)</f>
        <v>0</v>
      </c>
    </row>
    <row r="572" spans="1:14" x14ac:dyDescent="0.35">
      <c r="A572" s="16" t="s">
        <v>557</v>
      </c>
      <c r="B572" s="2"/>
      <c r="C572" s="26">
        <f t="shared" si="32"/>
        <v>0</v>
      </c>
      <c r="D572" s="2"/>
      <c r="E572" s="4"/>
      <c r="F572" s="2"/>
      <c r="G572" s="26">
        <f t="shared" si="33"/>
        <v>0</v>
      </c>
      <c r="H572" s="2"/>
      <c r="I572" s="4"/>
      <c r="J572" s="2"/>
      <c r="K572" s="27">
        <f>IF('RPT1'!$J572="","",'RPT1'!$J572)</f>
        <v>0</v>
      </c>
      <c r="L572" s="27">
        <f>IF('RPT2'!$J572="","",'RPT2'!$J572)</f>
        <v>0</v>
      </c>
      <c r="M572" s="27">
        <f>IF('RPT3'!$J572="","",'RPT3'!$J572)</f>
        <v>0</v>
      </c>
      <c r="N572" s="27">
        <f>IF('RPT4'!$J572="","",'RPT4'!$J572)</f>
        <v>0</v>
      </c>
    </row>
    <row r="573" spans="1:14" x14ac:dyDescent="0.35">
      <c r="A573" s="16" t="s">
        <v>558</v>
      </c>
      <c r="B573" s="2"/>
      <c r="C573" s="26">
        <f t="shared" si="32"/>
        <v>0</v>
      </c>
      <c r="D573" s="2"/>
      <c r="E573" s="4"/>
      <c r="F573" s="2"/>
      <c r="G573" s="26">
        <f t="shared" si="33"/>
        <v>0</v>
      </c>
      <c r="H573" s="2"/>
      <c r="I573" s="4"/>
      <c r="J573" s="2"/>
      <c r="K573" s="27">
        <f>IF('RPT1'!$J573="","",'RPT1'!$J573)</f>
        <v>0</v>
      </c>
      <c r="L573" s="27">
        <f>IF('RPT2'!$J573="","",'RPT2'!$J573)</f>
        <v>0</v>
      </c>
      <c r="M573" s="27">
        <f>IF('RPT3'!$J573="","",'RPT3'!$J573)</f>
        <v>0</v>
      </c>
      <c r="N573" s="27">
        <f>IF('RPT4'!$J573="","",'RPT4'!$J573)</f>
        <v>0</v>
      </c>
    </row>
    <row r="574" spans="1:14" x14ac:dyDescent="0.35">
      <c r="A574" s="16" t="s">
        <v>559</v>
      </c>
      <c r="B574" s="2"/>
      <c r="C574" s="26">
        <f t="shared" si="32"/>
        <v>0</v>
      </c>
      <c r="D574" s="2"/>
      <c r="E574" s="4"/>
      <c r="F574" s="2"/>
      <c r="G574" s="26">
        <f t="shared" si="33"/>
        <v>0</v>
      </c>
      <c r="H574" s="2"/>
      <c r="I574" s="4"/>
      <c r="J574" s="2"/>
      <c r="K574" s="27">
        <f>IF('RPT1'!$J574="","",'RPT1'!$J574)</f>
        <v>0</v>
      </c>
      <c r="L574" s="27">
        <f>IF('RPT2'!$J574="","",'RPT2'!$J574)</f>
        <v>0</v>
      </c>
      <c r="M574" s="27">
        <f>IF('RPT3'!$J574="","",'RPT3'!$J574)</f>
        <v>0</v>
      </c>
      <c r="N574" s="27">
        <f>IF('RPT4'!$J574="","",'RPT4'!$J574)</f>
        <v>0</v>
      </c>
    </row>
    <row r="575" spans="1:14" x14ac:dyDescent="0.35">
      <c r="A575" s="16" t="s">
        <v>560</v>
      </c>
      <c r="B575" s="2"/>
      <c r="C575" s="26">
        <f t="shared" si="32"/>
        <v>0</v>
      </c>
      <c r="D575" s="2"/>
      <c r="E575" s="4"/>
      <c r="F575" s="2"/>
      <c r="G575" s="26">
        <f t="shared" si="33"/>
        <v>0</v>
      </c>
      <c r="H575" s="2"/>
      <c r="I575" s="4"/>
      <c r="J575" s="2"/>
      <c r="K575" s="27">
        <f>IF('RPT1'!$J575="","",'RPT1'!$J575)</f>
        <v>0</v>
      </c>
      <c r="L575" s="27">
        <f>IF('RPT2'!$J575="","",'RPT2'!$J575)</f>
        <v>0</v>
      </c>
      <c r="M575" s="27">
        <f>IF('RPT3'!$J575="","",'RPT3'!$J575)</f>
        <v>0</v>
      </c>
      <c r="N575" s="27">
        <f>IF('RPT4'!$J575="","",'RPT4'!$J575)</f>
        <v>0</v>
      </c>
    </row>
    <row r="576" spans="1:14" x14ac:dyDescent="0.35">
      <c r="A576" s="16" t="s">
        <v>561</v>
      </c>
      <c r="B576" s="2"/>
      <c r="C576" s="26">
        <f t="shared" si="32"/>
        <v>0</v>
      </c>
      <c r="D576" s="2"/>
      <c r="E576" s="4"/>
      <c r="F576" s="2"/>
      <c r="G576" s="26">
        <f t="shared" si="33"/>
        <v>0</v>
      </c>
      <c r="H576" s="2"/>
      <c r="I576" s="4"/>
      <c r="J576" s="2"/>
      <c r="K576" s="27">
        <f>IF('RPT1'!$J576="","",'RPT1'!$J576)</f>
        <v>0</v>
      </c>
      <c r="L576" s="27">
        <f>IF('RPT2'!$J576="","",'RPT2'!$J576)</f>
        <v>0</v>
      </c>
      <c r="M576" s="27">
        <f>IF('RPT3'!$J576="","",'RPT3'!$J576)</f>
        <v>0</v>
      </c>
      <c r="N576" s="27">
        <f>IF('RPT4'!$J576="","",'RPT4'!$J576)</f>
        <v>0</v>
      </c>
    </row>
    <row r="577" spans="1:14" x14ac:dyDescent="0.35">
      <c r="A577" s="16" t="s">
        <v>562</v>
      </c>
      <c r="B577" s="2"/>
      <c r="C577" s="26">
        <f t="shared" si="32"/>
        <v>0</v>
      </c>
      <c r="D577" s="2"/>
      <c r="E577" s="4"/>
      <c r="F577" s="2"/>
      <c r="G577" s="26">
        <f t="shared" si="33"/>
        <v>0</v>
      </c>
      <c r="H577" s="2"/>
      <c r="I577" s="4"/>
      <c r="J577" s="2"/>
      <c r="K577" s="27">
        <f>IF('RPT1'!$J577="","",'RPT1'!$J577)</f>
        <v>0</v>
      </c>
      <c r="L577" s="27">
        <f>IF('RPT2'!$J577="","",'RPT2'!$J577)</f>
        <v>0</v>
      </c>
      <c r="M577" s="27">
        <f>IF('RPT3'!$J577="","",'RPT3'!$J577)</f>
        <v>0</v>
      </c>
      <c r="N577" s="27">
        <f>IF('RPT4'!$J577="","",'RPT4'!$J577)</f>
        <v>0</v>
      </c>
    </row>
    <row r="578" spans="1:14" x14ac:dyDescent="0.35">
      <c r="A578" s="16" t="s">
        <v>563</v>
      </c>
      <c r="B578" s="2"/>
      <c r="C578" s="26">
        <f t="shared" si="32"/>
        <v>0</v>
      </c>
      <c r="D578" s="2"/>
      <c r="E578" s="4"/>
      <c r="F578" s="2"/>
      <c r="G578" s="26">
        <f t="shared" si="33"/>
        <v>0</v>
      </c>
      <c r="H578" s="2"/>
      <c r="I578" s="4"/>
      <c r="J578" s="2"/>
      <c r="K578" s="27">
        <f>IF('RPT1'!$J578="","",'RPT1'!$J578)</f>
        <v>0</v>
      </c>
      <c r="L578" s="27">
        <f>IF('RPT2'!$J578="","",'RPT2'!$J578)</f>
        <v>0</v>
      </c>
      <c r="M578" s="27">
        <f>IF('RPT3'!$J578="","",'RPT3'!$J578)</f>
        <v>0</v>
      </c>
      <c r="N578" s="27">
        <f>IF('RPT4'!$J578="","",'RPT4'!$J578)</f>
        <v>0</v>
      </c>
    </row>
    <row r="579" spans="1:14" x14ac:dyDescent="0.35">
      <c r="A579" s="16" t="s">
        <v>564</v>
      </c>
      <c r="B579" s="2"/>
      <c r="C579" s="26">
        <f t="shared" si="32"/>
        <v>0</v>
      </c>
      <c r="D579" s="2"/>
      <c r="E579" s="4"/>
      <c r="F579" s="2"/>
      <c r="G579" s="26">
        <f t="shared" si="33"/>
        <v>0</v>
      </c>
      <c r="H579" s="2"/>
      <c r="I579" s="4"/>
      <c r="J579" s="2"/>
      <c r="K579" s="27">
        <f>IF('RPT1'!$J579="","",'RPT1'!$J579)</f>
        <v>0</v>
      </c>
      <c r="L579" s="27">
        <f>IF('RPT2'!$J579="","",'RPT2'!$J579)</f>
        <v>0</v>
      </c>
      <c r="M579" s="27">
        <f>IF('RPT3'!$J579="","",'RPT3'!$J579)</f>
        <v>0</v>
      </c>
      <c r="N579" s="27">
        <f>IF('RPT4'!$J579="","",'RPT4'!$J579)</f>
        <v>0</v>
      </c>
    </row>
    <row r="580" spans="1:14" x14ac:dyDescent="0.35">
      <c r="A580" s="16" t="s">
        <v>565</v>
      </c>
      <c r="B580" s="2"/>
      <c r="C580" s="26">
        <f t="shared" si="32"/>
        <v>0</v>
      </c>
      <c r="D580" s="2"/>
      <c r="E580" s="4"/>
      <c r="F580" s="2"/>
      <c r="G580" s="26">
        <f t="shared" si="33"/>
        <v>0</v>
      </c>
      <c r="H580" s="2"/>
      <c r="I580" s="4"/>
      <c r="J580" s="2"/>
      <c r="K580" s="27">
        <f>IF('RPT1'!$J580="","",'RPT1'!$J580)</f>
        <v>0</v>
      </c>
      <c r="L580" s="27">
        <f>IF('RPT2'!$J580="","",'RPT2'!$J580)</f>
        <v>0</v>
      </c>
      <c r="M580" s="27">
        <f>IF('RPT3'!$J580="","",'RPT3'!$J580)</f>
        <v>0</v>
      </c>
      <c r="N580" s="27">
        <f>IF('RPT4'!$J580="","",'RPT4'!$J580)</f>
        <v>0</v>
      </c>
    </row>
    <row r="581" spans="1:14" x14ac:dyDescent="0.35">
      <c r="A581" s="16" t="s">
        <v>566</v>
      </c>
      <c r="B581" s="2"/>
      <c r="C581" s="26">
        <f t="shared" si="32"/>
        <v>0</v>
      </c>
      <c r="D581" s="2"/>
      <c r="E581" s="4"/>
      <c r="F581" s="2"/>
      <c r="G581" s="26">
        <f t="shared" si="33"/>
        <v>0</v>
      </c>
      <c r="H581" s="2"/>
      <c r="I581" s="4"/>
      <c r="J581" s="2"/>
      <c r="K581" s="27">
        <f>IF('RPT1'!$J581="","",'RPT1'!$J581)</f>
        <v>0</v>
      </c>
      <c r="L581" s="27">
        <f>IF('RPT2'!$J581="","",'RPT2'!$J581)</f>
        <v>0</v>
      </c>
      <c r="M581" s="27">
        <f>IF('RPT3'!$J581="","",'RPT3'!$J581)</f>
        <v>0</v>
      </c>
      <c r="N581" s="27">
        <f>IF('RPT4'!$J581="","",'RPT4'!$J581)</f>
        <v>0</v>
      </c>
    </row>
    <row r="582" spans="1:14" x14ac:dyDescent="0.35">
      <c r="A582" s="16" t="s">
        <v>567</v>
      </c>
      <c r="B582" s="2"/>
      <c r="C582" s="26">
        <f t="shared" si="32"/>
        <v>0</v>
      </c>
      <c r="D582" s="2"/>
      <c r="E582" s="4"/>
      <c r="F582" s="2"/>
      <c r="G582" s="26">
        <f t="shared" si="33"/>
        <v>0</v>
      </c>
      <c r="H582" s="2"/>
      <c r="I582" s="4"/>
      <c r="J582" s="2"/>
      <c r="K582" s="27">
        <f>IF('RPT1'!$J582="","",'RPT1'!$J582)</f>
        <v>0</v>
      </c>
      <c r="L582" s="27">
        <f>IF('RPT2'!$J582="","",'RPT2'!$J582)</f>
        <v>0</v>
      </c>
      <c r="M582" s="27">
        <f>IF('RPT3'!$J582="","",'RPT3'!$J582)</f>
        <v>0</v>
      </c>
      <c r="N582" s="27">
        <f>IF('RPT4'!$J582="","",'RPT4'!$J582)</f>
        <v>0</v>
      </c>
    </row>
    <row r="583" spans="1:14" x14ac:dyDescent="0.35">
      <c r="A583" s="16" t="s">
        <v>568</v>
      </c>
      <c r="B583" s="2"/>
      <c r="C583" s="26">
        <f t="shared" si="32"/>
        <v>0</v>
      </c>
      <c r="D583" s="2"/>
      <c r="E583" s="4"/>
      <c r="F583" s="2"/>
      <c r="G583" s="26">
        <f t="shared" si="33"/>
        <v>0</v>
      </c>
      <c r="H583" s="2"/>
      <c r="I583" s="4"/>
      <c r="J583" s="2"/>
      <c r="K583" s="27">
        <f>IF('RPT1'!$J583="","",'RPT1'!$J583)</f>
        <v>0</v>
      </c>
      <c r="L583" s="27">
        <f>IF('RPT2'!$J583="","",'RPT2'!$J583)</f>
        <v>0</v>
      </c>
      <c r="M583" s="27">
        <f>IF('RPT3'!$J583="","",'RPT3'!$J583)</f>
        <v>0</v>
      </c>
      <c r="N583" s="27">
        <f>IF('RPT4'!$J583="","",'RPT4'!$J583)</f>
        <v>0</v>
      </c>
    </row>
    <row r="584" spans="1:14" x14ac:dyDescent="0.35">
      <c r="A584" s="16" t="s">
        <v>569</v>
      </c>
      <c r="B584" s="2"/>
      <c r="C584" s="26">
        <f t="shared" si="32"/>
        <v>0</v>
      </c>
      <c r="D584" s="2"/>
      <c r="E584" s="4"/>
      <c r="F584" s="2"/>
      <c r="G584" s="26">
        <f t="shared" si="33"/>
        <v>0</v>
      </c>
      <c r="H584" s="2"/>
      <c r="I584" s="4"/>
      <c r="J584" s="2"/>
      <c r="K584" s="27">
        <f>IF('RPT1'!$J584="","",'RPT1'!$J584)</f>
        <v>0</v>
      </c>
      <c r="L584" s="27">
        <f>IF('RPT2'!$J584="","",'RPT2'!$J584)</f>
        <v>0</v>
      </c>
      <c r="M584" s="27">
        <f>IF('RPT3'!$J584="","",'RPT3'!$J584)</f>
        <v>0</v>
      </c>
      <c r="N584" s="27">
        <f>IF('RPT4'!$J584="","",'RPT4'!$J584)</f>
        <v>0</v>
      </c>
    </row>
    <row r="585" spans="1:14" x14ac:dyDescent="0.35">
      <c r="A585" s="16" t="s">
        <v>570</v>
      </c>
      <c r="B585" s="2"/>
      <c r="C585" s="26">
        <f t="shared" si="32"/>
        <v>0</v>
      </c>
      <c r="D585" s="2"/>
      <c r="E585" s="4"/>
      <c r="F585" s="2"/>
      <c r="G585" s="26">
        <f t="shared" si="33"/>
        <v>0</v>
      </c>
      <c r="H585" s="2"/>
      <c r="I585" s="4"/>
      <c r="J585" s="2"/>
      <c r="K585" s="27">
        <f>IF('RPT1'!$J585="","",'RPT1'!$J585)</f>
        <v>0</v>
      </c>
      <c r="L585" s="27">
        <f>IF('RPT2'!$J585="","",'RPT2'!$J585)</f>
        <v>0</v>
      </c>
      <c r="M585" s="27">
        <f>IF('RPT3'!$J585="","",'RPT3'!$J585)</f>
        <v>0</v>
      </c>
      <c r="N585" s="27">
        <f>IF('RPT4'!$J585="","",'RPT4'!$J585)</f>
        <v>0</v>
      </c>
    </row>
    <row r="586" spans="1:14" x14ac:dyDescent="0.35">
      <c r="A586" s="16" t="s">
        <v>571</v>
      </c>
      <c r="B586" s="2"/>
      <c r="C586" s="26">
        <f t="shared" si="32"/>
        <v>0</v>
      </c>
      <c r="D586" s="2"/>
      <c r="E586" s="4"/>
      <c r="F586" s="2"/>
      <c r="G586" s="26">
        <f t="shared" si="33"/>
        <v>0</v>
      </c>
      <c r="H586" s="2"/>
      <c r="I586" s="4"/>
      <c r="J586" s="2"/>
      <c r="K586" s="27">
        <f>IF('RPT1'!$J586="","",'RPT1'!$J586)</f>
        <v>0</v>
      </c>
      <c r="L586" s="27">
        <f>IF('RPT2'!$J586="","",'RPT2'!$J586)</f>
        <v>0</v>
      </c>
      <c r="M586" s="27">
        <f>IF('RPT3'!$J586="","",'RPT3'!$J586)</f>
        <v>0</v>
      </c>
      <c r="N586" s="27">
        <f>IF('RPT4'!$J586="","",'RPT4'!$J586)</f>
        <v>0</v>
      </c>
    </row>
    <row r="587" spans="1:14" x14ac:dyDescent="0.35">
      <c r="A587" s="16" t="s">
        <v>572</v>
      </c>
      <c r="B587" s="2"/>
      <c r="C587" s="26">
        <f t="shared" si="32"/>
        <v>0</v>
      </c>
      <c r="D587" s="2"/>
      <c r="E587" s="4"/>
      <c r="F587" s="2"/>
      <c r="G587" s="26">
        <f t="shared" si="33"/>
        <v>0</v>
      </c>
      <c r="H587" s="2"/>
      <c r="I587" s="4"/>
      <c r="J587" s="2"/>
      <c r="K587" s="27">
        <f>IF('RPT1'!$J587="","",'RPT1'!$J587)</f>
        <v>0</v>
      </c>
      <c r="L587" s="27">
        <f>IF('RPT2'!$J587="","",'RPT2'!$J587)</f>
        <v>0</v>
      </c>
      <c r="M587" s="27">
        <f>IF('RPT3'!$J587="","",'RPT3'!$J587)</f>
        <v>0</v>
      </c>
      <c r="N587" s="27">
        <f>IF('RPT4'!$J587="","",'RPT4'!$J587)</f>
        <v>0</v>
      </c>
    </row>
    <row r="588" spans="1:14" x14ac:dyDescent="0.35">
      <c r="A588" s="24"/>
      <c r="B588" s="2"/>
      <c r="C588" s="14"/>
      <c r="D588" s="2"/>
      <c r="E588" s="4"/>
      <c r="F588" s="2"/>
      <c r="G588" s="14"/>
      <c r="H588" s="2"/>
      <c r="I588" s="4"/>
      <c r="J588" s="2"/>
      <c r="K588" s="25"/>
      <c r="L588" s="25"/>
      <c r="M588" s="25"/>
      <c r="N588" s="25"/>
    </row>
    <row r="589" spans="1:14" x14ac:dyDescent="0.35">
      <c r="A589" s="12" t="s">
        <v>573</v>
      </c>
      <c r="B589" s="2"/>
      <c r="C589" s="14"/>
      <c r="D589" s="2"/>
      <c r="E589" s="4"/>
      <c r="F589" s="2"/>
      <c r="G589" s="14"/>
      <c r="H589" s="2"/>
      <c r="I589" s="4"/>
      <c r="J589" s="2"/>
      <c r="K589" s="25" t="str">
        <f>IF('RPT1'!$J589="","",'RPT1'!$J589)</f>
        <v/>
      </c>
      <c r="L589" s="25" t="str">
        <f>IF('RPT2'!$J589="","",'RPT2'!$J589)</f>
        <v/>
      </c>
      <c r="M589" s="25" t="str">
        <f>IF('RPT3'!$J589="","",'RPT3'!$J589)</f>
        <v/>
      </c>
      <c r="N589" s="25" t="str">
        <f>IF('RPT4'!$J589="","",'RPT4'!$J589)</f>
        <v/>
      </c>
    </row>
    <row r="590" spans="1:14" x14ac:dyDescent="0.35">
      <c r="A590" s="16" t="s">
        <v>574</v>
      </c>
      <c r="B590" s="2"/>
      <c r="C590" s="28">
        <f t="shared" ref="C590:C629" si="34">IF(Combine="Y", $G590, 0)</f>
        <v>0</v>
      </c>
      <c r="D590" s="2"/>
      <c r="E590" s="4"/>
      <c r="F590" s="2"/>
      <c r="G590" s="28">
        <f t="shared" ref="G590:G629" si="35">IF(G506=0,0,SUMPRODUCT($K506:$N506,$K590:$N590)/G506)</f>
        <v>0</v>
      </c>
      <c r="H590" s="2"/>
      <c r="I590" s="4"/>
      <c r="J590" s="2"/>
      <c r="K590" s="29">
        <f>IF('RPT1'!$J590="","",'RPT1'!$J590)</f>
        <v>0</v>
      </c>
      <c r="L590" s="29">
        <f>IF('RPT2'!$J590="","",'RPT2'!$J590)</f>
        <v>0</v>
      </c>
      <c r="M590" s="29">
        <f>IF('RPT3'!$J590="","",'RPT3'!$J590)</f>
        <v>0</v>
      </c>
      <c r="N590" s="29">
        <f>IF('RPT4'!$J590="","",'RPT4'!$J590)</f>
        <v>0</v>
      </c>
    </row>
    <row r="591" spans="1:14" x14ac:dyDescent="0.35">
      <c r="A591" s="16" t="s">
        <v>575</v>
      </c>
      <c r="B591" s="2"/>
      <c r="C591" s="28">
        <f t="shared" si="34"/>
        <v>0</v>
      </c>
      <c r="D591" s="2"/>
      <c r="E591" s="4"/>
      <c r="F591" s="2"/>
      <c r="G591" s="28">
        <f t="shared" si="35"/>
        <v>0</v>
      </c>
      <c r="H591" s="2"/>
      <c r="I591" s="4"/>
      <c r="J591" s="2"/>
      <c r="K591" s="29">
        <f>IF('RPT1'!$J591="","",'RPT1'!$J591)</f>
        <v>0</v>
      </c>
      <c r="L591" s="29">
        <f>IF('RPT2'!$J591="","",'RPT2'!$J591)</f>
        <v>0</v>
      </c>
      <c r="M591" s="29">
        <f>IF('RPT3'!$J591="","",'RPT3'!$J591)</f>
        <v>0</v>
      </c>
      <c r="N591" s="29">
        <f>IF('RPT4'!$J591="","",'RPT4'!$J591)</f>
        <v>0</v>
      </c>
    </row>
    <row r="592" spans="1:14" x14ac:dyDescent="0.35">
      <c r="A592" s="16" t="s">
        <v>576</v>
      </c>
      <c r="B592" s="2"/>
      <c r="C592" s="28">
        <f t="shared" si="34"/>
        <v>0</v>
      </c>
      <c r="D592" s="2"/>
      <c r="E592" s="4"/>
      <c r="F592" s="2"/>
      <c r="G592" s="28">
        <f t="shared" si="35"/>
        <v>0</v>
      </c>
      <c r="H592" s="2"/>
      <c r="I592" s="4"/>
      <c r="J592" s="2"/>
      <c r="K592" s="29">
        <f>IF('RPT1'!$J592="","",'RPT1'!$J592)</f>
        <v>0</v>
      </c>
      <c r="L592" s="29">
        <f>IF('RPT2'!$J592="","",'RPT2'!$J592)</f>
        <v>0</v>
      </c>
      <c r="M592" s="29">
        <f>IF('RPT3'!$J592="","",'RPT3'!$J592)</f>
        <v>0</v>
      </c>
      <c r="N592" s="29">
        <f>IF('RPT4'!$J592="","",'RPT4'!$J592)</f>
        <v>0</v>
      </c>
    </row>
    <row r="593" spans="1:14" x14ac:dyDescent="0.35">
      <c r="A593" s="16" t="s">
        <v>577</v>
      </c>
      <c r="B593" s="2"/>
      <c r="C593" s="28">
        <f t="shared" si="34"/>
        <v>0</v>
      </c>
      <c r="D593" s="2"/>
      <c r="E593" s="4"/>
      <c r="F593" s="2"/>
      <c r="G593" s="28">
        <f t="shared" si="35"/>
        <v>0</v>
      </c>
      <c r="H593" s="2"/>
      <c r="I593" s="4"/>
      <c r="J593" s="2"/>
      <c r="K593" s="29">
        <f>IF('RPT1'!$J593="","",'RPT1'!$J593)</f>
        <v>0</v>
      </c>
      <c r="L593" s="29">
        <f>IF('RPT2'!$J593="","",'RPT2'!$J593)</f>
        <v>0</v>
      </c>
      <c r="M593" s="29">
        <f>IF('RPT3'!$J593="","",'RPT3'!$J593)</f>
        <v>0</v>
      </c>
      <c r="N593" s="29">
        <f>IF('RPT4'!$J593="","",'RPT4'!$J593)</f>
        <v>0</v>
      </c>
    </row>
    <row r="594" spans="1:14" x14ac:dyDescent="0.35">
      <c r="A594" s="16" t="s">
        <v>578</v>
      </c>
      <c r="B594" s="2"/>
      <c r="C594" s="28">
        <f t="shared" si="34"/>
        <v>0</v>
      </c>
      <c r="D594" s="2"/>
      <c r="E594" s="4"/>
      <c r="F594" s="2"/>
      <c r="G594" s="28">
        <f t="shared" si="35"/>
        <v>0</v>
      </c>
      <c r="H594" s="2"/>
      <c r="I594" s="4"/>
      <c r="J594" s="2"/>
      <c r="K594" s="29">
        <f>IF('RPT1'!$J594="","",'RPT1'!$J594)</f>
        <v>0</v>
      </c>
      <c r="L594" s="29">
        <f>IF('RPT2'!$J594="","",'RPT2'!$J594)</f>
        <v>0</v>
      </c>
      <c r="M594" s="29">
        <f>IF('RPT3'!$J594="","",'RPT3'!$J594)</f>
        <v>0</v>
      </c>
      <c r="N594" s="29">
        <f>IF('RPT4'!$J594="","",'RPT4'!$J594)</f>
        <v>0</v>
      </c>
    </row>
    <row r="595" spans="1:14" x14ac:dyDescent="0.35">
      <c r="A595" s="16" t="s">
        <v>579</v>
      </c>
      <c r="B595" s="2"/>
      <c r="C595" s="28">
        <f t="shared" si="34"/>
        <v>0</v>
      </c>
      <c r="D595" s="2"/>
      <c r="E595" s="4"/>
      <c r="F595" s="2"/>
      <c r="G595" s="28">
        <f t="shared" si="35"/>
        <v>0</v>
      </c>
      <c r="H595" s="2"/>
      <c r="I595" s="4"/>
      <c r="J595" s="2"/>
      <c r="K595" s="29">
        <f>IF('RPT1'!$J595="","",'RPT1'!$J595)</f>
        <v>0</v>
      </c>
      <c r="L595" s="29">
        <f>IF('RPT2'!$J595="","",'RPT2'!$J595)</f>
        <v>0</v>
      </c>
      <c r="M595" s="29">
        <f>IF('RPT3'!$J595="","",'RPT3'!$J595)</f>
        <v>0</v>
      </c>
      <c r="N595" s="29">
        <f>IF('RPT4'!$J595="","",'RPT4'!$J595)</f>
        <v>0</v>
      </c>
    </row>
    <row r="596" spans="1:14" x14ac:dyDescent="0.35">
      <c r="A596" s="16" t="s">
        <v>580</v>
      </c>
      <c r="B596" s="2"/>
      <c r="C596" s="28">
        <f t="shared" si="34"/>
        <v>0</v>
      </c>
      <c r="D596" s="2"/>
      <c r="E596" s="4"/>
      <c r="F596" s="2"/>
      <c r="G596" s="28">
        <f t="shared" si="35"/>
        <v>0</v>
      </c>
      <c r="H596" s="2"/>
      <c r="I596" s="4"/>
      <c r="J596" s="2"/>
      <c r="K596" s="29">
        <f>IF('RPT1'!$J596="","",'RPT1'!$J596)</f>
        <v>0</v>
      </c>
      <c r="L596" s="29">
        <f>IF('RPT2'!$J596="","",'RPT2'!$J596)</f>
        <v>0</v>
      </c>
      <c r="M596" s="29">
        <f>IF('RPT3'!$J596="","",'RPT3'!$J596)</f>
        <v>0</v>
      </c>
      <c r="N596" s="29">
        <f>IF('RPT4'!$J596="","",'RPT4'!$J596)</f>
        <v>0</v>
      </c>
    </row>
    <row r="597" spans="1:14" x14ac:dyDescent="0.35">
      <c r="A597" s="16" t="s">
        <v>581</v>
      </c>
      <c r="B597" s="2"/>
      <c r="C597" s="28">
        <f t="shared" si="34"/>
        <v>0</v>
      </c>
      <c r="D597" s="2"/>
      <c r="E597" s="4"/>
      <c r="F597" s="2"/>
      <c r="G597" s="28">
        <f t="shared" si="35"/>
        <v>0</v>
      </c>
      <c r="H597" s="2"/>
      <c r="I597" s="4"/>
      <c r="J597" s="2"/>
      <c r="K597" s="29">
        <f>IF('RPT1'!$J597="","",'RPT1'!$J597)</f>
        <v>0</v>
      </c>
      <c r="L597" s="29">
        <f>IF('RPT2'!$J597="","",'RPT2'!$J597)</f>
        <v>0</v>
      </c>
      <c r="M597" s="29">
        <f>IF('RPT3'!$J597="","",'RPT3'!$J597)</f>
        <v>0</v>
      </c>
      <c r="N597" s="29">
        <f>IF('RPT4'!$J597="","",'RPT4'!$J597)</f>
        <v>0</v>
      </c>
    </row>
    <row r="598" spans="1:14" x14ac:dyDescent="0.35">
      <c r="A598" s="16" t="s">
        <v>582</v>
      </c>
      <c r="B598" s="2"/>
      <c r="C598" s="28">
        <f t="shared" si="34"/>
        <v>0</v>
      </c>
      <c r="D598" s="2"/>
      <c r="E598" s="4"/>
      <c r="F598" s="2"/>
      <c r="G598" s="28">
        <f t="shared" si="35"/>
        <v>0</v>
      </c>
      <c r="H598" s="2"/>
      <c r="I598" s="4"/>
      <c r="J598" s="2"/>
      <c r="K598" s="29">
        <f>IF('RPT1'!$J598="","",'RPT1'!$J598)</f>
        <v>0</v>
      </c>
      <c r="L598" s="29">
        <f>IF('RPT2'!$J598="","",'RPT2'!$J598)</f>
        <v>0</v>
      </c>
      <c r="M598" s="29">
        <f>IF('RPT3'!$J598="","",'RPT3'!$J598)</f>
        <v>0</v>
      </c>
      <c r="N598" s="29">
        <f>IF('RPT4'!$J598="","",'RPT4'!$J598)</f>
        <v>0</v>
      </c>
    </row>
    <row r="599" spans="1:14" x14ac:dyDescent="0.35">
      <c r="A599" s="16" t="s">
        <v>583</v>
      </c>
      <c r="B599" s="2"/>
      <c r="C599" s="28">
        <f t="shared" si="34"/>
        <v>0</v>
      </c>
      <c r="D599" s="2"/>
      <c r="E599" s="4"/>
      <c r="F599" s="2"/>
      <c r="G599" s="28">
        <f t="shared" si="35"/>
        <v>0</v>
      </c>
      <c r="H599" s="2"/>
      <c r="I599" s="4"/>
      <c r="J599" s="2"/>
      <c r="K599" s="29">
        <f>IF('RPT1'!$J599="","",'RPT1'!$J599)</f>
        <v>0</v>
      </c>
      <c r="L599" s="29">
        <f>IF('RPT2'!$J599="","",'RPT2'!$J599)</f>
        <v>0</v>
      </c>
      <c r="M599" s="29">
        <f>IF('RPT3'!$J599="","",'RPT3'!$J599)</f>
        <v>0</v>
      </c>
      <c r="N599" s="29">
        <f>IF('RPT4'!$J599="","",'RPT4'!$J599)</f>
        <v>0</v>
      </c>
    </row>
    <row r="600" spans="1:14" x14ac:dyDescent="0.35">
      <c r="A600" s="16" t="s">
        <v>584</v>
      </c>
      <c r="B600" s="2"/>
      <c r="C600" s="28">
        <f t="shared" si="34"/>
        <v>0</v>
      </c>
      <c r="D600" s="2"/>
      <c r="E600" s="4"/>
      <c r="F600" s="2"/>
      <c r="G600" s="28">
        <f t="shared" si="35"/>
        <v>0</v>
      </c>
      <c r="H600" s="2"/>
      <c r="I600" s="4"/>
      <c r="J600" s="2"/>
      <c r="K600" s="29">
        <f>IF('RPT1'!$J600="","",'RPT1'!$J600)</f>
        <v>0</v>
      </c>
      <c r="L600" s="29">
        <f>IF('RPT2'!$J600="","",'RPT2'!$J600)</f>
        <v>0</v>
      </c>
      <c r="M600" s="29">
        <f>IF('RPT3'!$J600="","",'RPT3'!$J600)</f>
        <v>0</v>
      </c>
      <c r="N600" s="29">
        <f>IF('RPT4'!$J600="","",'RPT4'!$J600)</f>
        <v>0</v>
      </c>
    </row>
    <row r="601" spans="1:14" x14ac:dyDescent="0.35">
      <c r="A601" s="16" t="s">
        <v>585</v>
      </c>
      <c r="B601" s="2"/>
      <c r="C601" s="28">
        <f t="shared" si="34"/>
        <v>0</v>
      </c>
      <c r="D601" s="2"/>
      <c r="E601" s="4"/>
      <c r="F601" s="2"/>
      <c r="G601" s="28">
        <f t="shared" si="35"/>
        <v>0</v>
      </c>
      <c r="H601" s="2"/>
      <c r="I601" s="4"/>
      <c r="J601" s="2"/>
      <c r="K601" s="29">
        <f>IF('RPT1'!$J601="","",'RPT1'!$J601)</f>
        <v>0</v>
      </c>
      <c r="L601" s="29">
        <f>IF('RPT2'!$J601="","",'RPT2'!$J601)</f>
        <v>0</v>
      </c>
      <c r="M601" s="29">
        <f>IF('RPT3'!$J601="","",'RPT3'!$J601)</f>
        <v>0</v>
      </c>
      <c r="N601" s="29">
        <f>IF('RPT4'!$J601="","",'RPT4'!$J601)</f>
        <v>0</v>
      </c>
    </row>
    <row r="602" spans="1:14" x14ac:dyDescent="0.35">
      <c r="A602" s="16" t="s">
        <v>586</v>
      </c>
      <c r="B602" s="2"/>
      <c r="C602" s="28">
        <f t="shared" si="34"/>
        <v>0</v>
      </c>
      <c r="D602" s="2"/>
      <c r="E602" s="4"/>
      <c r="F602" s="2"/>
      <c r="G602" s="28">
        <f t="shared" si="35"/>
        <v>0</v>
      </c>
      <c r="H602" s="2"/>
      <c r="I602" s="4"/>
      <c r="J602" s="2"/>
      <c r="K602" s="29">
        <f>IF('RPT1'!$J602="","",'RPT1'!$J602)</f>
        <v>0</v>
      </c>
      <c r="L602" s="29">
        <f>IF('RPT2'!$J602="","",'RPT2'!$J602)</f>
        <v>0</v>
      </c>
      <c r="M602" s="29">
        <f>IF('RPT3'!$J602="","",'RPT3'!$J602)</f>
        <v>0</v>
      </c>
      <c r="N602" s="29">
        <f>IF('RPT4'!$J602="","",'RPT4'!$J602)</f>
        <v>0</v>
      </c>
    </row>
    <row r="603" spans="1:14" x14ac:dyDescent="0.35">
      <c r="A603" s="16" t="s">
        <v>587</v>
      </c>
      <c r="B603" s="2"/>
      <c r="C603" s="28">
        <f t="shared" si="34"/>
        <v>0</v>
      </c>
      <c r="D603" s="2"/>
      <c r="E603" s="4"/>
      <c r="F603" s="2"/>
      <c r="G603" s="28">
        <f t="shared" si="35"/>
        <v>0</v>
      </c>
      <c r="H603" s="2"/>
      <c r="I603" s="4"/>
      <c r="J603" s="2"/>
      <c r="K603" s="29">
        <f>IF('RPT1'!$J603="","",'RPT1'!$J603)</f>
        <v>0</v>
      </c>
      <c r="L603" s="29">
        <f>IF('RPT2'!$J603="","",'RPT2'!$J603)</f>
        <v>0</v>
      </c>
      <c r="M603" s="29">
        <f>IF('RPT3'!$J603="","",'RPT3'!$J603)</f>
        <v>0</v>
      </c>
      <c r="N603" s="29">
        <f>IF('RPT4'!$J603="","",'RPT4'!$J603)</f>
        <v>0</v>
      </c>
    </row>
    <row r="604" spans="1:14" x14ac:dyDescent="0.35">
      <c r="A604" s="16" t="s">
        <v>588</v>
      </c>
      <c r="B604" s="2"/>
      <c r="C604" s="28">
        <f t="shared" si="34"/>
        <v>0</v>
      </c>
      <c r="D604" s="2"/>
      <c r="E604" s="4"/>
      <c r="F604" s="2"/>
      <c r="G604" s="28">
        <f t="shared" si="35"/>
        <v>0</v>
      </c>
      <c r="H604" s="2"/>
      <c r="I604" s="4"/>
      <c r="J604" s="2"/>
      <c r="K604" s="29">
        <f>IF('RPT1'!$J604="","",'RPT1'!$J604)</f>
        <v>0</v>
      </c>
      <c r="L604" s="29">
        <f>IF('RPT2'!$J604="","",'RPT2'!$J604)</f>
        <v>0</v>
      </c>
      <c r="M604" s="29">
        <f>IF('RPT3'!$J604="","",'RPT3'!$J604)</f>
        <v>0</v>
      </c>
      <c r="N604" s="29">
        <f>IF('RPT4'!$J604="","",'RPT4'!$J604)</f>
        <v>0</v>
      </c>
    </row>
    <row r="605" spans="1:14" x14ac:dyDescent="0.35">
      <c r="A605" s="16" t="s">
        <v>589</v>
      </c>
      <c r="B605" s="2"/>
      <c r="C605" s="28">
        <f t="shared" si="34"/>
        <v>0</v>
      </c>
      <c r="D605" s="2"/>
      <c r="E605" s="4"/>
      <c r="F605" s="2"/>
      <c r="G605" s="28">
        <f t="shared" si="35"/>
        <v>0</v>
      </c>
      <c r="H605" s="2"/>
      <c r="I605" s="4"/>
      <c r="J605" s="2"/>
      <c r="K605" s="29">
        <f>IF('RPT1'!$J605="","",'RPT1'!$J605)</f>
        <v>0</v>
      </c>
      <c r="L605" s="29">
        <f>IF('RPT2'!$J605="","",'RPT2'!$J605)</f>
        <v>0</v>
      </c>
      <c r="M605" s="29">
        <f>IF('RPT3'!$J605="","",'RPT3'!$J605)</f>
        <v>0</v>
      </c>
      <c r="N605" s="29">
        <f>IF('RPT4'!$J605="","",'RPT4'!$J605)</f>
        <v>0</v>
      </c>
    </row>
    <row r="606" spans="1:14" x14ac:dyDescent="0.35">
      <c r="A606" s="16" t="s">
        <v>590</v>
      </c>
      <c r="B606" s="2"/>
      <c r="C606" s="28">
        <f t="shared" si="34"/>
        <v>0</v>
      </c>
      <c r="D606" s="2"/>
      <c r="E606" s="4"/>
      <c r="F606" s="2"/>
      <c r="G606" s="28">
        <f t="shared" si="35"/>
        <v>0</v>
      </c>
      <c r="H606" s="2"/>
      <c r="I606" s="4"/>
      <c r="J606" s="2"/>
      <c r="K606" s="29">
        <f>IF('RPT1'!$J606="","",'RPT1'!$J606)</f>
        <v>0</v>
      </c>
      <c r="L606" s="29">
        <f>IF('RPT2'!$J606="","",'RPT2'!$J606)</f>
        <v>0</v>
      </c>
      <c r="M606" s="29">
        <f>IF('RPT3'!$J606="","",'RPT3'!$J606)</f>
        <v>0</v>
      </c>
      <c r="N606" s="29">
        <f>IF('RPT4'!$J606="","",'RPT4'!$J606)</f>
        <v>0</v>
      </c>
    </row>
    <row r="607" spans="1:14" x14ac:dyDescent="0.35">
      <c r="A607" s="16" t="s">
        <v>591</v>
      </c>
      <c r="B607" s="2"/>
      <c r="C607" s="28">
        <f t="shared" si="34"/>
        <v>0</v>
      </c>
      <c r="D607" s="2"/>
      <c r="E607" s="4"/>
      <c r="F607" s="2"/>
      <c r="G607" s="28">
        <f t="shared" si="35"/>
        <v>0</v>
      </c>
      <c r="H607" s="2"/>
      <c r="I607" s="4"/>
      <c r="J607" s="2"/>
      <c r="K607" s="29">
        <f>IF('RPT1'!$J607="","",'RPT1'!$J607)</f>
        <v>0</v>
      </c>
      <c r="L607" s="29">
        <f>IF('RPT2'!$J607="","",'RPT2'!$J607)</f>
        <v>0</v>
      </c>
      <c r="M607" s="29">
        <f>IF('RPT3'!$J607="","",'RPT3'!$J607)</f>
        <v>0</v>
      </c>
      <c r="N607" s="29">
        <f>IF('RPT4'!$J607="","",'RPT4'!$J607)</f>
        <v>0</v>
      </c>
    </row>
    <row r="608" spans="1:14" x14ac:dyDescent="0.35">
      <c r="A608" s="16" t="s">
        <v>592</v>
      </c>
      <c r="B608" s="2"/>
      <c r="C608" s="28">
        <f t="shared" si="34"/>
        <v>0</v>
      </c>
      <c r="D608" s="2"/>
      <c r="E608" s="4"/>
      <c r="F608" s="2"/>
      <c r="G608" s="28">
        <f t="shared" si="35"/>
        <v>0</v>
      </c>
      <c r="H608" s="2"/>
      <c r="I608" s="4"/>
      <c r="J608" s="2"/>
      <c r="K608" s="29">
        <f>IF('RPT1'!$J608="","",'RPT1'!$J608)</f>
        <v>0</v>
      </c>
      <c r="L608" s="29">
        <f>IF('RPT2'!$J608="","",'RPT2'!$J608)</f>
        <v>0</v>
      </c>
      <c r="M608" s="29">
        <f>IF('RPT3'!$J608="","",'RPT3'!$J608)</f>
        <v>0</v>
      </c>
      <c r="N608" s="29">
        <f>IF('RPT4'!$J608="","",'RPT4'!$J608)</f>
        <v>0</v>
      </c>
    </row>
    <row r="609" spans="1:14" x14ac:dyDescent="0.35">
      <c r="A609" s="16" t="s">
        <v>593</v>
      </c>
      <c r="B609" s="2"/>
      <c r="C609" s="28">
        <f t="shared" si="34"/>
        <v>0</v>
      </c>
      <c r="D609" s="2"/>
      <c r="E609" s="4"/>
      <c r="F609" s="2"/>
      <c r="G609" s="28">
        <f t="shared" si="35"/>
        <v>0</v>
      </c>
      <c r="H609" s="2"/>
      <c r="I609" s="4"/>
      <c r="J609" s="2"/>
      <c r="K609" s="29">
        <f>IF('RPT1'!$J609="","",'RPT1'!$J609)</f>
        <v>0</v>
      </c>
      <c r="L609" s="29">
        <f>IF('RPT2'!$J609="","",'RPT2'!$J609)</f>
        <v>0</v>
      </c>
      <c r="M609" s="29">
        <f>IF('RPT3'!$J609="","",'RPT3'!$J609)</f>
        <v>0</v>
      </c>
      <c r="N609" s="29">
        <f>IF('RPT4'!$J609="","",'RPT4'!$J609)</f>
        <v>0</v>
      </c>
    </row>
    <row r="610" spans="1:14" x14ac:dyDescent="0.35">
      <c r="A610" s="16" t="s">
        <v>594</v>
      </c>
      <c r="B610" s="2"/>
      <c r="C610" s="28">
        <f t="shared" si="34"/>
        <v>0</v>
      </c>
      <c r="D610" s="2"/>
      <c r="E610" s="4"/>
      <c r="F610" s="2"/>
      <c r="G610" s="28">
        <f t="shared" si="35"/>
        <v>0</v>
      </c>
      <c r="H610" s="2"/>
      <c r="I610" s="4"/>
      <c r="J610" s="2"/>
      <c r="K610" s="29">
        <f>IF('RPT1'!$J610="","",'RPT1'!$J610)</f>
        <v>0</v>
      </c>
      <c r="L610" s="29">
        <f>IF('RPT2'!$J610="","",'RPT2'!$J610)</f>
        <v>0</v>
      </c>
      <c r="M610" s="29">
        <f>IF('RPT3'!$J610="","",'RPT3'!$J610)</f>
        <v>0</v>
      </c>
      <c r="N610" s="29">
        <f>IF('RPT4'!$J610="","",'RPT4'!$J610)</f>
        <v>0</v>
      </c>
    </row>
    <row r="611" spans="1:14" x14ac:dyDescent="0.35">
      <c r="A611" s="16" t="s">
        <v>595</v>
      </c>
      <c r="B611" s="2"/>
      <c r="C611" s="28">
        <f t="shared" si="34"/>
        <v>0</v>
      </c>
      <c r="D611" s="2"/>
      <c r="E611" s="4"/>
      <c r="F611" s="2"/>
      <c r="G611" s="28">
        <f t="shared" si="35"/>
        <v>0</v>
      </c>
      <c r="H611" s="2"/>
      <c r="I611" s="4"/>
      <c r="J611" s="2"/>
      <c r="K611" s="29">
        <f>IF('RPT1'!$J611="","",'RPT1'!$J611)</f>
        <v>0</v>
      </c>
      <c r="L611" s="29">
        <f>IF('RPT2'!$J611="","",'RPT2'!$J611)</f>
        <v>0</v>
      </c>
      <c r="M611" s="29">
        <f>IF('RPT3'!$J611="","",'RPT3'!$J611)</f>
        <v>0</v>
      </c>
      <c r="N611" s="29">
        <f>IF('RPT4'!$J611="","",'RPT4'!$J611)</f>
        <v>0</v>
      </c>
    </row>
    <row r="612" spans="1:14" x14ac:dyDescent="0.35">
      <c r="A612" s="16" t="s">
        <v>596</v>
      </c>
      <c r="B612" s="2"/>
      <c r="C612" s="28">
        <f t="shared" si="34"/>
        <v>0</v>
      </c>
      <c r="D612" s="2"/>
      <c r="E612" s="4"/>
      <c r="F612" s="2"/>
      <c r="G612" s="28">
        <f t="shared" si="35"/>
        <v>0</v>
      </c>
      <c r="H612" s="2"/>
      <c r="I612" s="4"/>
      <c r="J612" s="2"/>
      <c r="K612" s="29">
        <f>IF('RPT1'!$J612="","",'RPT1'!$J612)</f>
        <v>0</v>
      </c>
      <c r="L612" s="29">
        <f>IF('RPT2'!$J612="","",'RPT2'!$J612)</f>
        <v>0</v>
      </c>
      <c r="M612" s="29">
        <f>IF('RPT3'!$J612="","",'RPT3'!$J612)</f>
        <v>0</v>
      </c>
      <c r="N612" s="29">
        <f>IF('RPT4'!$J612="","",'RPT4'!$J612)</f>
        <v>0</v>
      </c>
    </row>
    <row r="613" spans="1:14" x14ac:dyDescent="0.35">
      <c r="A613" s="16" t="s">
        <v>597</v>
      </c>
      <c r="B613" s="2"/>
      <c r="C613" s="28">
        <f t="shared" si="34"/>
        <v>0</v>
      </c>
      <c r="D613" s="2"/>
      <c r="E613" s="4"/>
      <c r="F613" s="2"/>
      <c r="G613" s="28">
        <f t="shared" si="35"/>
        <v>0</v>
      </c>
      <c r="H613" s="2"/>
      <c r="I613" s="4"/>
      <c r="J613" s="2"/>
      <c r="K613" s="29">
        <f>IF('RPT1'!$J613="","",'RPT1'!$J613)</f>
        <v>0</v>
      </c>
      <c r="L613" s="29">
        <f>IF('RPT2'!$J613="","",'RPT2'!$J613)</f>
        <v>0</v>
      </c>
      <c r="M613" s="29">
        <f>IF('RPT3'!$J613="","",'RPT3'!$J613)</f>
        <v>0</v>
      </c>
      <c r="N613" s="29">
        <f>IF('RPT4'!$J613="","",'RPT4'!$J613)</f>
        <v>0</v>
      </c>
    </row>
    <row r="614" spans="1:14" x14ac:dyDescent="0.35">
      <c r="A614" s="16" t="s">
        <v>598</v>
      </c>
      <c r="B614" s="2"/>
      <c r="C614" s="28">
        <f t="shared" si="34"/>
        <v>0</v>
      </c>
      <c r="D614" s="2"/>
      <c r="E614" s="4"/>
      <c r="F614" s="2"/>
      <c r="G614" s="28">
        <f t="shared" si="35"/>
        <v>0</v>
      </c>
      <c r="H614" s="2"/>
      <c r="I614" s="4"/>
      <c r="J614" s="2"/>
      <c r="K614" s="29">
        <f>IF('RPT1'!$J614="","",'RPT1'!$J614)</f>
        <v>0</v>
      </c>
      <c r="L614" s="29">
        <f>IF('RPT2'!$J614="","",'RPT2'!$J614)</f>
        <v>0</v>
      </c>
      <c r="M614" s="29">
        <f>IF('RPT3'!$J614="","",'RPT3'!$J614)</f>
        <v>0</v>
      </c>
      <c r="N614" s="29">
        <f>IF('RPT4'!$J614="","",'RPT4'!$J614)</f>
        <v>0</v>
      </c>
    </row>
    <row r="615" spans="1:14" x14ac:dyDescent="0.35">
      <c r="A615" s="16" t="s">
        <v>599</v>
      </c>
      <c r="B615" s="2"/>
      <c r="C615" s="28">
        <f t="shared" si="34"/>
        <v>0</v>
      </c>
      <c r="D615" s="2"/>
      <c r="E615" s="4"/>
      <c r="F615" s="2"/>
      <c r="G615" s="28">
        <f t="shared" si="35"/>
        <v>0</v>
      </c>
      <c r="H615" s="2"/>
      <c r="I615" s="4"/>
      <c r="J615" s="2"/>
      <c r="K615" s="29">
        <f>IF('RPT1'!$J615="","",'RPT1'!$J615)</f>
        <v>0</v>
      </c>
      <c r="L615" s="29">
        <f>IF('RPT2'!$J615="","",'RPT2'!$J615)</f>
        <v>0</v>
      </c>
      <c r="M615" s="29">
        <f>IF('RPT3'!$J615="","",'RPT3'!$J615)</f>
        <v>0</v>
      </c>
      <c r="N615" s="29">
        <f>IF('RPT4'!$J615="","",'RPT4'!$J615)</f>
        <v>0</v>
      </c>
    </row>
    <row r="616" spans="1:14" x14ac:dyDescent="0.35">
      <c r="A616" s="16" t="s">
        <v>600</v>
      </c>
      <c r="B616" s="2"/>
      <c r="C616" s="28">
        <f t="shared" si="34"/>
        <v>0</v>
      </c>
      <c r="D616" s="2"/>
      <c r="E616" s="4"/>
      <c r="F616" s="2"/>
      <c r="G616" s="28">
        <f t="shared" si="35"/>
        <v>0</v>
      </c>
      <c r="H616" s="2"/>
      <c r="I616" s="4"/>
      <c r="J616" s="2"/>
      <c r="K616" s="29">
        <f>IF('RPT1'!$J616="","",'RPT1'!$J616)</f>
        <v>0</v>
      </c>
      <c r="L616" s="29">
        <f>IF('RPT2'!$J616="","",'RPT2'!$J616)</f>
        <v>0</v>
      </c>
      <c r="M616" s="29">
        <f>IF('RPT3'!$J616="","",'RPT3'!$J616)</f>
        <v>0</v>
      </c>
      <c r="N616" s="29">
        <f>IF('RPT4'!$J616="","",'RPT4'!$J616)</f>
        <v>0</v>
      </c>
    </row>
    <row r="617" spans="1:14" x14ac:dyDescent="0.35">
      <c r="A617" s="16" t="s">
        <v>601</v>
      </c>
      <c r="B617" s="2"/>
      <c r="C617" s="28">
        <f t="shared" si="34"/>
        <v>0</v>
      </c>
      <c r="D617" s="2"/>
      <c r="E617" s="4"/>
      <c r="F617" s="2"/>
      <c r="G617" s="28">
        <f t="shared" si="35"/>
        <v>0</v>
      </c>
      <c r="H617" s="2"/>
      <c r="I617" s="4"/>
      <c r="J617" s="2"/>
      <c r="K617" s="29">
        <f>IF('RPT1'!$J617="","",'RPT1'!$J617)</f>
        <v>0</v>
      </c>
      <c r="L617" s="29">
        <f>IF('RPT2'!$J617="","",'RPT2'!$J617)</f>
        <v>0</v>
      </c>
      <c r="M617" s="29">
        <f>IF('RPT3'!$J617="","",'RPT3'!$J617)</f>
        <v>0</v>
      </c>
      <c r="N617" s="29">
        <f>IF('RPT4'!$J617="","",'RPT4'!$J617)</f>
        <v>0</v>
      </c>
    </row>
    <row r="618" spans="1:14" x14ac:dyDescent="0.35">
      <c r="A618" s="16" t="s">
        <v>602</v>
      </c>
      <c r="B618" s="2"/>
      <c r="C618" s="28">
        <f t="shared" si="34"/>
        <v>0</v>
      </c>
      <c r="D618" s="2"/>
      <c r="E618" s="4"/>
      <c r="F618" s="2"/>
      <c r="G618" s="28">
        <f t="shared" si="35"/>
        <v>0</v>
      </c>
      <c r="H618" s="2"/>
      <c r="I618" s="4"/>
      <c r="J618" s="2"/>
      <c r="K618" s="29">
        <f>IF('RPT1'!$J618="","",'RPT1'!$J618)</f>
        <v>0</v>
      </c>
      <c r="L618" s="29">
        <f>IF('RPT2'!$J618="","",'RPT2'!$J618)</f>
        <v>0</v>
      </c>
      <c r="M618" s="29">
        <f>IF('RPT3'!$J618="","",'RPT3'!$J618)</f>
        <v>0</v>
      </c>
      <c r="N618" s="29">
        <f>IF('RPT4'!$J618="","",'RPT4'!$J618)</f>
        <v>0</v>
      </c>
    </row>
    <row r="619" spans="1:14" x14ac:dyDescent="0.35">
      <c r="A619" s="16" t="s">
        <v>603</v>
      </c>
      <c r="B619" s="2"/>
      <c r="C619" s="28">
        <f t="shared" si="34"/>
        <v>0</v>
      </c>
      <c r="D619" s="2"/>
      <c r="E619" s="4"/>
      <c r="F619" s="2"/>
      <c r="G619" s="28">
        <f t="shared" si="35"/>
        <v>0</v>
      </c>
      <c r="H619" s="2"/>
      <c r="I619" s="4"/>
      <c r="J619" s="2"/>
      <c r="K619" s="29">
        <f>IF('RPT1'!$J619="","",'RPT1'!$J619)</f>
        <v>0</v>
      </c>
      <c r="L619" s="29">
        <f>IF('RPT2'!$J619="","",'RPT2'!$J619)</f>
        <v>0</v>
      </c>
      <c r="M619" s="29">
        <f>IF('RPT3'!$J619="","",'RPT3'!$J619)</f>
        <v>0</v>
      </c>
      <c r="N619" s="29">
        <f>IF('RPT4'!$J619="","",'RPT4'!$J619)</f>
        <v>0</v>
      </c>
    </row>
    <row r="620" spans="1:14" x14ac:dyDescent="0.35">
      <c r="A620" s="16" t="s">
        <v>604</v>
      </c>
      <c r="B620" s="2"/>
      <c r="C620" s="28">
        <f t="shared" si="34"/>
        <v>0</v>
      </c>
      <c r="D620" s="2"/>
      <c r="E620" s="4"/>
      <c r="F620" s="2"/>
      <c r="G620" s="28">
        <f t="shared" si="35"/>
        <v>0</v>
      </c>
      <c r="H620" s="2"/>
      <c r="I620" s="4"/>
      <c r="J620" s="2"/>
      <c r="K620" s="29">
        <f>IF('RPT1'!$J620="","",'RPT1'!$J620)</f>
        <v>0</v>
      </c>
      <c r="L620" s="29">
        <f>IF('RPT2'!$J620="","",'RPT2'!$J620)</f>
        <v>0</v>
      </c>
      <c r="M620" s="29">
        <f>IF('RPT3'!$J620="","",'RPT3'!$J620)</f>
        <v>0</v>
      </c>
      <c r="N620" s="29">
        <f>IF('RPT4'!$J620="","",'RPT4'!$J620)</f>
        <v>0</v>
      </c>
    </row>
    <row r="621" spans="1:14" x14ac:dyDescent="0.35">
      <c r="A621" s="16" t="s">
        <v>605</v>
      </c>
      <c r="B621" s="2"/>
      <c r="C621" s="28">
        <f t="shared" si="34"/>
        <v>0</v>
      </c>
      <c r="D621" s="2"/>
      <c r="E621" s="4"/>
      <c r="F621" s="2"/>
      <c r="G621" s="28">
        <f t="shared" si="35"/>
        <v>0</v>
      </c>
      <c r="H621" s="2"/>
      <c r="I621" s="4"/>
      <c r="J621" s="2"/>
      <c r="K621" s="29">
        <f>IF('RPT1'!$J621="","",'RPT1'!$J621)</f>
        <v>0</v>
      </c>
      <c r="L621" s="29">
        <f>IF('RPT2'!$J621="","",'RPT2'!$J621)</f>
        <v>0</v>
      </c>
      <c r="M621" s="29">
        <f>IF('RPT3'!$J621="","",'RPT3'!$J621)</f>
        <v>0</v>
      </c>
      <c r="N621" s="29">
        <f>IF('RPT4'!$J621="","",'RPT4'!$J621)</f>
        <v>0</v>
      </c>
    </row>
    <row r="622" spans="1:14" x14ac:dyDescent="0.35">
      <c r="A622" s="16" t="s">
        <v>606</v>
      </c>
      <c r="B622" s="2"/>
      <c r="C622" s="28">
        <f t="shared" si="34"/>
        <v>0</v>
      </c>
      <c r="D622" s="2"/>
      <c r="E622" s="4"/>
      <c r="F622" s="2"/>
      <c r="G622" s="28">
        <f t="shared" si="35"/>
        <v>0</v>
      </c>
      <c r="H622" s="2"/>
      <c r="I622" s="4"/>
      <c r="J622" s="2"/>
      <c r="K622" s="29">
        <f>IF('RPT1'!$J622="","",'RPT1'!$J622)</f>
        <v>0</v>
      </c>
      <c r="L622" s="29">
        <f>IF('RPT2'!$J622="","",'RPT2'!$J622)</f>
        <v>0</v>
      </c>
      <c r="M622" s="29">
        <f>IF('RPT3'!$J622="","",'RPT3'!$J622)</f>
        <v>0</v>
      </c>
      <c r="N622" s="29">
        <f>IF('RPT4'!$J622="","",'RPT4'!$J622)</f>
        <v>0</v>
      </c>
    </row>
    <row r="623" spans="1:14" x14ac:dyDescent="0.35">
      <c r="A623" s="16" t="s">
        <v>607</v>
      </c>
      <c r="B623" s="2"/>
      <c r="C623" s="28">
        <f t="shared" si="34"/>
        <v>0</v>
      </c>
      <c r="D623" s="2"/>
      <c r="E623" s="4"/>
      <c r="F623" s="2"/>
      <c r="G623" s="28">
        <f t="shared" si="35"/>
        <v>0</v>
      </c>
      <c r="H623" s="2"/>
      <c r="I623" s="4"/>
      <c r="J623" s="2"/>
      <c r="K623" s="29">
        <f>IF('RPT1'!$J623="","",'RPT1'!$J623)</f>
        <v>0</v>
      </c>
      <c r="L623" s="29">
        <f>IF('RPT2'!$J623="","",'RPT2'!$J623)</f>
        <v>0</v>
      </c>
      <c r="M623" s="29">
        <f>IF('RPT3'!$J623="","",'RPT3'!$J623)</f>
        <v>0</v>
      </c>
      <c r="N623" s="29">
        <f>IF('RPT4'!$J623="","",'RPT4'!$J623)</f>
        <v>0</v>
      </c>
    </row>
    <row r="624" spans="1:14" x14ac:dyDescent="0.35">
      <c r="A624" s="16" t="s">
        <v>608</v>
      </c>
      <c r="B624" s="2"/>
      <c r="C624" s="28">
        <f t="shared" si="34"/>
        <v>0</v>
      </c>
      <c r="D624" s="2"/>
      <c r="E624" s="4"/>
      <c r="F624" s="2"/>
      <c r="G624" s="28">
        <f t="shared" si="35"/>
        <v>0</v>
      </c>
      <c r="H624" s="2"/>
      <c r="I624" s="4"/>
      <c r="J624" s="2"/>
      <c r="K624" s="29">
        <f>IF('RPT1'!$J624="","",'RPT1'!$J624)</f>
        <v>0</v>
      </c>
      <c r="L624" s="29">
        <f>IF('RPT2'!$J624="","",'RPT2'!$J624)</f>
        <v>0</v>
      </c>
      <c r="M624" s="29">
        <f>IF('RPT3'!$J624="","",'RPT3'!$J624)</f>
        <v>0</v>
      </c>
      <c r="N624" s="29">
        <f>IF('RPT4'!$J624="","",'RPT4'!$J624)</f>
        <v>0</v>
      </c>
    </row>
    <row r="625" spans="1:14" x14ac:dyDescent="0.35">
      <c r="A625" s="16" t="s">
        <v>609</v>
      </c>
      <c r="B625" s="2"/>
      <c r="C625" s="28">
        <f t="shared" si="34"/>
        <v>0</v>
      </c>
      <c r="D625" s="2"/>
      <c r="E625" s="4"/>
      <c r="F625" s="2"/>
      <c r="G625" s="28">
        <f t="shared" si="35"/>
        <v>0</v>
      </c>
      <c r="H625" s="2"/>
      <c r="I625" s="4"/>
      <c r="J625" s="2"/>
      <c r="K625" s="29">
        <f>IF('RPT1'!$J625="","",'RPT1'!$J625)</f>
        <v>0</v>
      </c>
      <c r="L625" s="29">
        <f>IF('RPT2'!$J625="","",'RPT2'!$J625)</f>
        <v>0</v>
      </c>
      <c r="M625" s="29">
        <f>IF('RPT3'!$J625="","",'RPT3'!$J625)</f>
        <v>0</v>
      </c>
      <c r="N625" s="29">
        <f>IF('RPT4'!$J625="","",'RPT4'!$J625)</f>
        <v>0</v>
      </c>
    </row>
    <row r="626" spans="1:14" x14ac:dyDescent="0.35">
      <c r="A626" s="16" t="s">
        <v>610</v>
      </c>
      <c r="B626" s="2"/>
      <c r="C626" s="28">
        <f t="shared" si="34"/>
        <v>0</v>
      </c>
      <c r="D626" s="2"/>
      <c r="E626" s="4"/>
      <c r="F626" s="2"/>
      <c r="G626" s="28">
        <f t="shared" si="35"/>
        <v>0</v>
      </c>
      <c r="H626" s="2"/>
      <c r="I626" s="4"/>
      <c r="J626" s="2"/>
      <c r="K626" s="29">
        <f>IF('RPT1'!$J626="","",'RPT1'!$J626)</f>
        <v>0</v>
      </c>
      <c r="L626" s="29">
        <f>IF('RPT2'!$J626="","",'RPT2'!$J626)</f>
        <v>0</v>
      </c>
      <c r="M626" s="29">
        <f>IF('RPT3'!$J626="","",'RPT3'!$J626)</f>
        <v>0</v>
      </c>
      <c r="N626" s="29">
        <f>IF('RPT4'!$J626="","",'RPT4'!$J626)</f>
        <v>0</v>
      </c>
    </row>
    <row r="627" spans="1:14" x14ac:dyDescent="0.35">
      <c r="A627" s="16" t="s">
        <v>611</v>
      </c>
      <c r="B627" s="2"/>
      <c r="C627" s="28">
        <f t="shared" si="34"/>
        <v>0</v>
      </c>
      <c r="D627" s="2"/>
      <c r="E627" s="4"/>
      <c r="F627" s="2"/>
      <c r="G627" s="28">
        <f t="shared" si="35"/>
        <v>0</v>
      </c>
      <c r="H627" s="2"/>
      <c r="I627" s="4"/>
      <c r="J627" s="2"/>
      <c r="K627" s="29">
        <f>IF('RPT1'!$J627="","",'RPT1'!$J627)</f>
        <v>0</v>
      </c>
      <c r="L627" s="29">
        <f>IF('RPT2'!$J627="","",'RPT2'!$J627)</f>
        <v>0</v>
      </c>
      <c r="M627" s="29">
        <f>IF('RPT3'!$J627="","",'RPT3'!$J627)</f>
        <v>0</v>
      </c>
      <c r="N627" s="29">
        <f>IF('RPT4'!$J627="","",'RPT4'!$J627)</f>
        <v>0</v>
      </c>
    </row>
    <row r="628" spans="1:14" x14ac:dyDescent="0.35">
      <c r="A628" s="16" t="s">
        <v>612</v>
      </c>
      <c r="B628" s="2"/>
      <c r="C628" s="28">
        <f t="shared" si="34"/>
        <v>0</v>
      </c>
      <c r="D628" s="2"/>
      <c r="E628" s="4"/>
      <c r="F628" s="2"/>
      <c r="G628" s="28">
        <f t="shared" si="35"/>
        <v>0</v>
      </c>
      <c r="H628" s="2"/>
      <c r="I628" s="4"/>
      <c r="J628" s="2"/>
      <c r="K628" s="29">
        <f>IF('RPT1'!$J628="","",'RPT1'!$J628)</f>
        <v>0</v>
      </c>
      <c r="L628" s="29">
        <f>IF('RPT2'!$J628="","",'RPT2'!$J628)</f>
        <v>0</v>
      </c>
      <c r="M628" s="29">
        <f>IF('RPT3'!$J628="","",'RPT3'!$J628)</f>
        <v>0</v>
      </c>
      <c r="N628" s="29">
        <f>IF('RPT4'!$J628="","",'RPT4'!$J628)</f>
        <v>0</v>
      </c>
    </row>
    <row r="629" spans="1:14" x14ac:dyDescent="0.35">
      <c r="A629" s="16" t="s">
        <v>613</v>
      </c>
      <c r="B629" s="2"/>
      <c r="C629" s="28">
        <f t="shared" si="34"/>
        <v>0</v>
      </c>
      <c r="D629" s="2"/>
      <c r="E629" s="4"/>
      <c r="F629" s="2"/>
      <c r="G629" s="28">
        <f t="shared" si="35"/>
        <v>0</v>
      </c>
      <c r="H629" s="2"/>
      <c r="I629" s="4"/>
      <c r="J629" s="2"/>
      <c r="K629" s="29">
        <f>IF('RPT1'!$J629="","",'RPT1'!$J629)</f>
        <v>0</v>
      </c>
      <c r="L629" s="29">
        <f>IF('RPT2'!$J629="","",'RPT2'!$J629)</f>
        <v>0</v>
      </c>
      <c r="M629" s="29">
        <f>IF('RPT3'!$J629="","",'RPT3'!$J629)</f>
        <v>0</v>
      </c>
      <c r="N629" s="29">
        <f>IF('RPT4'!$J629="","",'RPT4'!$J629)</f>
        <v>0</v>
      </c>
    </row>
    <row r="630" spans="1:14" x14ac:dyDescent="0.35">
      <c r="A630" s="24"/>
      <c r="B630" s="2"/>
      <c r="C630" s="14"/>
      <c r="D630" s="2"/>
      <c r="E630" s="4"/>
      <c r="F630" s="2"/>
      <c r="G630" s="14"/>
      <c r="H630" s="2"/>
      <c r="I630" s="4"/>
      <c r="J630" s="2"/>
      <c r="K630" s="25"/>
      <c r="L630" s="25"/>
      <c r="M630" s="25"/>
      <c r="N630" s="25"/>
    </row>
    <row r="631" spans="1:14" x14ac:dyDescent="0.35">
      <c r="A631" s="12" t="s">
        <v>614</v>
      </c>
      <c r="B631" s="2"/>
      <c r="C631" s="14"/>
      <c r="D631" s="2"/>
      <c r="E631" s="4"/>
      <c r="F631" s="2"/>
      <c r="G631" s="14"/>
      <c r="H631" s="2"/>
      <c r="I631" s="4"/>
      <c r="J631" s="2"/>
      <c r="K631" s="25" t="str">
        <f>IF('RPT1'!$J631="","",'RPT1'!$J631)</f>
        <v/>
      </c>
      <c r="L631" s="25" t="str">
        <f>IF('RPT2'!$J631="","",'RPT2'!$J631)</f>
        <v/>
      </c>
      <c r="M631" s="25" t="str">
        <f>IF('RPT3'!$J631="","",'RPT3'!$J631)</f>
        <v/>
      </c>
      <c r="N631" s="25" t="str">
        <f>IF('RPT4'!$J631="","",'RPT4'!$J631)</f>
        <v/>
      </c>
    </row>
    <row r="632" spans="1:14" x14ac:dyDescent="0.35">
      <c r="A632" s="16" t="s">
        <v>615</v>
      </c>
      <c r="B632" s="2"/>
      <c r="C632" s="28">
        <f t="shared" ref="C632:C671" si="36">IF(Combine="Y", $G632, 0)</f>
        <v>0</v>
      </c>
      <c r="D632" s="2"/>
      <c r="E632" s="4"/>
      <c r="F632" s="2"/>
      <c r="G632" s="28">
        <f t="shared" ref="G632:G671" si="37">IF(G548=0,0,SUMPRODUCT($K548:$N548,$K632:$N632)/G548)</f>
        <v>0</v>
      </c>
      <c r="H632" s="2"/>
      <c r="I632" s="4"/>
      <c r="J632" s="2"/>
      <c r="K632" s="29">
        <f>IF('RPT1'!$J632="","",'RPT1'!$J632)</f>
        <v>0</v>
      </c>
      <c r="L632" s="29">
        <f>IF('RPT2'!$J632="","",'RPT2'!$J632)</f>
        <v>0</v>
      </c>
      <c r="M632" s="29">
        <f>IF('RPT3'!$J632="","",'RPT3'!$J632)</f>
        <v>0</v>
      </c>
      <c r="N632" s="29">
        <f>IF('RPT4'!$J632="","",'RPT4'!$J632)</f>
        <v>0</v>
      </c>
    </row>
    <row r="633" spans="1:14" x14ac:dyDescent="0.35">
      <c r="A633" s="16" t="s">
        <v>616</v>
      </c>
      <c r="B633" s="2"/>
      <c r="C633" s="28">
        <f t="shared" si="36"/>
        <v>0</v>
      </c>
      <c r="D633" s="2"/>
      <c r="E633" s="4"/>
      <c r="F633" s="2"/>
      <c r="G633" s="28">
        <f t="shared" si="37"/>
        <v>0</v>
      </c>
      <c r="H633" s="2"/>
      <c r="I633" s="4"/>
      <c r="J633" s="2"/>
      <c r="K633" s="29">
        <f>IF('RPT1'!$J633="","",'RPT1'!$J633)</f>
        <v>0</v>
      </c>
      <c r="L633" s="29">
        <f>IF('RPT2'!$J633="","",'RPT2'!$J633)</f>
        <v>0</v>
      </c>
      <c r="M633" s="29">
        <f>IF('RPT3'!$J633="","",'RPT3'!$J633)</f>
        <v>0</v>
      </c>
      <c r="N633" s="29">
        <f>IF('RPT4'!$J633="","",'RPT4'!$J633)</f>
        <v>0</v>
      </c>
    </row>
    <row r="634" spans="1:14" x14ac:dyDescent="0.35">
      <c r="A634" s="16" t="s">
        <v>617</v>
      </c>
      <c r="B634" s="2"/>
      <c r="C634" s="28">
        <f t="shared" si="36"/>
        <v>0</v>
      </c>
      <c r="D634" s="2"/>
      <c r="E634" s="4"/>
      <c r="F634" s="2"/>
      <c r="G634" s="28">
        <f t="shared" si="37"/>
        <v>0</v>
      </c>
      <c r="H634" s="2"/>
      <c r="I634" s="4"/>
      <c r="J634" s="2"/>
      <c r="K634" s="29">
        <f>IF('RPT1'!$J634="","",'RPT1'!$J634)</f>
        <v>0</v>
      </c>
      <c r="L634" s="29">
        <f>IF('RPT2'!$J634="","",'RPT2'!$J634)</f>
        <v>0</v>
      </c>
      <c r="M634" s="29">
        <f>IF('RPT3'!$J634="","",'RPT3'!$J634)</f>
        <v>0</v>
      </c>
      <c r="N634" s="29">
        <f>IF('RPT4'!$J634="","",'RPT4'!$J634)</f>
        <v>0</v>
      </c>
    </row>
    <row r="635" spans="1:14" x14ac:dyDescent="0.35">
      <c r="A635" s="16" t="s">
        <v>618</v>
      </c>
      <c r="B635" s="2"/>
      <c r="C635" s="28">
        <f t="shared" si="36"/>
        <v>0</v>
      </c>
      <c r="D635" s="2"/>
      <c r="E635" s="4"/>
      <c r="F635" s="2"/>
      <c r="G635" s="28">
        <f t="shared" si="37"/>
        <v>0</v>
      </c>
      <c r="H635" s="2"/>
      <c r="I635" s="4"/>
      <c r="J635" s="2"/>
      <c r="K635" s="29">
        <f>IF('RPT1'!$J635="","",'RPT1'!$J635)</f>
        <v>0</v>
      </c>
      <c r="L635" s="29">
        <f>IF('RPT2'!$J635="","",'RPT2'!$J635)</f>
        <v>0</v>
      </c>
      <c r="M635" s="29">
        <f>IF('RPT3'!$J635="","",'RPT3'!$J635)</f>
        <v>0</v>
      </c>
      <c r="N635" s="29">
        <f>IF('RPT4'!$J635="","",'RPT4'!$J635)</f>
        <v>0</v>
      </c>
    </row>
    <row r="636" spans="1:14" x14ac:dyDescent="0.35">
      <c r="A636" s="16" t="s">
        <v>619</v>
      </c>
      <c r="B636" s="2"/>
      <c r="C636" s="28">
        <f t="shared" si="36"/>
        <v>0</v>
      </c>
      <c r="D636" s="2"/>
      <c r="E636" s="4"/>
      <c r="F636" s="2"/>
      <c r="G636" s="28">
        <f t="shared" si="37"/>
        <v>0</v>
      </c>
      <c r="H636" s="2"/>
      <c r="I636" s="4"/>
      <c r="J636" s="2"/>
      <c r="K636" s="29">
        <f>IF('RPT1'!$J636="","",'RPT1'!$J636)</f>
        <v>0</v>
      </c>
      <c r="L636" s="29">
        <f>IF('RPT2'!$J636="","",'RPT2'!$J636)</f>
        <v>0</v>
      </c>
      <c r="M636" s="29">
        <f>IF('RPT3'!$J636="","",'RPT3'!$J636)</f>
        <v>0</v>
      </c>
      <c r="N636" s="29">
        <f>IF('RPT4'!$J636="","",'RPT4'!$J636)</f>
        <v>0</v>
      </c>
    </row>
    <row r="637" spans="1:14" x14ac:dyDescent="0.35">
      <c r="A637" s="16" t="s">
        <v>620</v>
      </c>
      <c r="B637" s="2"/>
      <c r="C637" s="28">
        <f t="shared" si="36"/>
        <v>0</v>
      </c>
      <c r="D637" s="2"/>
      <c r="E637" s="4"/>
      <c r="F637" s="2"/>
      <c r="G637" s="28">
        <f t="shared" si="37"/>
        <v>0</v>
      </c>
      <c r="H637" s="2"/>
      <c r="I637" s="4"/>
      <c r="J637" s="2"/>
      <c r="K637" s="29">
        <f>IF('RPT1'!$J637="","",'RPT1'!$J637)</f>
        <v>0</v>
      </c>
      <c r="L637" s="29">
        <f>IF('RPT2'!$J637="","",'RPT2'!$J637)</f>
        <v>0</v>
      </c>
      <c r="M637" s="29">
        <f>IF('RPT3'!$J637="","",'RPT3'!$J637)</f>
        <v>0</v>
      </c>
      <c r="N637" s="29">
        <f>IF('RPT4'!$J637="","",'RPT4'!$J637)</f>
        <v>0</v>
      </c>
    </row>
    <row r="638" spans="1:14" x14ac:dyDescent="0.35">
      <c r="A638" s="16" t="s">
        <v>621</v>
      </c>
      <c r="B638" s="2"/>
      <c r="C638" s="28">
        <f t="shared" si="36"/>
        <v>0</v>
      </c>
      <c r="D638" s="2"/>
      <c r="E638" s="4"/>
      <c r="F638" s="2"/>
      <c r="G638" s="28">
        <f t="shared" si="37"/>
        <v>0</v>
      </c>
      <c r="H638" s="2"/>
      <c r="I638" s="4"/>
      <c r="J638" s="2"/>
      <c r="K638" s="29">
        <f>IF('RPT1'!$J638="","",'RPT1'!$J638)</f>
        <v>0</v>
      </c>
      <c r="L638" s="29">
        <f>IF('RPT2'!$J638="","",'RPT2'!$J638)</f>
        <v>0</v>
      </c>
      <c r="M638" s="29">
        <f>IF('RPT3'!$J638="","",'RPT3'!$J638)</f>
        <v>0</v>
      </c>
      <c r="N638" s="29">
        <f>IF('RPT4'!$J638="","",'RPT4'!$J638)</f>
        <v>0</v>
      </c>
    </row>
    <row r="639" spans="1:14" x14ac:dyDescent="0.35">
      <c r="A639" s="16" t="s">
        <v>622</v>
      </c>
      <c r="B639" s="2"/>
      <c r="C639" s="28">
        <f t="shared" si="36"/>
        <v>0</v>
      </c>
      <c r="D639" s="2"/>
      <c r="E639" s="4"/>
      <c r="F639" s="2"/>
      <c r="G639" s="28">
        <f t="shared" si="37"/>
        <v>0</v>
      </c>
      <c r="H639" s="2"/>
      <c r="I639" s="4"/>
      <c r="J639" s="2"/>
      <c r="K639" s="29">
        <f>IF('RPT1'!$J639="","",'RPT1'!$J639)</f>
        <v>0</v>
      </c>
      <c r="L639" s="29">
        <f>IF('RPT2'!$J639="","",'RPT2'!$J639)</f>
        <v>0</v>
      </c>
      <c r="M639" s="29">
        <f>IF('RPT3'!$J639="","",'RPT3'!$J639)</f>
        <v>0</v>
      </c>
      <c r="N639" s="29">
        <f>IF('RPT4'!$J639="","",'RPT4'!$J639)</f>
        <v>0</v>
      </c>
    </row>
    <row r="640" spans="1:14" x14ac:dyDescent="0.35">
      <c r="A640" s="16" t="s">
        <v>623</v>
      </c>
      <c r="B640" s="2"/>
      <c r="C640" s="28">
        <f t="shared" si="36"/>
        <v>0</v>
      </c>
      <c r="D640" s="2"/>
      <c r="E640" s="4"/>
      <c r="F640" s="2"/>
      <c r="G640" s="28">
        <f t="shared" si="37"/>
        <v>0</v>
      </c>
      <c r="H640" s="2"/>
      <c r="I640" s="4"/>
      <c r="J640" s="2"/>
      <c r="K640" s="29">
        <f>IF('RPT1'!$J640="","",'RPT1'!$J640)</f>
        <v>0</v>
      </c>
      <c r="L640" s="29">
        <f>IF('RPT2'!$J640="","",'RPT2'!$J640)</f>
        <v>0</v>
      </c>
      <c r="M640" s="29">
        <f>IF('RPT3'!$J640="","",'RPT3'!$J640)</f>
        <v>0</v>
      </c>
      <c r="N640" s="29">
        <f>IF('RPT4'!$J640="","",'RPT4'!$J640)</f>
        <v>0</v>
      </c>
    </row>
    <row r="641" spans="1:14" x14ac:dyDescent="0.35">
      <c r="A641" s="16" t="s">
        <v>624</v>
      </c>
      <c r="B641" s="2"/>
      <c r="C641" s="28">
        <f t="shared" si="36"/>
        <v>0</v>
      </c>
      <c r="D641" s="2"/>
      <c r="E641" s="4"/>
      <c r="F641" s="2"/>
      <c r="G641" s="28">
        <f t="shared" si="37"/>
        <v>0</v>
      </c>
      <c r="H641" s="2"/>
      <c r="I641" s="4"/>
      <c r="J641" s="2"/>
      <c r="K641" s="29">
        <f>IF('RPT1'!$J641="","",'RPT1'!$J641)</f>
        <v>0</v>
      </c>
      <c r="L641" s="29">
        <f>IF('RPT2'!$J641="","",'RPT2'!$J641)</f>
        <v>0</v>
      </c>
      <c r="M641" s="29">
        <f>IF('RPT3'!$J641="","",'RPT3'!$J641)</f>
        <v>0</v>
      </c>
      <c r="N641" s="29">
        <f>IF('RPT4'!$J641="","",'RPT4'!$J641)</f>
        <v>0</v>
      </c>
    </row>
    <row r="642" spans="1:14" x14ac:dyDescent="0.35">
      <c r="A642" s="16" t="s">
        <v>625</v>
      </c>
      <c r="B642" s="2"/>
      <c r="C642" s="28">
        <f t="shared" si="36"/>
        <v>0</v>
      </c>
      <c r="D642" s="2"/>
      <c r="E642" s="4"/>
      <c r="F642" s="2"/>
      <c r="G642" s="28">
        <f t="shared" si="37"/>
        <v>0</v>
      </c>
      <c r="H642" s="2"/>
      <c r="I642" s="4"/>
      <c r="J642" s="2"/>
      <c r="K642" s="29">
        <f>IF('RPT1'!$J642="","",'RPT1'!$J642)</f>
        <v>0</v>
      </c>
      <c r="L642" s="29">
        <f>IF('RPT2'!$J642="","",'RPT2'!$J642)</f>
        <v>0</v>
      </c>
      <c r="M642" s="29">
        <f>IF('RPT3'!$J642="","",'RPT3'!$J642)</f>
        <v>0</v>
      </c>
      <c r="N642" s="29">
        <f>IF('RPT4'!$J642="","",'RPT4'!$J642)</f>
        <v>0</v>
      </c>
    </row>
    <row r="643" spans="1:14" x14ac:dyDescent="0.35">
      <c r="A643" s="16" t="s">
        <v>626</v>
      </c>
      <c r="B643" s="2"/>
      <c r="C643" s="28">
        <f t="shared" si="36"/>
        <v>0</v>
      </c>
      <c r="D643" s="2"/>
      <c r="E643" s="4"/>
      <c r="F643" s="2"/>
      <c r="G643" s="28">
        <f t="shared" si="37"/>
        <v>0</v>
      </c>
      <c r="H643" s="2"/>
      <c r="I643" s="4"/>
      <c r="J643" s="2"/>
      <c r="K643" s="29">
        <f>IF('RPT1'!$J643="","",'RPT1'!$J643)</f>
        <v>0</v>
      </c>
      <c r="L643" s="29">
        <f>IF('RPT2'!$J643="","",'RPT2'!$J643)</f>
        <v>0</v>
      </c>
      <c r="M643" s="29">
        <f>IF('RPT3'!$J643="","",'RPT3'!$J643)</f>
        <v>0</v>
      </c>
      <c r="N643" s="29">
        <f>IF('RPT4'!$J643="","",'RPT4'!$J643)</f>
        <v>0</v>
      </c>
    </row>
    <row r="644" spans="1:14" x14ac:dyDescent="0.35">
      <c r="A644" s="16" t="s">
        <v>627</v>
      </c>
      <c r="B644" s="2"/>
      <c r="C644" s="28">
        <f t="shared" si="36"/>
        <v>0</v>
      </c>
      <c r="D644" s="2"/>
      <c r="E644" s="4"/>
      <c r="F644" s="2"/>
      <c r="G644" s="28">
        <f t="shared" si="37"/>
        <v>0</v>
      </c>
      <c r="H644" s="2"/>
      <c r="I644" s="4"/>
      <c r="J644" s="2"/>
      <c r="K644" s="29">
        <f>IF('RPT1'!$J644="","",'RPT1'!$J644)</f>
        <v>0</v>
      </c>
      <c r="L644" s="29">
        <f>IF('RPT2'!$J644="","",'RPT2'!$J644)</f>
        <v>0</v>
      </c>
      <c r="M644" s="29">
        <f>IF('RPT3'!$J644="","",'RPT3'!$J644)</f>
        <v>0</v>
      </c>
      <c r="N644" s="29">
        <f>IF('RPT4'!$J644="","",'RPT4'!$J644)</f>
        <v>0</v>
      </c>
    </row>
    <row r="645" spans="1:14" x14ac:dyDescent="0.35">
      <c r="A645" s="16" t="s">
        <v>628</v>
      </c>
      <c r="B645" s="2"/>
      <c r="C645" s="28">
        <f t="shared" si="36"/>
        <v>0</v>
      </c>
      <c r="D645" s="2"/>
      <c r="E645" s="4"/>
      <c r="F645" s="2"/>
      <c r="G645" s="28">
        <f t="shared" si="37"/>
        <v>0</v>
      </c>
      <c r="H645" s="2"/>
      <c r="I645" s="4"/>
      <c r="J645" s="2"/>
      <c r="K645" s="29">
        <f>IF('RPT1'!$J645="","",'RPT1'!$J645)</f>
        <v>0</v>
      </c>
      <c r="L645" s="29">
        <f>IF('RPT2'!$J645="","",'RPT2'!$J645)</f>
        <v>0</v>
      </c>
      <c r="M645" s="29">
        <f>IF('RPT3'!$J645="","",'RPT3'!$J645)</f>
        <v>0</v>
      </c>
      <c r="N645" s="29">
        <f>IF('RPT4'!$J645="","",'RPT4'!$J645)</f>
        <v>0</v>
      </c>
    </row>
    <row r="646" spans="1:14" x14ac:dyDescent="0.35">
      <c r="A646" s="16" t="s">
        <v>629</v>
      </c>
      <c r="B646" s="2"/>
      <c r="C646" s="28">
        <f t="shared" si="36"/>
        <v>0</v>
      </c>
      <c r="D646" s="2"/>
      <c r="E646" s="4"/>
      <c r="F646" s="2"/>
      <c r="G646" s="28">
        <f t="shared" si="37"/>
        <v>0</v>
      </c>
      <c r="H646" s="2"/>
      <c r="I646" s="4"/>
      <c r="J646" s="2"/>
      <c r="K646" s="29">
        <f>IF('RPT1'!$J646="","",'RPT1'!$J646)</f>
        <v>0</v>
      </c>
      <c r="L646" s="29">
        <f>IF('RPT2'!$J646="","",'RPT2'!$J646)</f>
        <v>0</v>
      </c>
      <c r="M646" s="29">
        <f>IF('RPT3'!$J646="","",'RPT3'!$J646)</f>
        <v>0</v>
      </c>
      <c r="N646" s="29">
        <f>IF('RPT4'!$J646="","",'RPT4'!$J646)</f>
        <v>0</v>
      </c>
    </row>
    <row r="647" spans="1:14" x14ac:dyDescent="0.35">
      <c r="A647" s="16" t="s">
        <v>630</v>
      </c>
      <c r="B647" s="2"/>
      <c r="C647" s="28">
        <f t="shared" si="36"/>
        <v>0</v>
      </c>
      <c r="D647" s="2"/>
      <c r="E647" s="4"/>
      <c r="F647" s="2"/>
      <c r="G647" s="28">
        <f t="shared" si="37"/>
        <v>0</v>
      </c>
      <c r="H647" s="2"/>
      <c r="I647" s="4"/>
      <c r="J647" s="2"/>
      <c r="K647" s="29">
        <f>IF('RPT1'!$J647="","",'RPT1'!$J647)</f>
        <v>0</v>
      </c>
      <c r="L647" s="29">
        <f>IF('RPT2'!$J647="","",'RPT2'!$J647)</f>
        <v>0</v>
      </c>
      <c r="M647" s="29">
        <f>IF('RPT3'!$J647="","",'RPT3'!$J647)</f>
        <v>0</v>
      </c>
      <c r="N647" s="29">
        <f>IF('RPT4'!$J647="","",'RPT4'!$J647)</f>
        <v>0</v>
      </c>
    </row>
    <row r="648" spans="1:14" x14ac:dyDescent="0.35">
      <c r="A648" s="16" t="s">
        <v>631</v>
      </c>
      <c r="B648" s="2"/>
      <c r="C648" s="28">
        <f t="shared" si="36"/>
        <v>0</v>
      </c>
      <c r="D648" s="2"/>
      <c r="E648" s="4"/>
      <c r="F648" s="2"/>
      <c r="G648" s="28">
        <f t="shared" si="37"/>
        <v>0</v>
      </c>
      <c r="H648" s="2"/>
      <c r="I648" s="4"/>
      <c r="J648" s="2"/>
      <c r="K648" s="29">
        <f>IF('RPT1'!$J648="","",'RPT1'!$J648)</f>
        <v>0</v>
      </c>
      <c r="L648" s="29">
        <f>IF('RPT2'!$J648="","",'RPT2'!$J648)</f>
        <v>0</v>
      </c>
      <c r="M648" s="29">
        <f>IF('RPT3'!$J648="","",'RPT3'!$J648)</f>
        <v>0</v>
      </c>
      <c r="N648" s="29">
        <f>IF('RPT4'!$J648="","",'RPT4'!$J648)</f>
        <v>0</v>
      </c>
    </row>
    <row r="649" spans="1:14" x14ac:dyDescent="0.35">
      <c r="A649" s="16" t="s">
        <v>632</v>
      </c>
      <c r="B649" s="2"/>
      <c r="C649" s="28">
        <f t="shared" si="36"/>
        <v>0</v>
      </c>
      <c r="D649" s="2"/>
      <c r="E649" s="4"/>
      <c r="F649" s="2"/>
      <c r="G649" s="28">
        <f t="shared" si="37"/>
        <v>0</v>
      </c>
      <c r="H649" s="2"/>
      <c r="I649" s="4"/>
      <c r="J649" s="2"/>
      <c r="K649" s="29">
        <f>IF('RPT1'!$J649="","",'RPT1'!$J649)</f>
        <v>0</v>
      </c>
      <c r="L649" s="29">
        <f>IF('RPT2'!$J649="","",'RPT2'!$J649)</f>
        <v>0</v>
      </c>
      <c r="M649" s="29">
        <f>IF('RPT3'!$J649="","",'RPT3'!$J649)</f>
        <v>0</v>
      </c>
      <c r="N649" s="29">
        <f>IF('RPT4'!$J649="","",'RPT4'!$J649)</f>
        <v>0</v>
      </c>
    </row>
    <row r="650" spans="1:14" x14ac:dyDescent="0.35">
      <c r="A650" s="16" t="s">
        <v>633</v>
      </c>
      <c r="B650" s="2"/>
      <c r="C650" s="28">
        <f t="shared" si="36"/>
        <v>0</v>
      </c>
      <c r="D650" s="2"/>
      <c r="E650" s="4"/>
      <c r="F650" s="2"/>
      <c r="G650" s="28">
        <f t="shared" si="37"/>
        <v>0</v>
      </c>
      <c r="H650" s="2"/>
      <c r="I650" s="4"/>
      <c r="J650" s="2"/>
      <c r="K650" s="29">
        <f>IF('RPT1'!$J650="","",'RPT1'!$J650)</f>
        <v>0</v>
      </c>
      <c r="L650" s="29">
        <f>IF('RPT2'!$J650="","",'RPT2'!$J650)</f>
        <v>0</v>
      </c>
      <c r="M650" s="29">
        <f>IF('RPT3'!$J650="","",'RPT3'!$J650)</f>
        <v>0</v>
      </c>
      <c r="N650" s="29">
        <f>IF('RPT4'!$J650="","",'RPT4'!$J650)</f>
        <v>0</v>
      </c>
    </row>
    <row r="651" spans="1:14" x14ac:dyDescent="0.35">
      <c r="A651" s="16" t="s">
        <v>634</v>
      </c>
      <c r="B651" s="2"/>
      <c r="C651" s="28">
        <f t="shared" si="36"/>
        <v>0</v>
      </c>
      <c r="D651" s="2"/>
      <c r="E651" s="4"/>
      <c r="F651" s="2"/>
      <c r="G651" s="28">
        <f t="shared" si="37"/>
        <v>0</v>
      </c>
      <c r="H651" s="2"/>
      <c r="I651" s="4"/>
      <c r="J651" s="2"/>
      <c r="K651" s="29">
        <f>IF('RPT1'!$J651="","",'RPT1'!$J651)</f>
        <v>0</v>
      </c>
      <c r="L651" s="29">
        <f>IF('RPT2'!$J651="","",'RPT2'!$J651)</f>
        <v>0</v>
      </c>
      <c r="M651" s="29">
        <f>IF('RPT3'!$J651="","",'RPT3'!$J651)</f>
        <v>0</v>
      </c>
      <c r="N651" s="29">
        <f>IF('RPT4'!$J651="","",'RPT4'!$J651)</f>
        <v>0</v>
      </c>
    </row>
    <row r="652" spans="1:14" x14ac:dyDescent="0.35">
      <c r="A652" s="16" t="s">
        <v>635</v>
      </c>
      <c r="B652" s="2"/>
      <c r="C652" s="28">
        <f t="shared" si="36"/>
        <v>0</v>
      </c>
      <c r="D652" s="2"/>
      <c r="E652" s="4"/>
      <c r="F652" s="2"/>
      <c r="G652" s="28">
        <f t="shared" si="37"/>
        <v>0</v>
      </c>
      <c r="H652" s="2"/>
      <c r="I652" s="4"/>
      <c r="J652" s="2"/>
      <c r="K652" s="29">
        <f>IF('RPT1'!$J652="","",'RPT1'!$J652)</f>
        <v>0</v>
      </c>
      <c r="L652" s="29">
        <f>IF('RPT2'!$J652="","",'RPT2'!$J652)</f>
        <v>0</v>
      </c>
      <c r="M652" s="29">
        <f>IF('RPT3'!$J652="","",'RPT3'!$J652)</f>
        <v>0</v>
      </c>
      <c r="N652" s="29">
        <f>IF('RPT4'!$J652="","",'RPT4'!$J652)</f>
        <v>0</v>
      </c>
    </row>
    <row r="653" spans="1:14" x14ac:dyDescent="0.35">
      <c r="A653" s="16" t="s">
        <v>636</v>
      </c>
      <c r="B653" s="2"/>
      <c r="C653" s="28">
        <f t="shared" si="36"/>
        <v>0</v>
      </c>
      <c r="D653" s="2"/>
      <c r="E653" s="4"/>
      <c r="F653" s="2"/>
      <c r="G653" s="28">
        <f t="shared" si="37"/>
        <v>0</v>
      </c>
      <c r="H653" s="2"/>
      <c r="I653" s="4"/>
      <c r="J653" s="2"/>
      <c r="K653" s="29">
        <f>IF('RPT1'!$J653="","",'RPT1'!$J653)</f>
        <v>0</v>
      </c>
      <c r="L653" s="29">
        <f>IF('RPT2'!$J653="","",'RPT2'!$J653)</f>
        <v>0</v>
      </c>
      <c r="M653" s="29">
        <f>IF('RPT3'!$J653="","",'RPT3'!$J653)</f>
        <v>0</v>
      </c>
      <c r="N653" s="29">
        <f>IF('RPT4'!$J653="","",'RPT4'!$J653)</f>
        <v>0</v>
      </c>
    </row>
    <row r="654" spans="1:14" x14ac:dyDescent="0.35">
      <c r="A654" s="16" t="s">
        <v>637</v>
      </c>
      <c r="B654" s="2"/>
      <c r="C654" s="28">
        <f t="shared" si="36"/>
        <v>0</v>
      </c>
      <c r="D654" s="2"/>
      <c r="E654" s="4"/>
      <c r="F654" s="2"/>
      <c r="G654" s="28">
        <f t="shared" si="37"/>
        <v>0</v>
      </c>
      <c r="H654" s="2"/>
      <c r="I654" s="4"/>
      <c r="J654" s="2"/>
      <c r="K654" s="29">
        <f>IF('RPT1'!$J654="","",'RPT1'!$J654)</f>
        <v>0</v>
      </c>
      <c r="L654" s="29">
        <f>IF('RPT2'!$J654="","",'RPT2'!$J654)</f>
        <v>0</v>
      </c>
      <c r="M654" s="29">
        <f>IF('RPT3'!$J654="","",'RPT3'!$J654)</f>
        <v>0</v>
      </c>
      <c r="N654" s="29">
        <f>IF('RPT4'!$J654="","",'RPT4'!$J654)</f>
        <v>0</v>
      </c>
    </row>
    <row r="655" spans="1:14" x14ac:dyDescent="0.35">
      <c r="A655" s="16" t="s">
        <v>638</v>
      </c>
      <c r="B655" s="2"/>
      <c r="C655" s="28">
        <f t="shared" si="36"/>
        <v>0</v>
      </c>
      <c r="D655" s="2"/>
      <c r="E655" s="4"/>
      <c r="F655" s="2"/>
      <c r="G655" s="28">
        <f t="shared" si="37"/>
        <v>0</v>
      </c>
      <c r="H655" s="2"/>
      <c r="I655" s="4"/>
      <c r="J655" s="2"/>
      <c r="K655" s="29">
        <f>IF('RPT1'!$J655="","",'RPT1'!$J655)</f>
        <v>0</v>
      </c>
      <c r="L655" s="29">
        <f>IF('RPT2'!$J655="","",'RPT2'!$J655)</f>
        <v>0</v>
      </c>
      <c r="M655" s="29">
        <f>IF('RPT3'!$J655="","",'RPT3'!$J655)</f>
        <v>0</v>
      </c>
      <c r="N655" s="29">
        <f>IF('RPT4'!$J655="","",'RPT4'!$J655)</f>
        <v>0</v>
      </c>
    </row>
    <row r="656" spans="1:14" x14ac:dyDescent="0.35">
      <c r="A656" s="16" t="s">
        <v>639</v>
      </c>
      <c r="B656" s="2"/>
      <c r="C656" s="28">
        <f t="shared" si="36"/>
        <v>0</v>
      </c>
      <c r="D656" s="2"/>
      <c r="E656" s="4"/>
      <c r="F656" s="2"/>
      <c r="G656" s="28">
        <f t="shared" si="37"/>
        <v>0</v>
      </c>
      <c r="H656" s="2"/>
      <c r="I656" s="4"/>
      <c r="J656" s="2"/>
      <c r="K656" s="29">
        <f>IF('RPT1'!$J656="","",'RPT1'!$J656)</f>
        <v>0</v>
      </c>
      <c r="L656" s="29">
        <f>IF('RPT2'!$J656="","",'RPT2'!$J656)</f>
        <v>0</v>
      </c>
      <c r="M656" s="29">
        <f>IF('RPT3'!$J656="","",'RPT3'!$J656)</f>
        <v>0</v>
      </c>
      <c r="N656" s="29">
        <f>IF('RPT4'!$J656="","",'RPT4'!$J656)</f>
        <v>0</v>
      </c>
    </row>
    <row r="657" spans="1:14" x14ac:dyDescent="0.35">
      <c r="A657" s="16" t="s">
        <v>640</v>
      </c>
      <c r="B657" s="2"/>
      <c r="C657" s="28">
        <f t="shared" si="36"/>
        <v>0</v>
      </c>
      <c r="D657" s="2"/>
      <c r="E657" s="4"/>
      <c r="F657" s="2"/>
      <c r="G657" s="28">
        <f t="shared" si="37"/>
        <v>0</v>
      </c>
      <c r="H657" s="2"/>
      <c r="I657" s="4"/>
      <c r="J657" s="2"/>
      <c r="K657" s="29">
        <f>IF('RPT1'!$J657="","",'RPT1'!$J657)</f>
        <v>0</v>
      </c>
      <c r="L657" s="29">
        <f>IF('RPT2'!$J657="","",'RPT2'!$J657)</f>
        <v>0</v>
      </c>
      <c r="M657" s="29">
        <f>IF('RPT3'!$J657="","",'RPT3'!$J657)</f>
        <v>0</v>
      </c>
      <c r="N657" s="29">
        <f>IF('RPT4'!$J657="","",'RPT4'!$J657)</f>
        <v>0</v>
      </c>
    </row>
    <row r="658" spans="1:14" x14ac:dyDescent="0.35">
      <c r="A658" s="16" t="s">
        <v>641</v>
      </c>
      <c r="B658" s="2"/>
      <c r="C658" s="28">
        <f t="shared" si="36"/>
        <v>0</v>
      </c>
      <c r="D658" s="2"/>
      <c r="E658" s="4"/>
      <c r="F658" s="2"/>
      <c r="G658" s="28">
        <f t="shared" si="37"/>
        <v>0</v>
      </c>
      <c r="H658" s="2"/>
      <c r="I658" s="4"/>
      <c r="J658" s="2"/>
      <c r="K658" s="29">
        <f>IF('RPT1'!$J658="","",'RPT1'!$J658)</f>
        <v>0</v>
      </c>
      <c r="L658" s="29">
        <f>IF('RPT2'!$J658="","",'RPT2'!$J658)</f>
        <v>0</v>
      </c>
      <c r="M658" s="29">
        <f>IF('RPT3'!$J658="","",'RPT3'!$J658)</f>
        <v>0</v>
      </c>
      <c r="N658" s="29">
        <f>IF('RPT4'!$J658="","",'RPT4'!$J658)</f>
        <v>0</v>
      </c>
    </row>
    <row r="659" spans="1:14" x14ac:dyDescent="0.35">
      <c r="A659" s="16" t="s">
        <v>642</v>
      </c>
      <c r="B659" s="2"/>
      <c r="C659" s="28">
        <f t="shared" si="36"/>
        <v>0</v>
      </c>
      <c r="D659" s="2"/>
      <c r="E659" s="4"/>
      <c r="F659" s="2"/>
      <c r="G659" s="28">
        <f t="shared" si="37"/>
        <v>0</v>
      </c>
      <c r="H659" s="2"/>
      <c r="I659" s="4"/>
      <c r="J659" s="2"/>
      <c r="K659" s="29">
        <f>IF('RPT1'!$J659="","",'RPT1'!$J659)</f>
        <v>0</v>
      </c>
      <c r="L659" s="29">
        <f>IF('RPT2'!$J659="","",'RPT2'!$J659)</f>
        <v>0</v>
      </c>
      <c r="M659" s="29">
        <f>IF('RPT3'!$J659="","",'RPT3'!$J659)</f>
        <v>0</v>
      </c>
      <c r="N659" s="29">
        <f>IF('RPT4'!$J659="","",'RPT4'!$J659)</f>
        <v>0</v>
      </c>
    </row>
    <row r="660" spans="1:14" x14ac:dyDescent="0.35">
      <c r="A660" s="16" t="s">
        <v>643</v>
      </c>
      <c r="B660" s="2"/>
      <c r="C660" s="28">
        <f t="shared" si="36"/>
        <v>0</v>
      </c>
      <c r="D660" s="2"/>
      <c r="E660" s="4"/>
      <c r="F660" s="2"/>
      <c r="G660" s="28">
        <f t="shared" si="37"/>
        <v>0</v>
      </c>
      <c r="H660" s="2"/>
      <c r="I660" s="4"/>
      <c r="J660" s="2"/>
      <c r="K660" s="29">
        <f>IF('RPT1'!$J660="","",'RPT1'!$J660)</f>
        <v>0</v>
      </c>
      <c r="L660" s="29">
        <f>IF('RPT2'!$J660="","",'RPT2'!$J660)</f>
        <v>0</v>
      </c>
      <c r="M660" s="29">
        <f>IF('RPT3'!$J660="","",'RPT3'!$J660)</f>
        <v>0</v>
      </c>
      <c r="N660" s="29">
        <f>IF('RPT4'!$J660="","",'RPT4'!$J660)</f>
        <v>0</v>
      </c>
    </row>
    <row r="661" spans="1:14" x14ac:dyDescent="0.35">
      <c r="A661" s="16" t="s">
        <v>644</v>
      </c>
      <c r="B661" s="2"/>
      <c r="C661" s="28">
        <f t="shared" si="36"/>
        <v>0</v>
      </c>
      <c r="D661" s="2"/>
      <c r="E661" s="4"/>
      <c r="F661" s="2"/>
      <c r="G661" s="28">
        <f t="shared" si="37"/>
        <v>0</v>
      </c>
      <c r="H661" s="2"/>
      <c r="I661" s="4"/>
      <c r="J661" s="2"/>
      <c r="K661" s="29">
        <f>IF('RPT1'!$J661="","",'RPT1'!$J661)</f>
        <v>0</v>
      </c>
      <c r="L661" s="29">
        <f>IF('RPT2'!$J661="","",'RPT2'!$J661)</f>
        <v>0</v>
      </c>
      <c r="M661" s="29">
        <f>IF('RPT3'!$J661="","",'RPT3'!$J661)</f>
        <v>0</v>
      </c>
      <c r="N661" s="29">
        <f>IF('RPT4'!$J661="","",'RPT4'!$J661)</f>
        <v>0</v>
      </c>
    </row>
    <row r="662" spans="1:14" x14ac:dyDescent="0.35">
      <c r="A662" s="16" t="s">
        <v>645</v>
      </c>
      <c r="B662" s="2"/>
      <c r="C662" s="28">
        <f t="shared" si="36"/>
        <v>0</v>
      </c>
      <c r="D662" s="2"/>
      <c r="E662" s="4"/>
      <c r="F662" s="2"/>
      <c r="G662" s="28">
        <f t="shared" si="37"/>
        <v>0</v>
      </c>
      <c r="H662" s="2"/>
      <c r="I662" s="4"/>
      <c r="J662" s="2"/>
      <c r="K662" s="29">
        <f>IF('RPT1'!$J662="","",'RPT1'!$J662)</f>
        <v>0</v>
      </c>
      <c r="L662" s="29">
        <f>IF('RPT2'!$J662="","",'RPT2'!$J662)</f>
        <v>0</v>
      </c>
      <c r="M662" s="29">
        <f>IF('RPT3'!$J662="","",'RPT3'!$J662)</f>
        <v>0</v>
      </c>
      <c r="N662" s="29">
        <f>IF('RPT4'!$J662="","",'RPT4'!$J662)</f>
        <v>0</v>
      </c>
    </row>
    <row r="663" spans="1:14" x14ac:dyDescent="0.35">
      <c r="A663" s="16" t="s">
        <v>646</v>
      </c>
      <c r="B663" s="2"/>
      <c r="C663" s="28">
        <f t="shared" si="36"/>
        <v>0</v>
      </c>
      <c r="D663" s="2"/>
      <c r="E663" s="4"/>
      <c r="F663" s="2"/>
      <c r="G663" s="28">
        <f t="shared" si="37"/>
        <v>0</v>
      </c>
      <c r="H663" s="2"/>
      <c r="I663" s="4"/>
      <c r="J663" s="2"/>
      <c r="K663" s="29">
        <f>IF('RPT1'!$J663="","",'RPT1'!$J663)</f>
        <v>0</v>
      </c>
      <c r="L663" s="29">
        <f>IF('RPT2'!$J663="","",'RPT2'!$J663)</f>
        <v>0</v>
      </c>
      <c r="M663" s="29">
        <f>IF('RPT3'!$J663="","",'RPT3'!$J663)</f>
        <v>0</v>
      </c>
      <c r="N663" s="29">
        <f>IF('RPT4'!$J663="","",'RPT4'!$J663)</f>
        <v>0</v>
      </c>
    </row>
    <row r="664" spans="1:14" x14ac:dyDescent="0.35">
      <c r="A664" s="16" t="s">
        <v>647</v>
      </c>
      <c r="B664" s="2"/>
      <c r="C664" s="28">
        <f t="shared" si="36"/>
        <v>0</v>
      </c>
      <c r="D664" s="2"/>
      <c r="E664" s="4"/>
      <c r="F664" s="2"/>
      <c r="G664" s="28">
        <f t="shared" si="37"/>
        <v>0</v>
      </c>
      <c r="H664" s="2"/>
      <c r="I664" s="4"/>
      <c r="J664" s="2"/>
      <c r="K664" s="29">
        <f>IF('RPT1'!$J664="","",'RPT1'!$J664)</f>
        <v>0</v>
      </c>
      <c r="L664" s="29">
        <f>IF('RPT2'!$J664="","",'RPT2'!$J664)</f>
        <v>0</v>
      </c>
      <c r="M664" s="29">
        <f>IF('RPT3'!$J664="","",'RPT3'!$J664)</f>
        <v>0</v>
      </c>
      <c r="N664" s="29">
        <f>IF('RPT4'!$J664="","",'RPT4'!$J664)</f>
        <v>0</v>
      </c>
    </row>
    <row r="665" spans="1:14" x14ac:dyDescent="0.35">
      <c r="A665" s="16" t="s">
        <v>648</v>
      </c>
      <c r="B665" s="2"/>
      <c r="C665" s="28">
        <f t="shared" si="36"/>
        <v>0</v>
      </c>
      <c r="D665" s="2"/>
      <c r="E665" s="4"/>
      <c r="F665" s="2"/>
      <c r="G665" s="28">
        <f t="shared" si="37"/>
        <v>0</v>
      </c>
      <c r="H665" s="2"/>
      <c r="I665" s="4"/>
      <c r="J665" s="2"/>
      <c r="K665" s="29">
        <f>IF('RPT1'!$J665="","",'RPT1'!$J665)</f>
        <v>0</v>
      </c>
      <c r="L665" s="29">
        <f>IF('RPT2'!$J665="","",'RPT2'!$J665)</f>
        <v>0</v>
      </c>
      <c r="M665" s="29">
        <f>IF('RPT3'!$J665="","",'RPT3'!$J665)</f>
        <v>0</v>
      </c>
      <c r="N665" s="29">
        <f>IF('RPT4'!$J665="","",'RPT4'!$J665)</f>
        <v>0</v>
      </c>
    </row>
    <row r="666" spans="1:14" x14ac:dyDescent="0.35">
      <c r="A666" s="16" t="s">
        <v>649</v>
      </c>
      <c r="B666" s="2"/>
      <c r="C666" s="28">
        <f t="shared" si="36"/>
        <v>0</v>
      </c>
      <c r="D666" s="2"/>
      <c r="E666" s="4"/>
      <c r="F666" s="2"/>
      <c r="G666" s="28">
        <f t="shared" si="37"/>
        <v>0</v>
      </c>
      <c r="H666" s="2"/>
      <c r="I666" s="4"/>
      <c r="J666" s="2"/>
      <c r="K666" s="29">
        <f>IF('RPT1'!$J666="","",'RPT1'!$J666)</f>
        <v>0</v>
      </c>
      <c r="L666" s="29">
        <f>IF('RPT2'!$J666="","",'RPT2'!$J666)</f>
        <v>0</v>
      </c>
      <c r="M666" s="29">
        <f>IF('RPT3'!$J666="","",'RPT3'!$J666)</f>
        <v>0</v>
      </c>
      <c r="N666" s="29">
        <f>IF('RPT4'!$J666="","",'RPT4'!$J666)</f>
        <v>0</v>
      </c>
    </row>
    <row r="667" spans="1:14" x14ac:dyDescent="0.35">
      <c r="A667" s="16" t="s">
        <v>650</v>
      </c>
      <c r="B667" s="2"/>
      <c r="C667" s="28">
        <f t="shared" si="36"/>
        <v>0</v>
      </c>
      <c r="D667" s="2"/>
      <c r="E667" s="4"/>
      <c r="F667" s="2"/>
      <c r="G667" s="28">
        <f t="shared" si="37"/>
        <v>0</v>
      </c>
      <c r="H667" s="2"/>
      <c r="I667" s="4"/>
      <c r="J667" s="2"/>
      <c r="K667" s="29">
        <f>IF('RPT1'!$J667="","",'RPT1'!$J667)</f>
        <v>0</v>
      </c>
      <c r="L667" s="29">
        <f>IF('RPT2'!$J667="","",'RPT2'!$J667)</f>
        <v>0</v>
      </c>
      <c r="M667" s="29">
        <f>IF('RPT3'!$J667="","",'RPT3'!$J667)</f>
        <v>0</v>
      </c>
      <c r="N667" s="29">
        <f>IF('RPT4'!$J667="","",'RPT4'!$J667)</f>
        <v>0</v>
      </c>
    </row>
    <row r="668" spans="1:14" x14ac:dyDescent="0.35">
      <c r="A668" s="16" t="s">
        <v>651</v>
      </c>
      <c r="B668" s="2"/>
      <c r="C668" s="28">
        <f t="shared" si="36"/>
        <v>0</v>
      </c>
      <c r="D668" s="2"/>
      <c r="E668" s="4"/>
      <c r="F668" s="2"/>
      <c r="G668" s="28">
        <f t="shared" si="37"/>
        <v>0</v>
      </c>
      <c r="H668" s="2"/>
      <c r="I668" s="4"/>
      <c r="J668" s="2"/>
      <c r="K668" s="29">
        <f>IF('RPT1'!$J668="","",'RPT1'!$J668)</f>
        <v>0</v>
      </c>
      <c r="L668" s="29">
        <f>IF('RPT2'!$J668="","",'RPT2'!$J668)</f>
        <v>0</v>
      </c>
      <c r="M668" s="29">
        <f>IF('RPT3'!$J668="","",'RPT3'!$J668)</f>
        <v>0</v>
      </c>
      <c r="N668" s="29">
        <f>IF('RPT4'!$J668="","",'RPT4'!$J668)</f>
        <v>0</v>
      </c>
    </row>
    <row r="669" spans="1:14" x14ac:dyDescent="0.35">
      <c r="A669" s="16" t="s">
        <v>652</v>
      </c>
      <c r="B669" s="2"/>
      <c r="C669" s="28">
        <f t="shared" si="36"/>
        <v>0</v>
      </c>
      <c r="D669" s="2"/>
      <c r="E669" s="4"/>
      <c r="F669" s="2"/>
      <c r="G669" s="28">
        <f t="shared" si="37"/>
        <v>0</v>
      </c>
      <c r="H669" s="2"/>
      <c r="I669" s="4"/>
      <c r="J669" s="2"/>
      <c r="K669" s="29">
        <f>IF('RPT1'!$J669="","",'RPT1'!$J669)</f>
        <v>0</v>
      </c>
      <c r="L669" s="29">
        <f>IF('RPT2'!$J669="","",'RPT2'!$J669)</f>
        <v>0</v>
      </c>
      <c r="M669" s="29">
        <f>IF('RPT3'!$J669="","",'RPT3'!$J669)</f>
        <v>0</v>
      </c>
      <c r="N669" s="29">
        <f>IF('RPT4'!$J669="","",'RPT4'!$J669)</f>
        <v>0</v>
      </c>
    </row>
    <row r="670" spans="1:14" x14ac:dyDescent="0.35">
      <c r="A670" s="16" t="s">
        <v>653</v>
      </c>
      <c r="B670" s="2"/>
      <c r="C670" s="28">
        <f t="shared" si="36"/>
        <v>0</v>
      </c>
      <c r="D670" s="2"/>
      <c r="E670" s="4"/>
      <c r="F670" s="2"/>
      <c r="G670" s="28">
        <f t="shared" si="37"/>
        <v>0</v>
      </c>
      <c r="H670" s="2"/>
      <c r="I670" s="4"/>
      <c r="J670" s="2"/>
      <c r="K670" s="29">
        <f>IF('RPT1'!$J670="","",'RPT1'!$J670)</f>
        <v>0</v>
      </c>
      <c r="L670" s="29">
        <f>IF('RPT2'!$J670="","",'RPT2'!$J670)</f>
        <v>0</v>
      </c>
      <c r="M670" s="29">
        <f>IF('RPT3'!$J670="","",'RPT3'!$J670)</f>
        <v>0</v>
      </c>
      <c r="N670" s="29">
        <f>IF('RPT4'!$J670="","",'RPT4'!$J670)</f>
        <v>0</v>
      </c>
    </row>
    <row r="671" spans="1:14" x14ac:dyDescent="0.35">
      <c r="A671" s="16" t="s">
        <v>654</v>
      </c>
      <c r="B671" s="2"/>
      <c r="C671" s="28">
        <f t="shared" si="36"/>
        <v>0</v>
      </c>
      <c r="D671" s="2"/>
      <c r="E671" s="4"/>
      <c r="F671" s="2"/>
      <c r="G671" s="28">
        <f t="shared" si="37"/>
        <v>0</v>
      </c>
      <c r="H671" s="2"/>
      <c r="I671" s="4"/>
      <c r="J671" s="2"/>
      <c r="K671" s="29">
        <f>IF('RPT1'!$J671="","",'RPT1'!$J671)</f>
        <v>0</v>
      </c>
      <c r="L671" s="29">
        <f>IF('RPT2'!$J671="","",'RPT2'!$J671)</f>
        <v>0</v>
      </c>
      <c r="M671" s="29">
        <f>IF('RPT3'!$J671="","",'RPT3'!$J671)</f>
        <v>0</v>
      </c>
      <c r="N671" s="29">
        <f>IF('RPT4'!$J671="","",'RPT4'!$J671)</f>
        <v>0</v>
      </c>
    </row>
    <row r="672" spans="1:14" x14ac:dyDescent="0.35">
      <c r="A672" s="24"/>
      <c r="B672" s="2"/>
      <c r="C672" s="14"/>
      <c r="D672" s="2"/>
      <c r="E672" s="4"/>
      <c r="F672" s="2"/>
      <c r="G672" s="14"/>
      <c r="H672" s="2"/>
      <c r="I672" s="4"/>
      <c r="J672" s="2"/>
      <c r="K672" s="25"/>
      <c r="L672" s="25"/>
      <c r="M672" s="25"/>
      <c r="N672" s="25"/>
    </row>
    <row r="673" spans="1:14" x14ac:dyDescent="0.35">
      <c r="A673" s="12" t="s">
        <v>655</v>
      </c>
      <c r="B673" s="2"/>
      <c r="C673" s="14"/>
      <c r="D673" s="2"/>
      <c r="E673" s="4"/>
      <c r="F673" s="2"/>
      <c r="G673" s="14"/>
      <c r="H673" s="2"/>
      <c r="I673" s="4"/>
      <c r="J673" s="2"/>
      <c r="K673" s="25" t="str">
        <f>IF('RPT1'!$J673="","",'RPT1'!$J673)</f>
        <v/>
      </c>
      <c r="L673" s="25" t="str">
        <f>IF('RPT2'!$J673="","",'RPT2'!$J673)</f>
        <v/>
      </c>
      <c r="M673" s="25" t="str">
        <f>IF('RPT3'!$J673="","",'RPT3'!$J673)</f>
        <v/>
      </c>
      <c r="N673" s="25" t="str">
        <f>IF('RPT4'!$J673="","",'RPT4'!$J673)</f>
        <v/>
      </c>
    </row>
    <row r="674" spans="1:14" x14ac:dyDescent="0.35">
      <c r="A674" s="16" t="s">
        <v>656</v>
      </c>
      <c r="B674" s="2"/>
      <c r="C674" s="26">
        <f t="shared" ref="C674:C697" si="38">IF(Combine="Y", $G674, 0)</f>
        <v>0</v>
      </c>
      <c r="D674" s="2"/>
      <c r="E674" s="4"/>
      <c r="F674" s="2"/>
      <c r="G674" s="26">
        <f t="shared" ref="G674:G697" si="39">SUM($K674:$N674)</f>
        <v>0</v>
      </c>
      <c r="H674" s="2"/>
      <c r="I674" s="4"/>
      <c r="J674" s="2"/>
      <c r="K674" s="27">
        <f>IF('RPT1'!$J674="","",'RPT1'!$J674)</f>
        <v>0</v>
      </c>
      <c r="L674" s="27">
        <f>IF('RPT2'!$J674="","",'RPT2'!$J674)</f>
        <v>0</v>
      </c>
      <c r="M674" s="27">
        <f>IF('RPT3'!$J674="","",'RPT3'!$J674)</f>
        <v>0</v>
      </c>
      <c r="N674" s="27">
        <f>IF('RPT4'!$J674="","",'RPT4'!$J674)</f>
        <v>0</v>
      </c>
    </row>
    <row r="675" spans="1:14" x14ac:dyDescent="0.35">
      <c r="A675" s="16" t="s">
        <v>657</v>
      </c>
      <c r="B675" s="2"/>
      <c r="C675" s="26">
        <f t="shared" si="38"/>
        <v>0</v>
      </c>
      <c r="D675" s="2"/>
      <c r="E675" s="4"/>
      <c r="F675" s="2"/>
      <c r="G675" s="26">
        <f t="shared" si="39"/>
        <v>0</v>
      </c>
      <c r="H675" s="2"/>
      <c r="I675" s="4"/>
      <c r="J675" s="2"/>
      <c r="K675" s="27">
        <f>IF('RPT1'!$J675="","",'RPT1'!$J675)</f>
        <v>0</v>
      </c>
      <c r="L675" s="27">
        <f>IF('RPT2'!$J675="","",'RPT2'!$J675)</f>
        <v>0</v>
      </c>
      <c r="M675" s="27">
        <f>IF('RPT3'!$J675="","",'RPT3'!$J675)</f>
        <v>0</v>
      </c>
      <c r="N675" s="27">
        <f>IF('RPT4'!$J675="","",'RPT4'!$J675)</f>
        <v>0</v>
      </c>
    </row>
    <row r="676" spans="1:14" x14ac:dyDescent="0.35">
      <c r="A676" s="16" t="s">
        <v>658</v>
      </c>
      <c r="B676" s="2"/>
      <c r="C676" s="26">
        <f t="shared" si="38"/>
        <v>0</v>
      </c>
      <c r="D676" s="2"/>
      <c r="E676" s="4"/>
      <c r="F676" s="2"/>
      <c r="G676" s="26">
        <f t="shared" si="39"/>
        <v>0</v>
      </c>
      <c r="H676" s="2"/>
      <c r="I676" s="4"/>
      <c r="J676" s="2"/>
      <c r="K676" s="27">
        <f>IF('RPT1'!$J676="","",'RPT1'!$J676)</f>
        <v>0</v>
      </c>
      <c r="L676" s="27">
        <f>IF('RPT2'!$J676="","",'RPT2'!$J676)</f>
        <v>0</v>
      </c>
      <c r="M676" s="27">
        <f>IF('RPT3'!$J676="","",'RPT3'!$J676)</f>
        <v>0</v>
      </c>
      <c r="N676" s="27">
        <f>IF('RPT4'!$J676="","",'RPT4'!$J676)</f>
        <v>0</v>
      </c>
    </row>
    <row r="677" spans="1:14" x14ac:dyDescent="0.35">
      <c r="A677" s="16" t="s">
        <v>659</v>
      </c>
      <c r="B677" s="2"/>
      <c r="C677" s="26">
        <f t="shared" si="38"/>
        <v>0</v>
      </c>
      <c r="D677" s="2"/>
      <c r="E677" s="4"/>
      <c r="F677" s="2"/>
      <c r="G677" s="26">
        <f t="shared" si="39"/>
        <v>0</v>
      </c>
      <c r="H677" s="2"/>
      <c r="I677" s="4"/>
      <c r="J677" s="2"/>
      <c r="K677" s="27">
        <f>IF('RPT1'!$J677="","",'RPT1'!$J677)</f>
        <v>0</v>
      </c>
      <c r="L677" s="27">
        <f>IF('RPT2'!$J677="","",'RPT2'!$J677)</f>
        <v>0</v>
      </c>
      <c r="M677" s="27">
        <f>IF('RPT3'!$J677="","",'RPT3'!$J677)</f>
        <v>0</v>
      </c>
      <c r="N677" s="27">
        <f>IF('RPT4'!$J677="","",'RPT4'!$J677)</f>
        <v>0</v>
      </c>
    </row>
    <row r="678" spans="1:14" x14ac:dyDescent="0.35">
      <c r="A678" s="16" t="s">
        <v>660</v>
      </c>
      <c r="B678" s="2"/>
      <c r="C678" s="26">
        <f t="shared" si="38"/>
        <v>0</v>
      </c>
      <c r="D678" s="2"/>
      <c r="E678" s="4"/>
      <c r="F678" s="2"/>
      <c r="G678" s="26">
        <f t="shared" si="39"/>
        <v>0</v>
      </c>
      <c r="H678" s="2"/>
      <c r="I678" s="4"/>
      <c r="J678" s="2"/>
      <c r="K678" s="27">
        <f>IF('RPT1'!$J678="","",'RPT1'!$J678)</f>
        <v>0</v>
      </c>
      <c r="L678" s="27">
        <f>IF('RPT2'!$J678="","",'RPT2'!$J678)</f>
        <v>0</v>
      </c>
      <c r="M678" s="27">
        <f>IF('RPT3'!$J678="","",'RPT3'!$J678)</f>
        <v>0</v>
      </c>
      <c r="N678" s="27">
        <f>IF('RPT4'!$J678="","",'RPT4'!$J678)</f>
        <v>0</v>
      </c>
    </row>
    <row r="679" spans="1:14" x14ac:dyDescent="0.35">
      <c r="A679" s="16" t="s">
        <v>661</v>
      </c>
      <c r="B679" s="2"/>
      <c r="C679" s="26">
        <f t="shared" si="38"/>
        <v>0</v>
      </c>
      <c r="D679" s="2"/>
      <c r="E679" s="4"/>
      <c r="F679" s="2"/>
      <c r="G679" s="26">
        <f t="shared" si="39"/>
        <v>0</v>
      </c>
      <c r="H679" s="2"/>
      <c r="I679" s="4"/>
      <c r="J679" s="2"/>
      <c r="K679" s="27">
        <f>IF('RPT1'!$J679="","",'RPT1'!$J679)</f>
        <v>0</v>
      </c>
      <c r="L679" s="27">
        <f>IF('RPT2'!$J679="","",'RPT2'!$J679)</f>
        <v>0</v>
      </c>
      <c r="M679" s="27">
        <f>IF('RPT3'!$J679="","",'RPT3'!$J679)</f>
        <v>0</v>
      </c>
      <c r="N679" s="27">
        <f>IF('RPT4'!$J679="","",'RPT4'!$J679)</f>
        <v>0</v>
      </c>
    </row>
    <row r="680" spans="1:14" x14ac:dyDescent="0.35">
      <c r="A680" s="16" t="s">
        <v>662</v>
      </c>
      <c r="B680" s="2"/>
      <c r="C680" s="26">
        <f t="shared" si="38"/>
        <v>0</v>
      </c>
      <c r="D680" s="2"/>
      <c r="E680" s="4"/>
      <c r="F680" s="2"/>
      <c r="G680" s="26">
        <f t="shared" si="39"/>
        <v>0</v>
      </c>
      <c r="H680" s="2"/>
      <c r="I680" s="4"/>
      <c r="J680" s="2"/>
      <c r="K680" s="27">
        <f>IF('RPT1'!$J680="","",'RPT1'!$J680)</f>
        <v>0</v>
      </c>
      <c r="L680" s="27">
        <f>IF('RPT2'!$J680="","",'RPT2'!$J680)</f>
        <v>0</v>
      </c>
      <c r="M680" s="27">
        <f>IF('RPT3'!$J680="","",'RPT3'!$J680)</f>
        <v>0</v>
      </c>
      <c r="N680" s="27">
        <f>IF('RPT4'!$J680="","",'RPT4'!$J680)</f>
        <v>0</v>
      </c>
    </row>
    <row r="681" spans="1:14" x14ac:dyDescent="0.35">
      <c r="A681" s="16" t="s">
        <v>663</v>
      </c>
      <c r="B681" s="2"/>
      <c r="C681" s="26">
        <f t="shared" si="38"/>
        <v>0</v>
      </c>
      <c r="D681" s="2"/>
      <c r="E681" s="4"/>
      <c r="F681" s="2"/>
      <c r="G681" s="26">
        <f t="shared" si="39"/>
        <v>0</v>
      </c>
      <c r="H681" s="2"/>
      <c r="I681" s="4"/>
      <c r="J681" s="2"/>
      <c r="K681" s="27">
        <f>IF('RPT1'!$J681="","",'RPT1'!$J681)</f>
        <v>0</v>
      </c>
      <c r="L681" s="27">
        <f>IF('RPT2'!$J681="","",'RPT2'!$J681)</f>
        <v>0</v>
      </c>
      <c r="M681" s="27">
        <f>IF('RPT3'!$J681="","",'RPT3'!$J681)</f>
        <v>0</v>
      </c>
      <c r="N681" s="27">
        <f>IF('RPT4'!$J681="","",'RPT4'!$J681)</f>
        <v>0</v>
      </c>
    </row>
    <row r="682" spans="1:14" x14ac:dyDescent="0.35">
      <c r="A682" s="16" t="s">
        <v>664</v>
      </c>
      <c r="B682" s="2"/>
      <c r="C682" s="26">
        <f t="shared" si="38"/>
        <v>0</v>
      </c>
      <c r="D682" s="2"/>
      <c r="E682" s="4"/>
      <c r="F682" s="2"/>
      <c r="G682" s="26">
        <f t="shared" si="39"/>
        <v>0</v>
      </c>
      <c r="H682" s="2"/>
      <c r="I682" s="4"/>
      <c r="J682" s="2"/>
      <c r="K682" s="27">
        <f>IF('RPT1'!$J682="","",'RPT1'!$J682)</f>
        <v>0</v>
      </c>
      <c r="L682" s="27">
        <f>IF('RPT2'!$J682="","",'RPT2'!$J682)</f>
        <v>0</v>
      </c>
      <c r="M682" s="27">
        <f>IF('RPT3'!$J682="","",'RPT3'!$J682)</f>
        <v>0</v>
      </c>
      <c r="N682" s="27">
        <f>IF('RPT4'!$J682="","",'RPT4'!$J682)</f>
        <v>0</v>
      </c>
    </row>
    <row r="683" spans="1:14" x14ac:dyDescent="0.35">
      <c r="A683" s="16" t="s">
        <v>665</v>
      </c>
      <c r="B683" s="2"/>
      <c r="C683" s="26">
        <f t="shared" si="38"/>
        <v>0</v>
      </c>
      <c r="D683" s="2"/>
      <c r="E683" s="4"/>
      <c r="F683" s="2"/>
      <c r="G683" s="26">
        <f t="shared" si="39"/>
        <v>0</v>
      </c>
      <c r="H683" s="2"/>
      <c r="I683" s="4"/>
      <c r="J683" s="2"/>
      <c r="K683" s="27">
        <f>IF('RPT1'!$J683="","",'RPT1'!$J683)</f>
        <v>0</v>
      </c>
      <c r="L683" s="27">
        <f>IF('RPT2'!$J683="","",'RPT2'!$J683)</f>
        <v>0</v>
      </c>
      <c r="M683" s="27">
        <f>IF('RPT3'!$J683="","",'RPT3'!$J683)</f>
        <v>0</v>
      </c>
      <c r="N683" s="27">
        <f>IF('RPT4'!$J683="","",'RPT4'!$J683)</f>
        <v>0</v>
      </c>
    </row>
    <row r="684" spans="1:14" x14ac:dyDescent="0.35">
      <c r="A684" s="16" t="s">
        <v>666</v>
      </c>
      <c r="B684" s="2"/>
      <c r="C684" s="26">
        <f t="shared" si="38"/>
        <v>0</v>
      </c>
      <c r="D684" s="2"/>
      <c r="E684" s="4"/>
      <c r="F684" s="2"/>
      <c r="G684" s="26">
        <f t="shared" si="39"/>
        <v>0</v>
      </c>
      <c r="H684" s="2"/>
      <c r="I684" s="4"/>
      <c r="J684" s="2"/>
      <c r="K684" s="27">
        <f>IF('RPT1'!$J684="","",'RPT1'!$J684)</f>
        <v>0</v>
      </c>
      <c r="L684" s="27">
        <f>IF('RPT2'!$J684="","",'RPT2'!$J684)</f>
        <v>0</v>
      </c>
      <c r="M684" s="27">
        <f>IF('RPT3'!$J684="","",'RPT3'!$J684)</f>
        <v>0</v>
      </c>
      <c r="N684" s="27">
        <f>IF('RPT4'!$J684="","",'RPT4'!$J684)</f>
        <v>0</v>
      </c>
    </row>
    <row r="685" spans="1:14" x14ac:dyDescent="0.35">
      <c r="A685" s="16" t="s">
        <v>667</v>
      </c>
      <c r="B685" s="2"/>
      <c r="C685" s="26">
        <f t="shared" si="38"/>
        <v>0</v>
      </c>
      <c r="D685" s="2"/>
      <c r="E685" s="4"/>
      <c r="F685" s="2"/>
      <c r="G685" s="26">
        <f t="shared" si="39"/>
        <v>0</v>
      </c>
      <c r="H685" s="2"/>
      <c r="I685" s="4"/>
      <c r="J685" s="2"/>
      <c r="K685" s="27">
        <f>IF('RPT1'!$J685="","",'RPT1'!$J685)</f>
        <v>0</v>
      </c>
      <c r="L685" s="27">
        <f>IF('RPT2'!$J685="","",'RPT2'!$J685)</f>
        <v>0</v>
      </c>
      <c r="M685" s="27">
        <f>IF('RPT3'!$J685="","",'RPT3'!$J685)</f>
        <v>0</v>
      </c>
      <c r="N685" s="27">
        <f>IF('RPT4'!$J685="","",'RPT4'!$J685)</f>
        <v>0</v>
      </c>
    </row>
    <row r="686" spans="1:14" x14ac:dyDescent="0.35">
      <c r="A686" s="16" t="s">
        <v>668</v>
      </c>
      <c r="B686" s="2"/>
      <c r="C686" s="26">
        <f t="shared" si="38"/>
        <v>0</v>
      </c>
      <c r="D686" s="2"/>
      <c r="E686" s="4"/>
      <c r="F686" s="2"/>
      <c r="G686" s="26">
        <f t="shared" si="39"/>
        <v>0</v>
      </c>
      <c r="H686" s="2"/>
      <c r="I686" s="4"/>
      <c r="J686" s="2"/>
      <c r="K686" s="27">
        <f>IF('RPT1'!$J686="","",'RPT1'!$J686)</f>
        <v>0</v>
      </c>
      <c r="L686" s="27">
        <f>IF('RPT2'!$J686="","",'RPT2'!$J686)</f>
        <v>0</v>
      </c>
      <c r="M686" s="27">
        <f>IF('RPT3'!$J686="","",'RPT3'!$J686)</f>
        <v>0</v>
      </c>
      <c r="N686" s="27">
        <f>IF('RPT4'!$J686="","",'RPT4'!$J686)</f>
        <v>0</v>
      </c>
    </row>
    <row r="687" spans="1:14" x14ac:dyDescent="0.35">
      <c r="A687" s="16" t="s">
        <v>669</v>
      </c>
      <c r="B687" s="2"/>
      <c r="C687" s="26">
        <f t="shared" si="38"/>
        <v>0</v>
      </c>
      <c r="D687" s="2"/>
      <c r="E687" s="4"/>
      <c r="F687" s="2"/>
      <c r="G687" s="26">
        <f t="shared" si="39"/>
        <v>0</v>
      </c>
      <c r="H687" s="2"/>
      <c r="I687" s="4"/>
      <c r="J687" s="2"/>
      <c r="K687" s="27">
        <f>IF('RPT1'!$J687="","",'RPT1'!$J687)</f>
        <v>0</v>
      </c>
      <c r="L687" s="27">
        <f>IF('RPT2'!$J687="","",'RPT2'!$J687)</f>
        <v>0</v>
      </c>
      <c r="M687" s="27">
        <f>IF('RPT3'!$J687="","",'RPT3'!$J687)</f>
        <v>0</v>
      </c>
      <c r="N687" s="27">
        <f>IF('RPT4'!$J687="","",'RPT4'!$J687)</f>
        <v>0</v>
      </c>
    </row>
    <row r="688" spans="1:14" x14ac:dyDescent="0.35">
      <c r="A688" s="16" t="s">
        <v>670</v>
      </c>
      <c r="B688" s="2"/>
      <c r="C688" s="26">
        <f t="shared" si="38"/>
        <v>0</v>
      </c>
      <c r="D688" s="2"/>
      <c r="E688" s="4"/>
      <c r="F688" s="2"/>
      <c r="G688" s="26">
        <f t="shared" si="39"/>
        <v>0</v>
      </c>
      <c r="H688" s="2"/>
      <c r="I688" s="4"/>
      <c r="J688" s="2"/>
      <c r="K688" s="27">
        <f>IF('RPT1'!$J688="","",'RPT1'!$J688)</f>
        <v>0</v>
      </c>
      <c r="L688" s="27">
        <f>IF('RPT2'!$J688="","",'RPT2'!$J688)</f>
        <v>0</v>
      </c>
      <c r="M688" s="27">
        <f>IF('RPT3'!$J688="","",'RPT3'!$J688)</f>
        <v>0</v>
      </c>
      <c r="N688" s="27">
        <f>IF('RPT4'!$J688="","",'RPT4'!$J688)</f>
        <v>0</v>
      </c>
    </row>
    <row r="689" spans="1:14" x14ac:dyDescent="0.35">
      <c r="A689" s="16" t="s">
        <v>671</v>
      </c>
      <c r="B689" s="2"/>
      <c r="C689" s="26">
        <f t="shared" si="38"/>
        <v>0</v>
      </c>
      <c r="D689" s="2"/>
      <c r="E689" s="4"/>
      <c r="F689" s="2"/>
      <c r="G689" s="26">
        <f t="shared" si="39"/>
        <v>0</v>
      </c>
      <c r="H689" s="2"/>
      <c r="I689" s="4"/>
      <c r="J689" s="2"/>
      <c r="K689" s="27">
        <f>IF('RPT1'!$J689="","",'RPT1'!$J689)</f>
        <v>0</v>
      </c>
      <c r="L689" s="27">
        <f>IF('RPT2'!$J689="","",'RPT2'!$J689)</f>
        <v>0</v>
      </c>
      <c r="M689" s="27">
        <f>IF('RPT3'!$J689="","",'RPT3'!$J689)</f>
        <v>0</v>
      </c>
      <c r="N689" s="27">
        <f>IF('RPT4'!$J689="","",'RPT4'!$J689)</f>
        <v>0</v>
      </c>
    </row>
    <row r="690" spans="1:14" x14ac:dyDescent="0.35">
      <c r="A690" s="16" t="s">
        <v>672</v>
      </c>
      <c r="B690" s="2"/>
      <c r="C690" s="26">
        <f t="shared" si="38"/>
        <v>0</v>
      </c>
      <c r="D690" s="2"/>
      <c r="E690" s="4"/>
      <c r="F690" s="2"/>
      <c r="G690" s="26">
        <f t="shared" si="39"/>
        <v>0</v>
      </c>
      <c r="H690" s="2"/>
      <c r="I690" s="4"/>
      <c r="J690" s="2"/>
      <c r="K690" s="27">
        <f>IF('RPT1'!$J690="","",'RPT1'!$J690)</f>
        <v>0</v>
      </c>
      <c r="L690" s="27">
        <f>IF('RPT2'!$J690="","",'RPT2'!$J690)</f>
        <v>0</v>
      </c>
      <c r="M690" s="27">
        <f>IF('RPT3'!$J690="","",'RPT3'!$J690)</f>
        <v>0</v>
      </c>
      <c r="N690" s="27">
        <f>IF('RPT4'!$J690="","",'RPT4'!$J690)</f>
        <v>0</v>
      </c>
    </row>
    <row r="691" spans="1:14" x14ac:dyDescent="0.35">
      <c r="A691" s="16" t="s">
        <v>673</v>
      </c>
      <c r="B691" s="2"/>
      <c r="C691" s="26">
        <f t="shared" si="38"/>
        <v>0</v>
      </c>
      <c r="D691" s="2"/>
      <c r="E691" s="4"/>
      <c r="F691" s="2"/>
      <c r="G691" s="26">
        <f t="shared" si="39"/>
        <v>0</v>
      </c>
      <c r="H691" s="2"/>
      <c r="I691" s="4"/>
      <c r="J691" s="2"/>
      <c r="K691" s="27">
        <f>IF('RPT1'!$J691="","",'RPT1'!$J691)</f>
        <v>0</v>
      </c>
      <c r="L691" s="27">
        <f>IF('RPT2'!$J691="","",'RPT2'!$J691)</f>
        <v>0</v>
      </c>
      <c r="M691" s="27">
        <f>IF('RPT3'!$J691="","",'RPT3'!$J691)</f>
        <v>0</v>
      </c>
      <c r="N691" s="27">
        <f>IF('RPT4'!$J691="","",'RPT4'!$J691)</f>
        <v>0</v>
      </c>
    </row>
    <row r="692" spans="1:14" x14ac:dyDescent="0.35">
      <c r="A692" s="16" t="s">
        <v>674</v>
      </c>
      <c r="B692" s="2"/>
      <c r="C692" s="26">
        <f t="shared" si="38"/>
        <v>0</v>
      </c>
      <c r="D692" s="2"/>
      <c r="E692" s="4"/>
      <c r="F692" s="2"/>
      <c r="G692" s="26">
        <f t="shared" si="39"/>
        <v>0</v>
      </c>
      <c r="H692" s="2"/>
      <c r="I692" s="4"/>
      <c r="J692" s="2"/>
      <c r="K692" s="27">
        <f>IF('RPT1'!$J692="","",'RPT1'!$J692)</f>
        <v>0</v>
      </c>
      <c r="L692" s="27">
        <f>IF('RPT2'!$J692="","",'RPT2'!$J692)</f>
        <v>0</v>
      </c>
      <c r="M692" s="27">
        <f>IF('RPT3'!$J692="","",'RPT3'!$J692)</f>
        <v>0</v>
      </c>
      <c r="N692" s="27">
        <f>IF('RPT4'!$J692="","",'RPT4'!$J692)</f>
        <v>0</v>
      </c>
    </row>
    <row r="693" spans="1:14" x14ac:dyDescent="0.35">
      <c r="A693" s="16" t="s">
        <v>675</v>
      </c>
      <c r="B693" s="2"/>
      <c r="C693" s="26">
        <f t="shared" si="38"/>
        <v>0</v>
      </c>
      <c r="D693" s="2"/>
      <c r="E693" s="4"/>
      <c r="F693" s="2"/>
      <c r="G693" s="26">
        <f t="shared" si="39"/>
        <v>0</v>
      </c>
      <c r="H693" s="2"/>
      <c r="I693" s="4"/>
      <c r="J693" s="2"/>
      <c r="K693" s="27">
        <f>IF('RPT1'!$J693="","",'RPT1'!$J693)</f>
        <v>0</v>
      </c>
      <c r="L693" s="27">
        <f>IF('RPT2'!$J693="","",'RPT2'!$J693)</f>
        <v>0</v>
      </c>
      <c r="M693" s="27">
        <f>IF('RPT3'!$J693="","",'RPT3'!$J693)</f>
        <v>0</v>
      </c>
      <c r="N693" s="27">
        <f>IF('RPT4'!$J693="","",'RPT4'!$J693)</f>
        <v>0</v>
      </c>
    </row>
    <row r="694" spans="1:14" x14ac:dyDescent="0.35">
      <c r="A694" s="16" t="s">
        <v>676</v>
      </c>
      <c r="B694" s="2"/>
      <c r="C694" s="26">
        <f t="shared" si="38"/>
        <v>0</v>
      </c>
      <c r="D694" s="2"/>
      <c r="E694" s="4"/>
      <c r="F694" s="2"/>
      <c r="G694" s="26">
        <f t="shared" si="39"/>
        <v>0</v>
      </c>
      <c r="H694" s="2"/>
      <c r="I694" s="4"/>
      <c r="J694" s="2"/>
      <c r="K694" s="27">
        <f>IF('RPT1'!$J694="","",'RPT1'!$J694)</f>
        <v>0</v>
      </c>
      <c r="L694" s="27">
        <f>IF('RPT2'!$J694="","",'RPT2'!$J694)</f>
        <v>0</v>
      </c>
      <c r="M694" s="27">
        <f>IF('RPT3'!$J694="","",'RPT3'!$J694)</f>
        <v>0</v>
      </c>
      <c r="N694" s="27">
        <f>IF('RPT4'!$J694="","",'RPT4'!$J694)</f>
        <v>0</v>
      </c>
    </row>
    <row r="695" spans="1:14" x14ac:dyDescent="0.35">
      <c r="A695" s="16" t="s">
        <v>677</v>
      </c>
      <c r="B695" s="2"/>
      <c r="C695" s="26">
        <f t="shared" si="38"/>
        <v>0</v>
      </c>
      <c r="D695" s="2"/>
      <c r="E695" s="4"/>
      <c r="F695" s="2"/>
      <c r="G695" s="26">
        <f t="shared" si="39"/>
        <v>0</v>
      </c>
      <c r="H695" s="2"/>
      <c r="I695" s="4"/>
      <c r="J695" s="2"/>
      <c r="K695" s="27">
        <f>IF('RPT1'!$J695="","",'RPT1'!$J695)</f>
        <v>0</v>
      </c>
      <c r="L695" s="27">
        <f>IF('RPT2'!$J695="","",'RPT2'!$J695)</f>
        <v>0</v>
      </c>
      <c r="M695" s="27">
        <f>IF('RPT3'!$J695="","",'RPT3'!$J695)</f>
        <v>0</v>
      </c>
      <c r="N695" s="27">
        <f>IF('RPT4'!$J695="","",'RPT4'!$J695)</f>
        <v>0</v>
      </c>
    </row>
    <row r="696" spans="1:14" x14ac:dyDescent="0.35">
      <c r="A696" s="16" t="s">
        <v>678</v>
      </c>
      <c r="B696" s="2"/>
      <c r="C696" s="26">
        <f t="shared" si="38"/>
        <v>0</v>
      </c>
      <c r="D696" s="2"/>
      <c r="E696" s="4"/>
      <c r="F696" s="2"/>
      <c r="G696" s="26">
        <f t="shared" si="39"/>
        <v>0</v>
      </c>
      <c r="H696" s="2"/>
      <c r="I696" s="4"/>
      <c r="J696" s="2"/>
      <c r="K696" s="27">
        <f>IF('RPT1'!$J696="","",'RPT1'!$J696)</f>
        <v>0</v>
      </c>
      <c r="L696" s="27">
        <f>IF('RPT2'!$J696="","",'RPT2'!$J696)</f>
        <v>0</v>
      </c>
      <c r="M696" s="27">
        <f>IF('RPT3'!$J696="","",'RPT3'!$J696)</f>
        <v>0</v>
      </c>
      <c r="N696" s="27">
        <f>IF('RPT4'!$J696="","",'RPT4'!$J696)</f>
        <v>0</v>
      </c>
    </row>
    <row r="697" spans="1:14" x14ac:dyDescent="0.35">
      <c r="A697" s="16" t="s">
        <v>679</v>
      </c>
      <c r="B697" s="2"/>
      <c r="C697" s="26">
        <f t="shared" si="38"/>
        <v>0</v>
      </c>
      <c r="D697" s="2"/>
      <c r="E697" s="4"/>
      <c r="F697" s="2"/>
      <c r="G697" s="26">
        <f t="shared" si="39"/>
        <v>0</v>
      </c>
      <c r="H697" s="2"/>
      <c r="I697" s="4"/>
      <c r="J697" s="2"/>
      <c r="K697" s="27">
        <f>IF('RPT1'!$J697="","",'RPT1'!$J697)</f>
        <v>0</v>
      </c>
      <c r="L697" s="27">
        <f>IF('RPT2'!$J697="","",'RPT2'!$J697)</f>
        <v>0</v>
      </c>
      <c r="M697" s="27">
        <f>IF('RPT3'!$J697="","",'RPT3'!$J697)</f>
        <v>0</v>
      </c>
      <c r="N697" s="27">
        <f>IF('RPT4'!$J697="","",'RPT4'!$J697)</f>
        <v>0</v>
      </c>
    </row>
    <row r="698" spans="1:14" x14ac:dyDescent="0.35">
      <c r="A698" s="24"/>
      <c r="B698" s="2"/>
      <c r="C698" s="14"/>
      <c r="D698" s="2"/>
      <c r="E698" s="4"/>
      <c r="F698" s="2"/>
      <c r="G698" s="14"/>
      <c r="H698" s="2"/>
      <c r="I698" s="4"/>
      <c r="J698" s="2"/>
      <c r="K698" s="25"/>
      <c r="L698" s="25"/>
      <c r="M698" s="25"/>
      <c r="N698" s="25"/>
    </row>
    <row r="699" spans="1:14" x14ac:dyDescent="0.35">
      <c r="A699" s="12" t="s">
        <v>680</v>
      </c>
      <c r="B699" s="2"/>
      <c r="C699" s="14"/>
      <c r="D699" s="2"/>
      <c r="E699" s="4"/>
      <c r="F699" s="2"/>
      <c r="G699" s="14"/>
      <c r="H699" s="2"/>
      <c r="I699" s="4"/>
      <c r="J699" s="2"/>
      <c r="K699" s="25" t="str">
        <f>IF('RPT1'!$J699="","",'RPT1'!$J699)</f>
        <v/>
      </c>
      <c r="L699" s="25" t="str">
        <f>IF('RPT2'!$J699="","",'RPT2'!$J699)</f>
        <v/>
      </c>
      <c r="M699" s="25" t="str">
        <f>IF('RPT3'!$J699="","",'RPT3'!$J699)</f>
        <v/>
      </c>
      <c r="N699" s="25" t="str">
        <f>IF('RPT4'!$J699="","",'RPT4'!$J699)</f>
        <v/>
      </c>
    </row>
    <row r="700" spans="1:14" x14ac:dyDescent="0.35">
      <c r="A700" s="16" t="s">
        <v>681</v>
      </c>
      <c r="B700" s="2"/>
      <c r="C700" s="26">
        <f t="shared" ref="C700:C723" si="40">IF(Combine="Y", $G700, 0)</f>
        <v>0</v>
      </c>
      <c r="D700" s="2"/>
      <c r="E700" s="4"/>
      <c r="F700" s="2"/>
      <c r="G700" s="26">
        <f t="shared" ref="G700:G723" si="41">SUM($K700:$N700)</f>
        <v>0</v>
      </c>
      <c r="H700" s="2"/>
      <c r="I700" s="4"/>
      <c r="J700" s="2"/>
      <c r="K700" s="27">
        <f>IF('RPT1'!$J700="","",'RPT1'!$J700)</f>
        <v>0</v>
      </c>
      <c r="L700" s="27">
        <f>IF('RPT2'!$J700="","",'RPT2'!$J700)</f>
        <v>0</v>
      </c>
      <c r="M700" s="27">
        <f>IF('RPT3'!$J700="","",'RPT3'!$J700)</f>
        <v>0</v>
      </c>
      <c r="N700" s="27">
        <f>IF('RPT4'!$J700="","",'RPT4'!$J700)</f>
        <v>0</v>
      </c>
    </row>
    <row r="701" spans="1:14" x14ac:dyDescent="0.35">
      <c r="A701" s="16" t="s">
        <v>682</v>
      </c>
      <c r="B701" s="2"/>
      <c r="C701" s="26">
        <f t="shared" si="40"/>
        <v>0</v>
      </c>
      <c r="D701" s="2"/>
      <c r="E701" s="4"/>
      <c r="F701" s="2"/>
      <c r="G701" s="26">
        <f t="shared" si="41"/>
        <v>0</v>
      </c>
      <c r="H701" s="2"/>
      <c r="I701" s="4"/>
      <c r="J701" s="2"/>
      <c r="K701" s="27">
        <f>IF('RPT1'!$J701="","",'RPT1'!$J701)</f>
        <v>0</v>
      </c>
      <c r="L701" s="27">
        <f>IF('RPT2'!$J701="","",'RPT2'!$J701)</f>
        <v>0</v>
      </c>
      <c r="M701" s="27">
        <f>IF('RPT3'!$J701="","",'RPT3'!$J701)</f>
        <v>0</v>
      </c>
      <c r="N701" s="27">
        <f>IF('RPT4'!$J701="","",'RPT4'!$J701)</f>
        <v>0</v>
      </c>
    </row>
    <row r="702" spans="1:14" x14ac:dyDescent="0.35">
      <c r="A702" s="16" t="s">
        <v>683</v>
      </c>
      <c r="B702" s="2"/>
      <c r="C702" s="26">
        <f t="shared" si="40"/>
        <v>0</v>
      </c>
      <c r="D702" s="2"/>
      <c r="E702" s="4"/>
      <c r="F702" s="2"/>
      <c r="G702" s="26">
        <f t="shared" si="41"/>
        <v>0</v>
      </c>
      <c r="H702" s="2"/>
      <c r="I702" s="4"/>
      <c r="J702" s="2"/>
      <c r="K702" s="27">
        <f>IF('RPT1'!$J702="","",'RPT1'!$J702)</f>
        <v>0</v>
      </c>
      <c r="L702" s="27">
        <f>IF('RPT2'!$J702="","",'RPT2'!$J702)</f>
        <v>0</v>
      </c>
      <c r="M702" s="27">
        <f>IF('RPT3'!$J702="","",'RPT3'!$J702)</f>
        <v>0</v>
      </c>
      <c r="N702" s="27">
        <f>IF('RPT4'!$J702="","",'RPT4'!$J702)</f>
        <v>0</v>
      </c>
    </row>
    <row r="703" spans="1:14" x14ac:dyDescent="0.35">
      <c r="A703" s="16" t="s">
        <v>684</v>
      </c>
      <c r="B703" s="2"/>
      <c r="C703" s="26">
        <f t="shared" si="40"/>
        <v>0</v>
      </c>
      <c r="D703" s="2"/>
      <c r="E703" s="4"/>
      <c r="F703" s="2"/>
      <c r="G703" s="26">
        <f t="shared" si="41"/>
        <v>0</v>
      </c>
      <c r="H703" s="2"/>
      <c r="I703" s="4"/>
      <c r="J703" s="2"/>
      <c r="K703" s="27">
        <f>IF('RPT1'!$J703="","",'RPT1'!$J703)</f>
        <v>0</v>
      </c>
      <c r="L703" s="27">
        <f>IF('RPT2'!$J703="","",'RPT2'!$J703)</f>
        <v>0</v>
      </c>
      <c r="M703" s="27">
        <f>IF('RPT3'!$J703="","",'RPT3'!$J703)</f>
        <v>0</v>
      </c>
      <c r="N703" s="27">
        <f>IF('RPT4'!$J703="","",'RPT4'!$J703)</f>
        <v>0</v>
      </c>
    </row>
    <row r="704" spans="1:14" x14ac:dyDescent="0.35">
      <c r="A704" s="16" t="s">
        <v>685</v>
      </c>
      <c r="B704" s="2"/>
      <c r="C704" s="26">
        <f t="shared" si="40"/>
        <v>0</v>
      </c>
      <c r="D704" s="2"/>
      <c r="E704" s="4"/>
      <c r="F704" s="2"/>
      <c r="G704" s="26">
        <f t="shared" si="41"/>
        <v>0</v>
      </c>
      <c r="H704" s="2"/>
      <c r="I704" s="4"/>
      <c r="J704" s="2"/>
      <c r="K704" s="27">
        <f>IF('RPT1'!$J704="","",'RPT1'!$J704)</f>
        <v>0</v>
      </c>
      <c r="L704" s="27">
        <f>IF('RPT2'!$J704="","",'RPT2'!$J704)</f>
        <v>0</v>
      </c>
      <c r="M704" s="27">
        <f>IF('RPT3'!$J704="","",'RPT3'!$J704)</f>
        <v>0</v>
      </c>
      <c r="N704" s="27">
        <f>IF('RPT4'!$J704="","",'RPT4'!$J704)</f>
        <v>0</v>
      </c>
    </row>
    <row r="705" spans="1:14" x14ac:dyDescent="0.35">
      <c r="A705" s="16" t="s">
        <v>686</v>
      </c>
      <c r="B705" s="2"/>
      <c r="C705" s="26">
        <f t="shared" si="40"/>
        <v>0</v>
      </c>
      <c r="D705" s="2"/>
      <c r="E705" s="4"/>
      <c r="F705" s="2"/>
      <c r="G705" s="26">
        <f t="shared" si="41"/>
        <v>0</v>
      </c>
      <c r="H705" s="2"/>
      <c r="I705" s="4"/>
      <c r="J705" s="2"/>
      <c r="K705" s="27">
        <f>IF('RPT1'!$J705="","",'RPT1'!$J705)</f>
        <v>0</v>
      </c>
      <c r="L705" s="27">
        <f>IF('RPT2'!$J705="","",'RPT2'!$J705)</f>
        <v>0</v>
      </c>
      <c r="M705" s="27">
        <f>IF('RPT3'!$J705="","",'RPT3'!$J705)</f>
        <v>0</v>
      </c>
      <c r="N705" s="27">
        <f>IF('RPT4'!$J705="","",'RPT4'!$J705)</f>
        <v>0</v>
      </c>
    </row>
    <row r="706" spans="1:14" x14ac:dyDescent="0.35">
      <c r="A706" s="16" t="s">
        <v>687</v>
      </c>
      <c r="B706" s="2"/>
      <c r="C706" s="26">
        <f t="shared" si="40"/>
        <v>0</v>
      </c>
      <c r="D706" s="2"/>
      <c r="E706" s="4"/>
      <c r="F706" s="2"/>
      <c r="G706" s="26">
        <f t="shared" si="41"/>
        <v>0</v>
      </c>
      <c r="H706" s="2"/>
      <c r="I706" s="4"/>
      <c r="J706" s="2"/>
      <c r="K706" s="27">
        <f>IF('RPT1'!$J706="","",'RPT1'!$J706)</f>
        <v>0</v>
      </c>
      <c r="L706" s="27">
        <f>IF('RPT2'!$J706="","",'RPT2'!$J706)</f>
        <v>0</v>
      </c>
      <c r="M706" s="27">
        <f>IF('RPT3'!$J706="","",'RPT3'!$J706)</f>
        <v>0</v>
      </c>
      <c r="N706" s="27">
        <f>IF('RPT4'!$J706="","",'RPT4'!$J706)</f>
        <v>0</v>
      </c>
    </row>
    <row r="707" spans="1:14" x14ac:dyDescent="0.35">
      <c r="A707" s="16" t="s">
        <v>688</v>
      </c>
      <c r="B707" s="2"/>
      <c r="C707" s="26">
        <f t="shared" si="40"/>
        <v>0</v>
      </c>
      <c r="D707" s="2"/>
      <c r="E707" s="4"/>
      <c r="F707" s="2"/>
      <c r="G707" s="26">
        <f t="shared" si="41"/>
        <v>0</v>
      </c>
      <c r="H707" s="2"/>
      <c r="I707" s="4"/>
      <c r="J707" s="2"/>
      <c r="K707" s="27">
        <f>IF('RPT1'!$J707="","",'RPT1'!$J707)</f>
        <v>0</v>
      </c>
      <c r="L707" s="27">
        <f>IF('RPT2'!$J707="","",'RPT2'!$J707)</f>
        <v>0</v>
      </c>
      <c r="M707" s="27">
        <f>IF('RPT3'!$J707="","",'RPT3'!$J707)</f>
        <v>0</v>
      </c>
      <c r="N707" s="27">
        <f>IF('RPT4'!$J707="","",'RPT4'!$J707)</f>
        <v>0</v>
      </c>
    </row>
    <row r="708" spans="1:14" x14ac:dyDescent="0.35">
      <c r="A708" s="16" t="s">
        <v>689</v>
      </c>
      <c r="B708" s="2"/>
      <c r="C708" s="26">
        <f t="shared" si="40"/>
        <v>0</v>
      </c>
      <c r="D708" s="2"/>
      <c r="E708" s="4"/>
      <c r="F708" s="2"/>
      <c r="G708" s="26">
        <f t="shared" si="41"/>
        <v>0</v>
      </c>
      <c r="H708" s="2"/>
      <c r="I708" s="4"/>
      <c r="J708" s="2"/>
      <c r="K708" s="27">
        <f>IF('RPT1'!$J708="","",'RPT1'!$J708)</f>
        <v>0</v>
      </c>
      <c r="L708" s="27">
        <f>IF('RPT2'!$J708="","",'RPT2'!$J708)</f>
        <v>0</v>
      </c>
      <c r="M708" s="27">
        <f>IF('RPT3'!$J708="","",'RPT3'!$J708)</f>
        <v>0</v>
      </c>
      <c r="N708" s="27">
        <f>IF('RPT4'!$J708="","",'RPT4'!$J708)</f>
        <v>0</v>
      </c>
    </row>
    <row r="709" spans="1:14" x14ac:dyDescent="0.35">
      <c r="A709" s="16" t="s">
        <v>690</v>
      </c>
      <c r="B709" s="2"/>
      <c r="C709" s="26">
        <f t="shared" si="40"/>
        <v>0</v>
      </c>
      <c r="D709" s="2"/>
      <c r="E709" s="4"/>
      <c r="F709" s="2"/>
      <c r="G709" s="26">
        <f t="shared" si="41"/>
        <v>0</v>
      </c>
      <c r="H709" s="2"/>
      <c r="I709" s="4"/>
      <c r="J709" s="2"/>
      <c r="K709" s="27">
        <f>IF('RPT1'!$J709="","",'RPT1'!$J709)</f>
        <v>0</v>
      </c>
      <c r="L709" s="27">
        <f>IF('RPT2'!$J709="","",'RPT2'!$J709)</f>
        <v>0</v>
      </c>
      <c r="M709" s="27">
        <f>IF('RPT3'!$J709="","",'RPT3'!$J709)</f>
        <v>0</v>
      </c>
      <c r="N709" s="27">
        <f>IF('RPT4'!$J709="","",'RPT4'!$J709)</f>
        <v>0</v>
      </c>
    </row>
    <row r="710" spans="1:14" x14ac:dyDescent="0.35">
      <c r="A710" s="16" t="s">
        <v>691</v>
      </c>
      <c r="B710" s="2"/>
      <c r="C710" s="26">
        <f t="shared" si="40"/>
        <v>0</v>
      </c>
      <c r="D710" s="2"/>
      <c r="E710" s="4"/>
      <c r="F710" s="2"/>
      <c r="G710" s="26">
        <f t="shared" si="41"/>
        <v>0</v>
      </c>
      <c r="H710" s="2"/>
      <c r="I710" s="4"/>
      <c r="J710" s="2"/>
      <c r="K710" s="27">
        <f>IF('RPT1'!$J710="","",'RPT1'!$J710)</f>
        <v>0</v>
      </c>
      <c r="L710" s="27">
        <f>IF('RPT2'!$J710="","",'RPT2'!$J710)</f>
        <v>0</v>
      </c>
      <c r="M710" s="27">
        <f>IF('RPT3'!$J710="","",'RPT3'!$J710)</f>
        <v>0</v>
      </c>
      <c r="N710" s="27">
        <f>IF('RPT4'!$J710="","",'RPT4'!$J710)</f>
        <v>0</v>
      </c>
    </row>
    <row r="711" spans="1:14" x14ac:dyDescent="0.35">
      <c r="A711" s="16" t="s">
        <v>692</v>
      </c>
      <c r="B711" s="2"/>
      <c r="C711" s="26">
        <f t="shared" si="40"/>
        <v>0</v>
      </c>
      <c r="D711" s="2"/>
      <c r="E711" s="4"/>
      <c r="F711" s="2"/>
      <c r="G711" s="26">
        <f t="shared" si="41"/>
        <v>0</v>
      </c>
      <c r="H711" s="2"/>
      <c r="I711" s="4"/>
      <c r="J711" s="2"/>
      <c r="K711" s="27">
        <f>IF('RPT1'!$J711="","",'RPT1'!$J711)</f>
        <v>0</v>
      </c>
      <c r="L711" s="27">
        <f>IF('RPT2'!$J711="","",'RPT2'!$J711)</f>
        <v>0</v>
      </c>
      <c r="M711" s="27">
        <f>IF('RPT3'!$J711="","",'RPT3'!$J711)</f>
        <v>0</v>
      </c>
      <c r="N711" s="27">
        <f>IF('RPT4'!$J711="","",'RPT4'!$J711)</f>
        <v>0</v>
      </c>
    </row>
    <row r="712" spans="1:14" x14ac:dyDescent="0.35">
      <c r="A712" s="16" t="s">
        <v>693</v>
      </c>
      <c r="B712" s="2"/>
      <c r="C712" s="26">
        <f t="shared" si="40"/>
        <v>0</v>
      </c>
      <c r="D712" s="2"/>
      <c r="E712" s="4"/>
      <c r="F712" s="2"/>
      <c r="G712" s="26">
        <f t="shared" si="41"/>
        <v>0</v>
      </c>
      <c r="H712" s="2"/>
      <c r="I712" s="4"/>
      <c r="J712" s="2"/>
      <c r="K712" s="27">
        <f>IF('RPT1'!$J712="","",'RPT1'!$J712)</f>
        <v>0</v>
      </c>
      <c r="L712" s="27">
        <f>IF('RPT2'!$J712="","",'RPT2'!$J712)</f>
        <v>0</v>
      </c>
      <c r="M712" s="27">
        <f>IF('RPT3'!$J712="","",'RPT3'!$J712)</f>
        <v>0</v>
      </c>
      <c r="N712" s="27">
        <f>IF('RPT4'!$J712="","",'RPT4'!$J712)</f>
        <v>0</v>
      </c>
    </row>
    <row r="713" spans="1:14" x14ac:dyDescent="0.35">
      <c r="A713" s="16" t="s">
        <v>694</v>
      </c>
      <c r="B713" s="2"/>
      <c r="C713" s="26">
        <f t="shared" si="40"/>
        <v>0</v>
      </c>
      <c r="D713" s="2"/>
      <c r="E713" s="4"/>
      <c r="F713" s="2"/>
      <c r="G713" s="26">
        <f t="shared" si="41"/>
        <v>0</v>
      </c>
      <c r="H713" s="2"/>
      <c r="I713" s="4"/>
      <c r="J713" s="2"/>
      <c r="K713" s="27">
        <f>IF('RPT1'!$J713="","",'RPT1'!$J713)</f>
        <v>0</v>
      </c>
      <c r="L713" s="27">
        <f>IF('RPT2'!$J713="","",'RPT2'!$J713)</f>
        <v>0</v>
      </c>
      <c r="M713" s="27">
        <f>IF('RPT3'!$J713="","",'RPT3'!$J713)</f>
        <v>0</v>
      </c>
      <c r="N713" s="27">
        <f>IF('RPT4'!$J713="","",'RPT4'!$J713)</f>
        <v>0</v>
      </c>
    </row>
    <row r="714" spans="1:14" x14ac:dyDescent="0.35">
      <c r="A714" s="16" t="s">
        <v>695</v>
      </c>
      <c r="B714" s="2"/>
      <c r="C714" s="26">
        <f t="shared" si="40"/>
        <v>0</v>
      </c>
      <c r="D714" s="2"/>
      <c r="E714" s="4"/>
      <c r="F714" s="2"/>
      <c r="G714" s="26">
        <f t="shared" si="41"/>
        <v>0</v>
      </c>
      <c r="H714" s="2"/>
      <c r="I714" s="4"/>
      <c r="J714" s="2"/>
      <c r="K714" s="27">
        <f>IF('RPT1'!$J714="","",'RPT1'!$J714)</f>
        <v>0</v>
      </c>
      <c r="L714" s="27">
        <f>IF('RPT2'!$J714="","",'RPT2'!$J714)</f>
        <v>0</v>
      </c>
      <c r="M714" s="27">
        <f>IF('RPT3'!$J714="","",'RPT3'!$J714)</f>
        <v>0</v>
      </c>
      <c r="N714" s="27">
        <f>IF('RPT4'!$J714="","",'RPT4'!$J714)</f>
        <v>0</v>
      </c>
    </row>
    <row r="715" spans="1:14" x14ac:dyDescent="0.35">
      <c r="A715" s="16" t="s">
        <v>696</v>
      </c>
      <c r="B715" s="2"/>
      <c r="C715" s="26">
        <f t="shared" si="40"/>
        <v>0</v>
      </c>
      <c r="D715" s="2"/>
      <c r="E715" s="4"/>
      <c r="F715" s="2"/>
      <c r="G715" s="26">
        <f t="shared" si="41"/>
        <v>0</v>
      </c>
      <c r="H715" s="2"/>
      <c r="I715" s="4"/>
      <c r="J715" s="2"/>
      <c r="K715" s="27">
        <f>IF('RPT1'!$J715="","",'RPT1'!$J715)</f>
        <v>0</v>
      </c>
      <c r="L715" s="27">
        <f>IF('RPT2'!$J715="","",'RPT2'!$J715)</f>
        <v>0</v>
      </c>
      <c r="M715" s="27">
        <f>IF('RPT3'!$J715="","",'RPT3'!$J715)</f>
        <v>0</v>
      </c>
      <c r="N715" s="27">
        <f>IF('RPT4'!$J715="","",'RPT4'!$J715)</f>
        <v>0</v>
      </c>
    </row>
    <row r="716" spans="1:14" x14ac:dyDescent="0.35">
      <c r="A716" s="16" t="s">
        <v>697</v>
      </c>
      <c r="B716" s="2"/>
      <c r="C716" s="26">
        <f t="shared" si="40"/>
        <v>0</v>
      </c>
      <c r="D716" s="2"/>
      <c r="E716" s="4"/>
      <c r="F716" s="2"/>
      <c r="G716" s="26">
        <f t="shared" si="41"/>
        <v>0</v>
      </c>
      <c r="H716" s="2"/>
      <c r="I716" s="4"/>
      <c r="J716" s="2"/>
      <c r="K716" s="27">
        <f>IF('RPT1'!$J716="","",'RPT1'!$J716)</f>
        <v>0</v>
      </c>
      <c r="L716" s="27">
        <f>IF('RPT2'!$J716="","",'RPT2'!$J716)</f>
        <v>0</v>
      </c>
      <c r="M716" s="27">
        <f>IF('RPT3'!$J716="","",'RPT3'!$J716)</f>
        <v>0</v>
      </c>
      <c r="N716" s="27">
        <f>IF('RPT4'!$J716="","",'RPT4'!$J716)</f>
        <v>0</v>
      </c>
    </row>
    <row r="717" spans="1:14" x14ac:dyDescent="0.35">
      <c r="A717" s="16" t="s">
        <v>698</v>
      </c>
      <c r="B717" s="2"/>
      <c r="C717" s="26">
        <f t="shared" si="40"/>
        <v>0</v>
      </c>
      <c r="D717" s="2"/>
      <c r="E717" s="4"/>
      <c r="F717" s="2"/>
      <c r="G717" s="26">
        <f t="shared" si="41"/>
        <v>0</v>
      </c>
      <c r="H717" s="2"/>
      <c r="I717" s="4"/>
      <c r="J717" s="2"/>
      <c r="K717" s="27">
        <f>IF('RPT1'!$J717="","",'RPT1'!$J717)</f>
        <v>0</v>
      </c>
      <c r="L717" s="27">
        <f>IF('RPT2'!$J717="","",'RPT2'!$J717)</f>
        <v>0</v>
      </c>
      <c r="M717" s="27">
        <f>IF('RPT3'!$J717="","",'RPT3'!$J717)</f>
        <v>0</v>
      </c>
      <c r="N717" s="27">
        <f>IF('RPT4'!$J717="","",'RPT4'!$J717)</f>
        <v>0</v>
      </c>
    </row>
    <row r="718" spans="1:14" x14ac:dyDescent="0.35">
      <c r="A718" s="16" t="s">
        <v>699</v>
      </c>
      <c r="B718" s="2"/>
      <c r="C718" s="26">
        <f t="shared" si="40"/>
        <v>0</v>
      </c>
      <c r="D718" s="2"/>
      <c r="E718" s="4"/>
      <c r="F718" s="2"/>
      <c r="G718" s="26">
        <f t="shared" si="41"/>
        <v>0</v>
      </c>
      <c r="H718" s="2"/>
      <c r="I718" s="4"/>
      <c r="J718" s="2"/>
      <c r="K718" s="27">
        <f>IF('RPT1'!$J718="","",'RPT1'!$J718)</f>
        <v>0</v>
      </c>
      <c r="L718" s="27">
        <f>IF('RPT2'!$J718="","",'RPT2'!$J718)</f>
        <v>0</v>
      </c>
      <c r="M718" s="27">
        <f>IF('RPT3'!$J718="","",'RPT3'!$J718)</f>
        <v>0</v>
      </c>
      <c r="N718" s="27">
        <f>IF('RPT4'!$J718="","",'RPT4'!$J718)</f>
        <v>0</v>
      </c>
    </row>
    <row r="719" spans="1:14" x14ac:dyDescent="0.35">
      <c r="A719" s="16" t="s">
        <v>700</v>
      </c>
      <c r="B719" s="2"/>
      <c r="C719" s="26">
        <f t="shared" si="40"/>
        <v>0</v>
      </c>
      <c r="D719" s="2"/>
      <c r="E719" s="4"/>
      <c r="F719" s="2"/>
      <c r="G719" s="26">
        <f t="shared" si="41"/>
        <v>0</v>
      </c>
      <c r="H719" s="2"/>
      <c r="I719" s="4"/>
      <c r="J719" s="2"/>
      <c r="K719" s="27">
        <f>IF('RPT1'!$J719="","",'RPT1'!$J719)</f>
        <v>0</v>
      </c>
      <c r="L719" s="27">
        <f>IF('RPT2'!$J719="","",'RPT2'!$J719)</f>
        <v>0</v>
      </c>
      <c r="M719" s="27">
        <f>IF('RPT3'!$J719="","",'RPT3'!$J719)</f>
        <v>0</v>
      </c>
      <c r="N719" s="27">
        <f>IF('RPT4'!$J719="","",'RPT4'!$J719)</f>
        <v>0</v>
      </c>
    </row>
    <row r="720" spans="1:14" x14ac:dyDescent="0.35">
      <c r="A720" s="16" t="s">
        <v>701</v>
      </c>
      <c r="B720" s="2"/>
      <c r="C720" s="26">
        <f t="shared" si="40"/>
        <v>0</v>
      </c>
      <c r="D720" s="2"/>
      <c r="E720" s="4"/>
      <c r="F720" s="2"/>
      <c r="G720" s="26">
        <f t="shared" si="41"/>
        <v>0</v>
      </c>
      <c r="H720" s="2"/>
      <c r="I720" s="4"/>
      <c r="J720" s="2"/>
      <c r="K720" s="27">
        <f>IF('RPT1'!$J720="","",'RPT1'!$J720)</f>
        <v>0</v>
      </c>
      <c r="L720" s="27">
        <f>IF('RPT2'!$J720="","",'RPT2'!$J720)</f>
        <v>0</v>
      </c>
      <c r="M720" s="27">
        <f>IF('RPT3'!$J720="","",'RPT3'!$J720)</f>
        <v>0</v>
      </c>
      <c r="N720" s="27">
        <f>IF('RPT4'!$J720="","",'RPT4'!$J720)</f>
        <v>0</v>
      </c>
    </row>
    <row r="721" spans="1:14" x14ac:dyDescent="0.35">
      <c r="A721" s="16" t="s">
        <v>702</v>
      </c>
      <c r="B721" s="2"/>
      <c r="C721" s="26">
        <f t="shared" si="40"/>
        <v>0</v>
      </c>
      <c r="D721" s="2"/>
      <c r="E721" s="4"/>
      <c r="F721" s="2"/>
      <c r="G721" s="26">
        <f t="shared" si="41"/>
        <v>0</v>
      </c>
      <c r="H721" s="2"/>
      <c r="I721" s="4"/>
      <c r="J721" s="2"/>
      <c r="K721" s="27">
        <f>IF('RPT1'!$J721="","",'RPT1'!$J721)</f>
        <v>0</v>
      </c>
      <c r="L721" s="27">
        <f>IF('RPT2'!$J721="","",'RPT2'!$J721)</f>
        <v>0</v>
      </c>
      <c r="M721" s="27">
        <f>IF('RPT3'!$J721="","",'RPT3'!$J721)</f>
        <v>0</v>
      </c>
      <c r="N721" s="27">
        <f>IF('RPT4'!$J721="","",'RPT4'!$J721)</f>
        <v>0</v>
      </c>
    </row>
    <row r="722" spans="1:14" x14ac:dyDescent="0.35">
      <c r="A722" s="16" t="s">
        <v>703</v>
      </c>
      <c r="B722" s="2"/>
      <c r="C722" s="26">
        <f t="shared" si="40"/>
        <v>0</v>
      </c>
      <c r="D722" s="2"/>
      <c r="E722" s="4"/>
      <c r="F722" s="2"/>
      <c r="G722" s="26">
        <f t="shared" si="41"/>
        <v>0</v>
      </c>
      <c r="H722" s="2"/>
      <c r="I722" s="4"/>
      <c r="J722" s="2"/>
      <c r="K722" s="27">
        <f>IF('RPT1'!$J722="","",'RPT1'!$J722)</f>
        <v>0</v>
      </c>
      <c r="L722" s="27">
        <f>IF('RPT2'!$J722="","",'RPT2'!$J722)</f>
        <v>0</v>
      </c>
      <c r="M722" s="27">
        <f>IF('RPT3'!$J722="","",'RPT3'!$J722)</f>
        <v>0</v>
      </c>
      <c r="N722" s="27">
        <f>IF('RPT4'!$J722="","",'RPT4'!$J722)</f>
        <v>0</v>
      </c>
    </row>
    <row r="723" spans="1:14" x14ac:dyDescent="0.35">
      <c r="A723" s="16" t="s">
        <v>704</v>
      </c>
      <c r="B723" s="2"/>
      <c r="C723" s="26">
        <f t="shared" si="40"/>
        <v>0</v>
      </c>
      <c r="D723" s="2"/>
      <c r="E723" s="4"/>
      <c r="F723" s="2"/>
      <c r="G723" s="26">
        <f t="shared" si="41"/>
        <v>0</v>
      </c>
      <c r="H723" s="2"/>
      <c r="I723" s="4"/>
      <c r="J723" s="2"/>
      <c r="K723" s="27">
        <f>IF('RPT1'!$J723="","",'RPT1'!$J723)</f>
        <v>0</v>
      </c>
      <c r="L723" s="27">
        <f>IF('RPT2'!$J723="","",'RPT2'!$J723)</f>
        <v>0</v>
      </c>
      <c r="M723" s="27">
        <f>IF('RPT3'!$J723="","",'RPT3'!$J723)</f>
        <v>0</v>
      </c>
      <c r="N723" s="27">
        <f>IF('RPT4'!$J723="","",'RPT4'!$J723)</f>
        <v>0</v>
      </c>
    </row>
    <row r="724" spans="1:14" x14ac:dyDescent="0.35">
      <c r="A724" s="24"/>
      <c r="B724" s="2"/>
      <c r="C724" s="14"/>
      <c r="D724" s="2"/>
      <c r="E724" s="4"/>
      <c r="F724" s="2"/>
      <c r="G724" s="14"/>
      <c r="H724" s="2"/>
      <c r="I724" s="4"/>
      <c r="J724" s="2"/>
      <c r="K724" s="25"/>
      <c r="L724" s="25"/>
      <c r="M724" s="25"/>
      <c r="N724" s="25"/>
    </row>
    <row r="725" spans="1:14" x14ac:dyDescent="0.35">
      <c r="A725" s="12" t="s">
        <v>705</v>
      </c>
      <c r="B725" s="2"/>
      <c r="C725" s="14"/>
      <c r="D725" s="2"/>
      <c r="E725" s="4"/>
      <c r="F725" s="2"/>
      <c r="G725" s="14"/>
      <c r="H725" s="2"/>
      <c r="I725" s="4"/>
      <c r="J725" s="2"/>
      <c r="K725" s="25" t="str">
        <f>IF('RPT1'!$J725="","",'RPT1'!$J725)</f>
        <v/>
      </c>
      <c r="L725" s="25" t="str">
        <f>IF('RPT2'!$J725="","",'RPT2'!$J725)</f>
        <v/>
      </c>
      <c r="M725" s="25" t="str">
        <f>IF('RPT3'!$J725="","",'RPT3'!$J725)</f>
        <v/>
      </c>
      <c r="N725" s="25" t="str">
        <f>IF('RPT4'!$J725="","",'RPT4'!$J725)</f>
        <v/>
      </c>
    </row>
    <row r="726" spans="1:14" x14ac:dyDescent="0.35">
      <c r="A726" s="16" t="s">
        <v>706</v>
      </c>
      <c r="B726" s="2"/>
      <c r="C726" s="28">
        <f t="shared" ref="C726:C749" si="42">IF(Combine="Y", $G726, 0)</f>
        <v>0</v>
      </c>
      <c r="D726" s="2"/>
      <c r="E726" s="4"/>
      <c r="F726" s="2"/>
      <c r="G726" s="28">
        <f t="shared" ref="G726:G749" si="43">IF(G674=0,0,SUMPRODUCT($K674:$N674,$K726:$N726)/G674)</f>
        <v>0</v>
      </c>
      <c r="H726" s="2"/>
      <c r="I726" s="4"/>
      <c r="J726" s="2"/>
      <c r="K726" s="29">
        <f>IF('RPT1'!$J726="","",'RPT1'!$J726)</f>
        <v>0</v>
      </c>
      <c r="L726" s="29">
        <f>IF('RPT2'!$J726="","",'RPT2'!$J726)</f>
        <v>0</v>
      </c>
      <c r="M726" s="29">
        <f>IF('RPT3'!$J726="","",'RPT3'!$J726)</f>
        <v>0</v>
      </c>
      <c r="N726" s="29">
        <f>IF('RPT4'!$J726="","",'RPT4'!$J726)</f>
        <v>0</v>
      </c>
    </row>
    <row r="727" spans="1:14" x14ac:dyDescent="0.35">
      <c r="A727" s="16" t="s">
        <v>707</v>
      </c>
      <c r="B727" s="2"/>
      <c r="C727" s="28">
        <f t="shared" si="42"/>
        <v>0</v>
      </c>
      <c r="D727" s="2"/>
      <c r="E727" s="4"/>
      <c r="F727" s="2"/>
      <c r="G727" s="28">
        <f t="shared" si="43"/>
        <v>0</v>
      </c>
      <c r="H727" s="2"/>
      <c r="I727" s="4"/>
      <c r="J727" s="2"/>
      <c r="K727" s="29">
        <f>IF('RPT1'!$J727="","",'RPT1'!$J727)</f>
        <v>0</v>
      </c>
      <c r="L727" s="29">
        <f>IF('RPT2'!$J727="","",'RPT2'!$J727)</f>
        <v>0</v>
      </c>
      <c r="M727" s="29">
        <f>IF('RPT3'!$J727="","",'RPT3'!$J727)</f>
        <v>0</v>
      </c>
      <c r="N727" s="29">
        <f>IF('RPT4'!$J727="","",'RPT4'!$J727)</f>
        <v>0</v>
      </c>
    </row>
    <row r="728" spans="1:14" x14ac:dyDescent="0.35">
      <c r="A728" s="16" t="s">
        <v>708</v>
      </c>
      <c r="B728" s="2"/>
      <c r="C728" s="28">
        <f t="shared" si="42"/>
        <v>0</v>
      </c>
      <c r="D728" s="2"/>
      <c r="E728" s="4"/>
      <c r="F728" s="2"/>
      <c r="G728" s="28">
        <f t="shared" si="43"/>
        <v>0</v>
      </c>
      <c r="H728" s="2"/>
      <c r="I728" s="4"/>
      <c r="J728" s="2"/>
      <c r="K728" s="29">
        <f>IF('RPT1'!$J728="","",'RPT1'!$J728)</f>
        <v>0</v>
      </c>
      <c r="L728" s="29">
        <f>IF('RPT2'!$J728="","",'RPT2'!$J728)</f>
        <v>0</v>
      </c>
      <c r="M728" s="29">
        <f>IF('RPT3'!$J728="","",'RPT3'!$J728)</f>
        <v>0</v>
      </c>
      <c r="N728" s="29">
        <f>IF('RPT4'!$J728="","",'RPT4'!$J728)</f>
        <v>0</v>
      </c>
    </row>
    <row r="729" spans="1:14" x14ac:dyDescent="0.35">
      <c r="A729" s="16" t="s">
        <v>709</v>
      </c>
      <c r="B729" s="2"/>
      <c r="C729" s="28">
        <f t="shared" si="42"/>
        <v>0</v>
      </c>
      <c r="D729" s="2"/>
      <c r="E729" s="4"/>
      <c r="F729" s="2"/>
      <c r="G729" s="28">
        <f t="shared" si="43"/>
        <v>0</v>
      </c>
      <c r="H729" s="2"/>
      <c r="I729" s="4"/>
      <c r="J729" s="2"/>
      <c r="K729" s="29">
        <f>IF('RPT1'!$J729="","",'RPT1'!$J729)</f>
        <v>0</v>
      </c>
      <c r="L729" s="29">
        <f>IF('RPT2'!$J729="","",'RPT2'!$J729)</f>
        <v>0</v>
      </c>
      <c r="M729" s="29">
        <f>IF('RPT3'!$J729="","",'RPT3'!$J729)</f>
        <v>0</v>
      </c>
      <c r="N729" s="29">
        <f>IF('RPT4'!$J729="","",'RPT4'!$J729)</f>
        <v>0</v>
      </c>
    </row>
    <row r="730" spans="1:14" x14ac:dyDescent="0.35">
      <c r="A730" s="16" t="s">
        <v>710</v>
      </c>
      <c r="B730" s="2"/>
      <c r="C730" s="28">
        <f t="shared" si="42"/>
        <v>0</v>
      </c>
      <c r="D730" s="2"/>
      <c r="E730" s="4"/>
      <c r="F730" s="2"/>
      <c r="G730" s="28">
        <f t="shared" si="43"/>
        <v>0</v>
      </c>
      <c r="H730" s="2"/>
      <c r="I730" s="4"/>
      <c r="J730" s="2"/>
      <c r="K730" s="29">
        <f>IF('RPT1'!$J730="","",'RPT1'!$J730)</f>
        <v>0</v>
      </c>
      <c r="L730" s="29">
        <f>IF('RPT2'!$J730="","",'RPT2'!$J730)</f>
        <v>0</v>
      </c>
      <c r="M730" s="29">
        <f>IF('RPT3'!$J730="","",'RPT3'!$J730)</f>
        <v>0</v>
      </c>
      <c r="N730" s="29">
        <f>IF('RPT4'!$J730="","",'RPT4'!$J730)</f>
        <v>0</v>
      </c>
    </row>
    <row r="731" spans="1:14" x14ac:dyDescent="0.35">
      <c r="A731" s="16" t="s">
        <v>711</v>
      </c>
      <c r="B731" s="2"/>
      <c r="C731" s="28">
        <f t="shared" si="42"/>
        <v>0</v>
      </c>
      <c r="D731" s="2"/>
      <c r="E731" s="4"/>
      <c r="F731" s="2"/>
      <c r="G731" s="28">
        <f t="shared" si="43"/>
        <v>0</v>
      </c>
      <c r="H731" s="2"/>
      <c r="I731" s="4"/>
      <c r="J731" s="2"/>
      <c r="K731" s="29">
        <f>IF('RPT1'!$J731="","",'RPT1'!$J731)</f>
        <v>0</v>
      </c>
      <c r="L731" s="29">
        <f>IF('RPT2'!$J731="","",'RPT2'!$J731)</f>
        <v>0</v>
      </c>
      <c r="M731" s="29">
        <f>IF('RPT3'!$J731="","",'RPT3'!$J731)</f>
        <v>0</v>
      </c>
      <c r="N731" s="29">
        <f>IF('RPT4'!$J731="","",'RPT4'!$J731)</f>
        <v>0</v>
      </c>
    </row>
    <row r="732" spans="1:14" x14ac:dyDescent="0.35">
      <c r="A732" s="16" t="s">
        <v>712</v>
      </c>
      <c r="B732" s="2"/>
      <c r="C732" s="28">
        <f t="shared" si="42"/>
        <v>0</v>
      </c>
      <c r="D732" s="2"/>
      <c r="E732" s="4"/>
      <c r="F732" s="2"/>
      <c r="G732" s="28">
        <f t="shared" si="43"/>
        <v>0</v>
      </c>
      <c r="H732" s="2"/>
      <c r="I732" s="4"/>
      <c r="J732" s="2"/>
      <c r="K732" s="29">
        <f>IF('RPT1'!$J732="","",'RPT1'!$J732)</f>
        <v>0</v>
      </c>
      <c r="L732" s="29">
        <f>IF('RPT2'!$J732="","",'RPT2'!$J732)</f>
        <v>0</v>
      </c>
      <c r="M732" s="29">
        <f>IF('RPT3'!$J732="","",'RPT3'!$J732)</f>
        <v>0</v>
      </c>
      <c r="N732" s="29">
        <f>IF('RPT4'!$J732="","",'RPT4'!$J732)</f>
        <v>0</v>
      </c>
    </row>
    <row r="733" spans="1:14" x14ac:dyDescent="0.35">
      <c r="A733" s="16" t="s">
        <v>713</v>
      </c>
      <c r="B733" s="2"/>
      <c r="C733" s="28">
        <f t="shared" si="42"/>
        <v>0</v>
      </c>
      <c r="D733" s="2"/>
      <c r="E733" s="4"/>
      <c r="F733" s="2"/>
      <c r="G733" s="28">
        <f t="shared" si="43"/>
        <v>0</v>
      </c>
      <c r="H733" s="2"/>
      <c r="I733" s="4"/>
      <c r="J733" s="2"/>
      <c r="K733" s="29">
        <f>IF('RPT1'!$J733="","",'RPT1'!$J733)</f>
        <v>0</v>
      </c>
      <c r="L733" s="29">
        <f>IF('RPT2'!$J733="","",'RPT2'!$J733)</f>
        <v>0</v>
      </c>
      <c r="M733" s="29">
        <f>IF('RPT3'!$J733="","",'RPT3'!$J733)</f>
        <v>0</v>
      </c>
      <c r="N733" s="29">
        <f>IF('RPT4'!$J733="","",'RPT4'!$J733)</f>
        <v>0</v>
      </c>
    </row>
    <row r="734" spans="1:14" x14ac:dyDescent="0.35">
      <c r="A734" s="16" t="s">
        <v>714</v>
      </c>
      <c r="B734" s="2"/>
      <c r="C734" s="28">
        <f t="shared" si="42"/>
        <v>0</v>
      </c>
      <c r="D734" s="2"/>
      <c r="E734" s="4"/>
      <c r="F734" s="2"/>
      <c r="G734" s="28">
        <f t="shared" si="43"/>
        <v>0</v>
      </c>
      <c r="H734" s="2"/>
      <c r="I734" s="4"/>
      <c r="J734" s="2"/>
      <c r="K734" s="29">
        <f>IF('RPT1'!$J734="","",'RPT1'!$J734)</f>
        <v>0</v>
      </c>
      <c r="L734" s="29">
        <f>IF('RPT2'!$J734="","",'RPT2'!$J734)</f>
        <v>0</v>
      </c>
      <c r="M734" s="29">
        <f>IF('RPT3'!$J734="","",'RPT3'!$J734)</f>
        <v>0</v>
      </c>
      <c r="N734" s="29">
        <f>IF('RPT4'!$J734="","",'RPT4'!$J734)</f>
        <v>0</v>
      </c>
    </row>
    <row r="735" spans="1:14" x14ac:dyDescent="0.35">
      <c r="A735" s="16" t="s">
        <v>715</v>
      </c>
      <c r="B735" s="2"/>
      <c r="C735" s="28">
        <f t="shared" si="42"/>
        <v>0</v>
      </c>
      <c r="D735" s="2"/>
      <c r="E735" s="4"/>
      <c r="F735" s="2"/>
      <c r="G735" s="28">
        <f t="shared" si="43"/>
        <v>0</v>
      </c>
      <c r="H735" s="2"/>
      <c r="I735" s="4"/>
      <c r="J735" s="2"/>
      <c r="K735" s="29">
        <f>IF('RPT1'!$J735="","",'RPT1'!$J735)</f>
        <v>0</v>
      </c>
      <c r="L735" s="29">
        <f>IF('RPT2'!$J735="","",'RPT2'!$J735)</f>
        <v>0</v>
      </c>
      <c r="M735" s="29">
        <f>IF('RPT3'!$J735="","",'RPT3'!$J735)</f>
        <v>0</v>
      </c>
      <c r="N735" s="29">
        <f>IF('RPT4'!$J735="","",'RPT4'!$J735)</f>
        <v>0</v>
      </c>
    </row>
    <row r="736" spans="1:14" x14ac:dyDescent="0.35">
      <c r="A736" s="16" t="s">
        <v>716</v>
      </c>
      <c r="B736" s="2"/>
      <c r="C736" s="28">
        <f t="shared" si="42"/>
        <v>0</v>
      </c>
      <c r="D736" s="2"/>
      <c r="E736" s="4"/>
      <c r="F736" s="2"/>
      <c r="G736" s="28">
        <f t="shared" si="43"/>
        <v>0</v>
      </c>
      <c r="H736" s="2"/>
      <c r="I736" s="4"/>
      <c r="J736" s="2"/>
      <c r="K736" s="29">
        <f>IF('RPT1'!$J736="","",'RPT1'!$J736)</f>
        <v>0</v>
      </c>
      <c r="L736" s="29">
        <f>IF('RPT2'!$J736="","",'RPT2'!$J736)</f>
        <v>0</v>
      </c>
      <c r="M736" s="29">
        <f>IF('RPT3'!$J736="","",'RPT3'!$J736)</f>
        <v>0</v>
      </c>
      <c r="N736" s="29">
        <f>IF('RPT4'!$J736="","",'RPT4'!$J736)</f>
        <v>0</v>
      </c>
    </row>
    <row r="737" spans="1:14" x14ac:dyDescent="0.35">
      <c r="A737" s="16" t="s">
        <v>717</v>
      </c>
      <c r="B737" s="2"/>
      <c r="C737" s="28">
        <f t="shared" si="42"/>
        <v>0</v>
      </c>
      <c r="D737" s="2"/>
      <c r="E737" s="4"/>
      <c r="F737" s="2"/>
      <c r="G737" s="28">
        <f t="shared" si="43"/>
        <v>0</v>
      </c>
      <c r="H737" s="2"/>
      <c r="I737" s="4"/>
      <c r="J737" s="2"/>
      <c r="K737" s="29">
        <f>IF('RPT1'!$J737="","",'RPT1'!$J737)</f>
        <v>0</v>
      </c>
      <c r="L737" s="29">
        <f>IF('RPT2'!$J737="","",'RPT2'!$J737)</f>
        <v>0</v>
      </c>
      <c r="M737" s="29">
        <f>IF('RPT3'!$J737="","",'RPT3'!$J737)</f>
        <v>0</v>
      </c>
      <c r="N737" s="29">
        <f>IF('RPT4'!$J737="","",'RPT4'!$J737)</f>
        <v>0</v>
      </c>
    </row>
    <row r="738" spans="1:14" x14ac:dyDescent="0.35">
      <c r="A738" s="16" t="s">
        <v>718</v>
      </c>
      <c r="B738" s="2"/>
      <c r="C738" s="28">
        <f t="shared" si="42"/>
        <v>0</v>
      </c>
      <c r="D738" s="2"/>
      <c r="E738" s="4"/>
      <c r="F738" s="2"/>
      <c r="G738" s="28">
        <f t="shared" si="43"/>
        <v>0</v>
      </c>
      <c r="H738" s="2"/>
      <c r="I738" s="4"/>
      <c r="J738" s="2"/>
      <c r="K738" s="29">
        <f>IF('RPT1'!$J738="","",'RPT1'!$J738)</f>
        <v>0</v>
      </c>
      <c r="L738" s="29">
        <f>IF('RPT2'!$J738="","",'RPT2'!$J738)</f>
        <v>0</v>
      </c>
      <c r="M738" s="29">
        <f>IF('RPT3'!$J738="","",'RPT3'!$J738)</f>
        <v>0</v>
      </c>
      <c r="N738" s="29">
        <f>IF('RPT4'!$J738="","",'RPT4'!$J738)</f>
        <v>0</v>
      </c>
    </row>
    <row r="739" spans="1:14" x14ac:dyDescent="0.35">
      <c r="A739" s="16" t="s">
        <v>719</v>
      </c>
      <c r="B739" s="2"/>
      <c r="C739" s="28">
        <f t="shared" si="42"/>
        <v>0</v>
      </c>
      <c r="D739" s="2"/>
      <c r="E739" s="4"/>
      <c r="F739" s="2"/>
      <c r="G739" s="28">
        <f t="shared" si="43"/>
        <v>0</v>
      </c>
      <c r="H739" s="2"/>
      <c r="I739" s="4"/>
      <c r="J739" s="2"/>
      <c r="K739" s="29">
        <f>IF('RPT1'!$J739="","",'RPT1'!$J739)</f>
        <v>0</v>
      </c>
      <c r="L739" s="29">
        <f>IF('RPT2'!$J739="","",'RPT2'!$J739)</f>
        <v>0</v>
      </c>
      <c r="M739" s="29">
        <f>IF('RPT3'!$J739="","",'RPT3'!$J739)</f>
        <v>0</v>
      </c>
      <c r="N739" s="29">
        <f>IF('RPT4'!$J739="","",'RPT4'!$J739)</f>
        <v>0</v>
      </c>
    </row>
    <row r="740" spans="1:14" x14ac:dyDescent="0.35">
      <c r="A740" s="16" t="s">
        <v>720</v>
      </c>
      <c r="B740" s="2"/>
      <c r="C740" s="28">
        <f t="shared" si="42"/>
        <v>0</v>
      </c>
      <c r="D740" s="2"/>
      <c r="E740" s="4"/>
      <c r="F740" s="2"/>
      <c r="G740" s="28">
        <f t="shared" si="43"/>
        <v>0</v>
      </c>
      <c r="H740" s="2"/>
      <c r="I740" s="4"/>
      <c r="J740" s="2"/>
      <c r="K740" s="29">
        <f>IF('RPT1'!$J740="","",'RPT1'!$J740)</f>
        <v>0</v>
      </c>
      <c r="L740" s="29">
        <f>IF('RPT2'!$J740="","",'RPT2'!$J740)</f>
        <v>0</v>
      </c>
      <c r="M740" s="29">
        <f>IF('RPT3'!$J740="","",'RPT3'!$J740)</f>
        <v>0</v>
      </c>
      <c r="N740" s="29">
        <f>IF('RPT4'!$J740="","",'RPT4'!$J740)</f>
        <v>0</v>
      </c>
    </row>
    <row r="741" spans="1:14" x14ac:dyDescent="0.35">
      <c r="A741" s="16" t="s">
        <v>721</v>
      </c>
      <c r="B741" s="2"/>
      <c r="C741" s="28">
        <f t="shared" si="42"/>
        <v>0</v>
      </c>
      <c r="D741" s="2"/>
      <c r="E741" s="4"/>
      <c r="F741" s="2"/>
      <c r="G741" s="28">
        <f t="shared" si="43"/>
        <v>0</v>
      </c>
      <c r="H741" s="2"/>
      <c r="I741" s="4"/>
      <c r="J741" s="2"/>
      <c r="K741" s="29">
        <f>IF('RPT1'!$J741="","",'RPT1'!$J741)</f>
        <v>0</v>
      </c>
      <c r="L741" s="29">
        <f>IF('RPT2'!$J741="","",'RPT2'!$J741)</f>
        <v>0</v>
      </c>
      <c r="M741" s="29">
        <f>IF('RPT3'!$J741="","",'RPT3'!$J741)</f>
        <v>0</v>
      </c>
      <c r="N741" s="29">
        <f>IF('RPT4'!$J741="","",'RPT4'!$J741)</f>
        <v>0</v>
      </c>
    </row>
    <row r="742" spans="1:14" x14ac:dyDescent="0.35">
      <c r="A742" s="16" t="s">
        <v>722</v>
      </c>
      <c r="B742" s="2"/>
      <c r="C742" s="28">
        <f t="shared" si="42"/>
        <v>0</v>
      </c>
      <c r="D742" s="2"/>
      <c r="E742" s="4"/>
      <c r="F742" s="2"/>
      <c r="G742" s="28">
        <f t="shared" si="43"/>
        <v>0</v>
      </c>
      <c r="H742" s="2"/>
      <c r="I742" s="4"/>
      <c r="J742" s="2"/>
      <c r="K742" s="29">
        <f>IF('RPT1'!$J742="","",'RPT1'!$J742)</f>
        <v>0</v>
      </c>
      <c r="L742" s="29">
        <f>IF('RPT2'!$J742="","",'RPT2'!$J742)</f>
        <v>0</v>
      </c>
      <c r="M742" s="29">
        <f>IF('RPT3'!$J742="","",'RPT3'!$J742)</f>
        <v>0</v>
      </c>
      <c r="N742" s="29">
        <f>IF('RPT4'!$J742="","",'RPT4'!$J742)</f>
        <v>0</v>
      </c>
    </row>
    <row r="743" spans="1:14" x14ac:dyDescent="0.35">
      <c r="A743" s="16" t="s">
        <v>723</v>
      </c>
      <c r="B743" s="2"/>
      <c r="C743" s="28">
        <f t="shared" si="42"/>
        <v>0</v>
      </c>
      <c r="D743" s="2"/>
      <c r="E743" s="4"/>
      <c r="F743" s="2"/>
      <c r="G743" s="28">
        <f t="shared" si="43"/>
        <v>0</v>
      </c>
      <c r="H743" s="2"/>
      <c r="I743" s="4"/>
      <c r="J743" s="2"/>
      <c r="K743" s="29">
        <f>IF('RPT1'!$J743="","",'RPT1'!$J743)</f>
        <v>0</v>
      </c>
      <c r="L743" s="29">
        <f>IF('RPT2'!$J743="","",'RPT2'!$J743)</f>
        <v>0</v>
      </c>
      <c r="M743" s="29">
        <f>IF('RPT3'!$J743="","",'RPT3'!$J743)</f>
        <v>0</v>
      </c>
      <c r="N743" s="29">
        <f>IF('RPT4'!$J743="","",'RPT4'!$J743)</f>
        <v>0</v>
      </c>
    </row>
    <row r="744" spans="1:14" x14ac:dyDescent="0.35">
      <c r="A744" s="16" t="s">
        <v>724</v>
      </c>
      <c r="B744" s="2"/>
      <c r="C744" s="28">
        <f t="shared" si="42"/>
        <v>0</v>
      </c>
      <c r="D744" s="2"/>
      <c r="E744" s="4"/>
      <c r="F744" s="2"/>
      <c r="G744" s="28">
        <f t="shared" si="43"/>
        <v>0</v>
      </c>
      <c r="H744" s="2"/>
      <c r="I744" s="4"/>
      <c r="J744" s="2"/>
      <c r="K744" s="29">
        <f>IF('RPT1'!$J744="","",'RPT1'!$J744)</f>
        <v>0</v>
      </c>
      <c r="L744" s="29">
        <f>IF('RPT2'!$J744="","",'RPT2'!$J744)</f>
        <v>0</v>
      </c>
      <c r="M744" s="29">
        <f>IF('RPT3'!$J744="","",'RPT3'!$J744)</f>
        <v>0</v>
      </c>
      <c r="N744" s="29">
        <f>IF('RPT4'!$J744="","",'RPT4'!$J744)</f>
        <v>0</v>
      </c>
    </row>
    <row r="745" spans="1:14" x14ac:dyDescent="0.35">
      <c r="A745" s="16" t="s">
        <v>725</v>
      </c>
      <c r="B745" s="2"/>
      <c r="C745" s="28">
        <f t="shared" si="42"/>
        <v>0</v>
      </c>
      <c r="D745" s="2"/>
      <c r="E745" s="4"/>
      <c r="F745" s="2"/>
      <c r="G745" s="28">
        <f t="shared" si="43"/>
        <v>0</v>
      </c>
      <c r="H745" s="2"/>
      <c r="I745" s="4"/>
      <c r="J745" s="2"/>
      <c r="K745" s="29">
        <f>IF('RPT1'!$J745="","",'RPT1'!$J745)</f>
        <v>0</v>
      </c>
      <c r="L745" s="29">
        <f>IF('RPT2'!$J745="","",'RPT2'!$J745)</f>
        <v>0</v>
      </c>
      <c r="M745" s="29">
        <f>IF('RPT3'!$J745="","",'RPT3'!$J745)</f>
        <v>0</v>
      </c>
      <c r="N745" s="29">
        <f>IF('RPT4'!$J745="","",'RPT4'!$J745)</f>
        <v>0</v>
      </c>
    </row>
    <row r="746" spans="1:14" x14ac:dyDescent="0.35">
      <c r="A746" s="16" t="s">
        <v>726</v>
      </c>
      <c r="B746" s="2"/>
      <c r="C746" s="28">
        <f t="shared" si="42"/>
        <v>0</v>
      </c>
      <c r="D746" s="2"/>
      <c r="E746" s="4"/>
      <c r="F746" s="2"/>
      <c r="G746" s="28">
        <f t="shared" si="43"/>
        <v>0</v>
      </c>
      <c r="H746" s="2"/>
      <c r="I746" s="4"/>
      <c r="J746" s="2"/>
      <c r="K746" s="29">
        <f>IF('RPT1'!$J746="","",'RPT1'!$J746)</f>
        <v>0</v>
      </c>
      <c r="L746" s="29">
        <f>IF('RPT2'!$J746="","",'RPT2'!$J746)</f>
        <v>0</v>
      </c>
      <c r="M746" s="29">
        <f>IF('RPT3'!$J746="","",'RPT3'!$J746)</f>
        <v>0</v>
      </c>
      <c r="N746" s="29">
        <f>IF('RPT4'!$J746="","",'RPT4'!$J746)</f>
        <v>0</v>
      </c>
    </row>
    <row r="747" spans="1:14" x14ac:dyDescent="0.35">
      <c r="A747" s="16" t="s">
        <v>727</v>
      </c>
      <c r="B747" s="2"/>
      <c r="C747" s="28">
        <f t="shared" si="42"/>
        <v>0</v>
      </c>
      <c r="D747" s="2"/>
      <c r="E747" s="4"/>
      <c r="F747" s="2"/>
      <c r="G747" s="28">
        <f t="shared" si="43"/>
        <v>0</v>
      </c>
      <c r="H747" s="2"/>
      <c r="I747" s="4"/>
      <c r="J747" s="2"/>
      <c r="K747" s="29">
        <f>IF('RPT1'!$J747="","",'RPT1'!$J747)</f>
        <v>0</v>
      </c>
      <c r="L747" s="29">
        <f>IF('RPT2'!$J747="","",'RPT2'!$J747)</f>
        <v>0</v>
      </c>
      <c r="M747" s="29">
        <f>IF('RPT3'!$J747="","",'RPT3'!$J747)</f>
        <v>0</v>
      </c>
      <c r="N747" s="29">
        <f>IF('RPT4'!$J747="","",'RPT4'!$J747)</f>
        <v>0</v>
      </c>
    </row>
    <row r="748" spans="1:14" x14ac:dyDescent="0.35">
      <c r="A748" s="16" t="s">
        <v>728</v>
      </c>
      <c r="B748" s="2"/>
      <c r="C748" s="28">
        <f t="shared" si="42"/>
        <v>0</v>
      </c>
      <c r="D748" s="2"/>
      <c r="E748" s="4"/>
      <c r="F748" s="2"/>
      <c r="G748" s="28">
        <f t="shared" si="43"/>
        <v>0</v>
      </c>
      <c r="H748" s="2"/>
      <c r="I748" s="4"/>
      <c r="J748" s="2"/>
      <c r="K748" s="29">
        <f>IF('RPT1'!$J748="","",'RPT1'!$J748)</f>
        <v>0</v>
      </c>
      <c r="L748" s="29">
        <f>IF('RPT2'!$J748="","",'RPT2'!$J748)</f>
        <v>0</v>
      </c>
      <c r="M748" s="29">
        <f>IF('RPT3'!$J748="","",'RPT3'!$J748)</f>
        <v>0</v>
      </c>
      <c r="N748" s="29">
        <f>IF('RPT4'!$J748="","",'RPT4'!$J748)</f>
        <v>0</v>
      </c>
    </row>
    <row r="749" spans="1:14" x14ac:dyDescent="0.35">
      <c r="A749" s="16" t="s">
        <v>729</v>
      </c>
      <c r="B749" s="2"/>
      <c r="C749" s="28">
        <f t="shared" si="42"/>
        <v>0</v>
      </c>
      <c r="D749" s="2"/>
      <c r="E749" s="4"/>
      <c r="F749" s="2"/>
      <c r="G749" s="28">
        <f t="shared" si="43"/>
        <v>0</v>
      </c>
      <c r="H749" s="2"/>
      <c r="I749" s="4"/>
      <c r="J749" s="2"/>
      <c r="K749" s="29">
        <f>IF('RPT1'!$J749="","",'RPT1'!$J749)</f>
        <v>0</v>
      </c>
      <c r="L749" s="29">
        <f>IF('RPT2'!$J749="","",'RPT2'!$J749)</f>
        <v>0</v>
      </c>
      <c r="M749" s="29">
        <f>IF('RPT3'!$J749="","",'RPT3'!$J749)</f>
        <v>0</v>
      </c>
      <c r="N749" s="29">
        <f>IF('RPT4'!$J749="","",'RPT4'!$J749)</f>
        <v>0</v>
      </c>
    </row>
    <row r="750" spans="1:14" x14ac:dyDescent="0.35">
      <c r="A750" s="24"/>
      <c r="B750" s="2"/>
      <c r="C750" s="14"/>
      <c r="D750" s="2"/>
      <c r="E750" s="4"/>
      <c r="F750" s="2"/>
      <c r="G750" s="14"/>
      <c r="H750" s="2"/>
      <c r="I750" s="4"/>
      <c r="J750" s="2"/>
      <c r="K750" s="25"/>
      <c r="L750" s="25"/>
      <c r="M750" s="25"/>
      <c r="N750" s="25"/>
    </row>
    <row r="751" spans="1:14" x14ac:dyDescent="0.35">
      <c r="A751" s="12" t="s">
        <v>730</v>
      </c>
      <c r="B751" s="2"/>
      <c r="C751" s="14"/>
      <c r="D751" s="2"/>
      <c r="E751" s="4"/>
      <c r="F751" s="2"/>
      <c r="G751" s="14"/>
      <c r="H751" s="2"/>
      <c r="I751" s="4"/>
      <c r="J751" s="2"/>
      <c r="K751" s="25" t="str">
        <f>IF('RPT1'!$J751="","",'RPT1'!$J751)</f>
        <v/>
      </c>
      <c r="L751" s="25" t="str">
        <f>IF('RPT2'!$J751="","",'RPT2'!$J751)</f>
        <v/>
      </c>
      <c r="M751" s="25" t="str">
        <f>IF('RPT3'!$J751="","",'RPT3'!$J751)</f>
        <v/>
      </c>
      <c r="N751" s="25" t="str">
        <f>IF('RPT4'!$J751="","",'RPT4'!$J751)</f>
        <v/>
      </c>
    </row>
    <row r="752" spans="1:14" x14ac:dyDescent="0.35">
      <c r="A752" s="16" t="s">
        <v>731</v>
      </c>
      <c r="B752" s="2"/>
      <c r="C752" s="28">
        <f t="shared" ref="C752:C775" si="44">IF(Combine="Y", $G752, 0)</f>
        <v>0</v>
      </c>
      <c r="D752" s="2"/>
      <c r="E752" s="4"/>
      <c r="F752" s="2"/>
      <c r="G752" s="28">
        <f t="shared" ref="G752:G775" si="45">IF(G700=0,0,SUMPRODUCT($K700:$N700,$K752:$N752)/G700)</f>
        <v>0</v>
      </c>
      <c r="H752" s="2"/>
      <c r="I752" s="4"/>
      <c r="J752" s="2"/>
      <c r="K752" s="29">
        <f>IF('RPT1'!$J752="","",'RPT1'!$J752)</f>
        <v>0</v>
      </c>
      <c r="L752" s="29">
        <f>IF('RPT2'!$J752="","",'RPT2'!$J752)</f>
        <v>0</v>
      </c>
      <c r="M752" s="29">
        <f>IF('RPT3'!$J752="","",'RPT3'!$J752)</f>
        <v>0</v>
      </c>
      <c r="N752" s="29">
        <f>IF('RPT4'!$J752="","",'RPT4'!$J752)</f>
        <v>0</v>
      </c>
    </row>
    <row r="753" spans="1:14" x14ac:dyDescent="0.35">
      <c r="A753" s="16" t="s">
        <v>732</v>
      </c>
      <c r="B753" s="2"/>
      <c r="C753" s="28">
        <f t="shared" si="44"/>
        <v>0</v>
      </c>
      <c r="D753" s="2"/>
      <c r="E753" s="4"/>
      <c r="F753" s="2"/>
      <c r="G753" s="28">
        <f t="shared" si="45"/>
        <v>0</v>
      </c>
      <c r="H753" s="2"/>
      <c r="I753" s="4"/>
      <c r="J753" s="2"/>
      <c r="K753" s="29">
        <f>IF('RPT1'!$J753="","",'RPT1'!$J753)</f>
        <v>0</v>
      </c>
      <c r="L753" s="29">
        <f>IF('RPT2'!$J753="","",'RPT2'!$J753)</f>
        <v>0</v>
      </c>
      <c r="M753" s="29">
        <f>IF('RPT3'!$J753="","",'RPT3'!$J753)</f>
        <v>0</v>
      </c>
      <c r="N753" s="29">
        <f>IF('RPT4'!$J753="","",'RPT4'!$J753)</f>
        <v>0</v>
      </c>
    </row>
    <row r="754" spans="1:14" x14ac:dyDescent="0.35">
      <c r="A754" s="16" t="s">
        <v>733</v>
      </c>
      <c r="B754" s="2"/>
      <c r="C754" s="28">
        <f t="shared" si="44"/>
        <v>0</v>
      </c>
      <c r="D754" s="2"/>
      <c r="E754" s="4"/>
      <c r="F754" s="2"/>
      <c r="G754" s="28">
        <f t="shared" si="45"/>
        <v>0</v>
      </c>
      <c r="H754" s="2"/>
      <c r="I754" s="4"/>
      <c r="J754" s="2"/>
      <c r="K754" s="29">
        <f>IF('RPT1'!$J754="","",'RPT1'!$J754)</f>
        <v>0</v>
      </c>
      <c r="L754" s="29">
        <f>IF('RPT2'!$J754="","",'RPT2'!$J754)</f>
        <v>0</v>
      </c>
      <c r="M754" s="29">
        <f>IF('RPT3'!$J754="","",'RPT3'!$J754)</f>
        <v>0</v>
      </c>
      <c r="N754" s="29">
        <f>IF('RPT4'!$J754="","",'RPT4'!$J754)</f>
        <v>0</v>
      </c>
    </row>
    <row r="755" spans="1:14" x14ac:dyDescent="0.35">
      <c r="A755" s="16" t="s">
        <v>734</v>
      </c>
      <c r="B755" s="2"/>
      <c r="C755" s="28">
        <f t="shared" si="44"/>
        <v>0</v>
      </c>
      <c r="D755" s="2"/>
      <c r="E755" s="4"/>
      <c r="F755" s="2"/>
      <c r="G755" s="28">
        <f t="shared" si="45"/>
        <v>0</v>
      </c>
      <c r="H755" s="2"/>
      <c r="I755" s="4"/>
      <c r="J755" s="2"/>
      <c r="K755" s="29">
        <f>IF('RPT1'!$J755="","",'RPT1'!$J755)</f>
        <v>0</v>
      </c>
      <c r="L755" s="29">
        <f>IF('RPT2'!$J755="","",'RPT2'!$J755)</f>
        <v>0</v>
      </c>
      <c r="M755" s="29">
        <f>IF('RPT3'!$J755="","",'RPT3'!$J755)</f>
        <v>0</v>
      </c>
      <c r="N755" s="29">
        <f>IF('RPT4'!$J755="","",'RPT4'!$J755)</f>
        <v>0</v>
      </c>
    </row>
    <row r="756" spans="1:14" x14ac:dyDescent="0.35">
      <c r="A756" s="16" t="s">
        <v>735</v>
      </c>
      <c r="B756" s="2"/>
      <c r="C756" s="28">
        <f t="shared" si="44"/>
        <v>0</v>
      </c>
      <c r="D756" s="2"/>
      <c r="E756" s="4"/>
      <c r="F756" s="2"/>
      <c r="G756" s="28">
        <f t="shared" si="45"/>
        <v>0</v>
      </c>
      <c r="H756" s="2"/>
      <c r="I756" s="4"/>
      <c r="J756" s="2"/>
      <c r="K756" s="29">
        <f>IF('RPT1'!$J756="","",'RPT1'!$J756)</f>
        <v>0</v>
      </c>
      <c r="L756" s="29">
        <f>IF('RPT2'!$J756="","",'RPT2'!$J756)</f>
        <v>0</v>
      </c>
      <c r="M756" s="29">
        <f>IF('RPT3'!$J756="","",'RPT3'!$J756)</f>
        <v>0</v>
      </c>
      <c r="N756" s="29">
        <f>IF('RPT4'!$J756="","",'RPT4'!$J756)</f>
        <v>0</v>
      </c>
    </row>
    <row r="757" spans="1:14" x14ac:dyDescent="0.35">
      <c r="A757" s="16" t="s">
        <v>736</v>
      </c>
      <c r="B757" s="2"/>
      <c r="C757" s="28">
        <f t="shared" si="44"/>
        <v>0</v>
      </c>
      <c r="D757" s="2"/>
      <c r="E757" s="4"/>
      <c r="F757" s="2"/>
      <c r="G757" s="28">
        <f t="shared" si="45"/>
        <v>0</v>
      </c>
      <c r="H757" s="2"/>
      <c r="I757" s="4"/>
      <c r="J757" s="2"/>
      <c r="K757" s="29">
        <f>IF('RPT1'!$J757="","",'RPT1'!$J757)</f>
        <v>0</v>
      </c>
      <c r="L757" s="29">
        <f>IF('RPT2'!$J757="","",'RPT2'!$J757)</f>
        <v>0</v>
      </c>
      <c r="M757" s="29">
        <f>IF('RPT3'!$J757="","",'RPT3'!$J757)</f>
        <v>0</v>
      </c>
      <c r="N757" s="29">
        <f>IF('RPT4'!$J757="","",'RPT4'!$J757)</f>
        <v>0</v>
      </c>
    </row>
    <row r="758" spans="1:14" x14ac:dyDescent="0.35">
      <c r="A758" s="16" t="s">
        <v>737</v>
      </c>
      <c r="B758" s="2"/>
      <c r="C758" s="28">
        <f t="shared" si="44"/>
        <v>0</v>
      </c>
      <c r="D758" s="2"/>
      <c r="E758" s="4"/>
      <c r="F758" s="2"/>
      <c r="G758" s="28">
        <f t="shared" si="45"/>
        <v>0</v>
      </c>
      <c r="H758" s="2"/>
      <c r="I758" s="4"/>
      <c r="J758" s="2"/>
      <c r="K758" s="29">
        <f>IF('RPT1'!$J758="","",'RPT1'!$J758)</f>
        <v>0</v>
      </c>
      <c r="L758" s="29">
        <f>IF('RPT2'!$J758="","",'RPT2'!$J758)</f>
        <v>0</v>
      </c>
      <c r="M758" s="29">
        <f>IF('RPT3'!$J758="","",'RPT3'!$J758)</f>
        <v>0</v>
      </c>
      <c r="N758" s="29">
        <f>IF('RPT4'!$J758="","",'RPT4'!$J758)</f>
        <v>0</v>
      </c>
    </row>
    <row r="759" spans="1:14" x14ac:dyDescent="0.35">
      <c r="A759" s="16" t="s">
        <v>738</v>
      </c>
      <c r="B759" s="2"/>
      <c r="C759" s="28">
        <f t="shared" si="44"/>
        <v>0</v>
      </c>
      <c r="D759" s="2"/>
      <c r="E759" s="4"/>
      <c r="F759" s="2"/>
      <c r="G759" s="28">
        <f t="shared" si="45"/>
        <v>0</v>
      </c>
      <c r="H759" s="2"/>
      <c r="I759" s="4"/>
      <c r="J759" s="2"/>
      <c r="K759" s="29">
        <f>IF('RPT1'!$J759="","",'RPT1'!$J759)</f>
        <v>0</v>
      </c>
      <c r="L759" s="29">
        <f>IF('RPT2'!$J759="","",'RPT2'!$J759)</f>
        <v>0</v>
      </c>
      <c r="M759" s="29">
        <f>IF('RPT3'!$J759="","",'RPT3'!$J759)</f>
        <v>0</v>
      </c>
      <c r="N759" s="29">
        <f>IF('RPT4'!$J759="","",'RPT4'!$J759)</f>
        <v>0</v>
      </c>
    </row>
    <row r="760" spans="1:14" x14ac:dyDescent="0.35">
      <c r="A760" s="16" t="s">
        <v>739</v>
      </c>
      <c r="B760" s="2"/>
      <c r="C760" s="28">
        <f t="shared" si="44"/>
        <v>0</v>
      </c>
      <c r="D760" s="2"/>
      <c r="E760" s="4"/>
      <c r="F760" s="2"/>
      <c r="G760" s="28">
        <f t="shared" si="45"/>
        <v>0</v>
      </c>
      <c r="H760" s="2"/>
      <c r="I760" s="4"/>
      <c r="J760" s="2"/>
      <c r="K760" s="29">
        <f>IF('RPT1'!$J760="","",'RPT1'!$J760)</f>
        <v>0</v>
      </c>
      <c r="L760" s="29">
        <f>IF('RPT2'!$J760="","",'RPT2'!$J760)</f>
        <v>0</v>
      </c>
      <c r="M760" s="29">
        <f>IF('RPT3'!$J760="","",'RPT3'!$J760)</f>
        <v>0</v>
      </c>
      <c r="N760" s="29">
        <f>IF('RPT4'!$J760="","",'RPT4'!$J760)</f>
        <v>0</v>
      </c>
    </row>
    <row r="761" spans="1:14" x14ac:dyDescent="0.35">
      <c r="A761" s="16" t="s">
        <v>740</v>
      </c>
      <c r="B761" s="2"/>
      <c r="C761" s="28">
        <f t="shared" si="44"/>
        <v>0</v>
      </c>
      <c r="D761" s="2"/>
      <c r="E761" s="4"/>
      <c r="F761" s="2"/>
      <c r="G761" s="28">
        <f t="shared" si="45"/>
        <v>0</v>
      </c>
      <c r="H761" s="2"/>
      <c r="I761" s="4"/>
      <c r="J761" s="2"/>
      <c r="K761" s="29">
        <f>IF('RPT1'!$J761="","",'RPT1'!$J761)</f>
        <v>0</v>
      </c>
      <c r="L761" s="29">
        <f>IF('RPT2'!$J761="","",'RPT2'!$J761)</f>
        <v>0</v>
      </c>
      <c r="M761" s="29">
        <f>IF('RPT3'!$J761="","",'RPT3'!$J761)</f>
        <v>0</v>
      </c>
      <c r="N761" s="29">
        <f>IF('RPT4'!$J761="","",'RPT4'!$J761)</f>
        <v>0</v>
      </c>
    </row>
    <row r="762" spans="1:14" x14ac:dyDescent="0.35">
      <c r="A762" s="16" t="s">
        <v>741</v>
      </c>
      <c r="B762" s="2"/>
      <c r="C762" s="28">
        <f t="shared" si="44"/>
        <v>0</v>
      </c>
      <c r="D762" s="2"/>
      <c r="E762" s="4"/>
      <c r="F762" s="2"/>
      <c r="G762" s="28">
        <f t="shared" si="45"/>
        <v>0</v>
      </c>
      <c r="H762" s="2"/>
      <c r="I762" s="4"/>
      <c r="J762" s="2"/>
      <c r="K762" s="29">
        <f>IF('RPT1'!$J762="","",'RPT1'!$J762)</f>
        <v>0</v>
      </c>
      <c r="L762" s="29">
        <f>IF('RPT2'!$J762="","",'RPT2'!$J762)</f>
        <v>0</v>
      </c>
      <c r="M762" s="29">
        <f>IF('RPT3'!$J762="","",'RPT3'!$J762)</f>
        <v>0</v>
      </c>
      <c r="N762" s="29">
        <f>IF('RPT4'!$J762="","",'RPT4'!$J762)</f>
        <v>0</v>
      </c>
    </row>
    <row r="763" spans="1:14" x14ac:dyDescent="0.35">
      <c r="A763" s="16" t="s">
        <v>742</v>
      </c>
      <c r="B763" s="2"/>
      <c r="C763" s="28">
        <f t="shared" si="44"/>
        <v>0</v>
      </c>
      <c r="D763" s="2"/>
      <c r="E763" s="4"/>
      <c r="F763" s="2"/>
      <c r="G763" s="28">
        <f t="shared" si="45"/>
        <v>0</v>
      </c>
      <c r="H763" s="2"/>
      <c r="I763" s="4"/>
      <c r="J763" s="2"/>
      <c r="K763" s="29">
        <f>IF('RPT1'!$J763="","",'RPT1'!$J763)</f>
        <v>0</v>
      </c>
      <c r="L763" s="29">
        <f>IF('RPT2'!$J763="","",'RPT2'!$J763)</f>
        <v>0</v>
      </c>
      <c r="M763" s="29">
        <f>IF('RPT3'!$J763="","",'RPT3'!$J763)</f>
        <v>0</v>
      </c>
      <c r="N763" s="29">
        <f>IF('RPT4'!$J763="","",'RPT4'!$J763)</f>
        <v>0</v>
      </c>
    </row>
    <row r="764" spans="1:14" x14ac:dyDescent="0.35">
      <c r="A764" s="16" t="s">
        <v>743</v>
      </c>
      <c r="B764" s="2"/>
      <c r="C764" s="28">
        <f t="shared" si="44"/>
        <v>0</v>
      </c>
      <c r="D764" s="2"/>
      <c r="E764" s="4"/>
      <c r="F764" s="2"/>
      <c r="G764" s="28">
        <f t="shared" si="45"/>
        <v>0</v>
      </c>
      <c r="H764" s="2"/>
      <c r="I764" s="4"/>
      <c r="J764" s="2"/>
      <c r="K764" s="29">
        <f>IF('RPT1'!$J764="","",'RPT1'!$J764)</f>
        <v>0</v>
      </c>
      <c r="L764" s="29">
        <f>IF('RPT2'!$J764="","",'RPT2'!$J764)</f>
        <v>0</v>
      </c>
      <c r="M764" s="29">
        <f>IF('RPT3'!$J764="","",'RPT3'!$J764)</f>
        <v>0</v>
      </c>
      <c r="N764" s="29">
        <f>IF('RPT4'!$J764="","",'RPT4'!$J764)</f>
        <v>0</v>
      </c>
    </row>
    <row r="765" spans="1:14" x14ac:dyDescent="0.35">
      <c r="A765" s="16" t="s">
        <v>744</v>
      </c>
      <c r="B765" s="2"/>
      <c r="C765" s="28">
        <f t="shared" si="44"/>
        <v>0</v>
      </c>
      <c r="D765" s="2"/>
      <c r="E765" s="4"/>
      <c r="F765" s="2"/>
      <c r="G765" s="28">
        <f t="shared" si="45"/>
        <v>0</v>
      </c>
      <c r="H765" s="2"/>
      <c r="I765" s="4"/>
      <c r="J765" s="2"/>
      <c r="K765" s="29">
        <f>IF('RPT1'!$J765="","",'RPT1'!$J765)</f>
        <v>0</v>
      </c>
      <c r="L765" s="29">
        <f>IF('RPT2'!$J765="","",'RPT2'!$J765)</f>
        <v>0</v>
      </c>
      <c r="M765" s="29">
        <f>IF('RPT3'!$J765="","",'RPT3'!$J765)</f>
        <v>0</v>
      </c>
      <c r="N765" s="29">
        <f>IF('RPT4'!$J765="","",'RPT4'!$J765)</f>
        <v>0</v>
      </c>
    </row>
    <row r="766" spans="1:14" x14ac:dyDescent="0.35">
      <c r="A766" s="16" t="s">
        <v>745</v>
      </c>
      <c r="B766" s="2"/>
      <c r="C766" s="28">
        <f t="shared" si="44"/>
        <v>0</v>
      </c>
      <c r="D766" s="2"/>
      <c r="E766" s="4"/>
      <c r="F766" s="2"/>
      <c r="G766" s="28">
        <f t="shared" si="45"/>
        <v>0</v>
      </c>
      <c r="H766" s="2"/>
      <c r="I766" s="4"/>
      <c r="J766" s="2"/>
      <c r="K766" s="29">
        <f>IF('RPT1'!$J766="","",'RPT1'!$J766)</f>
        <v>0</v>
      </c>
      <c r="L766" s="29">
        <f>IF('RPT2'!$J766="","",'RPT2'!$J766)</f>
        <v>0</v>
      </c>
      <c r="M766" s="29">
        <f>IF('RPT3'!$J766="","",'RPT3'!$J766)</f>
        <v>0</v>
      </c>
      <c r="N766" s="29">
        <f>IF('RPT4'!$J766="","",'RPT4'!$J766)</f>
        <v>0</v>
      </c>
    </row>
    <row r="767" spans="1:14" x14ac:dyDescent="0.35">
      <c r="A767" s="16" t="s">
        <v>746</v>
      </c>
      <c r="B767" s="2"/>
      <c r="C767" s="28">
        <f t="shared" si="44"/>
        <v>0</v>
      </c>
      <c r="D767" s="2"/>
      <c r="E767" s="4"/>
      <c r="F767" s="2"/>
      <c r="G767" s="28">
        <f t="shared" si="45"/>
        <v>0</v>
      </c>
      <c r="H767" s="2"/>
      <c r="I767" s="4"/>
      <c r="J767" s="2"/>
      <c r="K767" s="29">
        <f>IF('RPT1'!$J767="","",'RPT1'!$J767)</f>
        <v>0</v>
      </c>
      <c r="L767" s="29">
        <f>IF('RPT2'!$J767="","",'RPT2'!$J767)</f>
        <v>0</v>
      </c>
      <c r="M767" s="29">
        <f>IF('RPT3'!$J767="","",'RPT3'!$J767)</f>
        <v>0</v>
      </c>
      <c r="N767" s="29">
        <f>IF('RPT4'!$J767="","",'RPT4'!$J767)</f>
        <v>0</v>
      </c>
    </row>
    <row r="768" spans="1:14" x14ac:dyDescent="0.35">
      <c r="A768" s="16" t="s">
        <v>747</v>
      </c>
      <c r="B768" s="2"/>
      <c r="C768" s="28">
        <f t="shared" si="44"/>
        <v>0</v>
      </c>
      <c r="D768" s="2"/>
      <c r="E768" s="4"/>
      <c r="F768" s="2"/>
      <c r="G768" s="28">
        <f t="shared" si="45"/>
        <v>0</v>
      </c>
      <c r="H768" s="2"/>
      <c r="I768" s="4"/>
      <c r="J768" s="2"/>
      <c r="K768" s="29">
        <f>IF('RPT1'!$J768="","",'RPT1'!$J768)</f>
        <v>0</v>
      </c>
      <c r="L768" s="29">
        <f>IF('RPT2'!$J768="","",'RPT2'!$J768)</f>
        <v>0</v>
      </c>
      <c r="M768" s="29">
        <f>IF('RPT3'!$J768="","",'RPT3'!$J768)</f>
        <v>0</v>
      </c>
      <c r="N768" s="29">
        <f>IF('RPT4'!$J768="","",'RPT4'!$J768)</f>
        <v>0</v>
      </c>
    </row>
    <row r="769" spans="1:14" x14ac:dyDescent="0.35">
      <c r="A769" s="16" t="s">
        <v>748</v>
      </c>
      <c r="B769" s="2"/>
      <c r="C769" s="28">
        <f t="shared" si="44"/>
        <v>0</v>
      </c>
      <c r="D769" s="2"/>
      <c r="E769" s="4"/>
      <c r="F769" s="2"/>
      <c r="G769" s="28">
        <f t="shared" si="45"/>
        <v>0</v>
      </c>
      <c r="H769" s="2"/>
      <c r="I769" s="4"/>
      <c r="J769" s="2"/>
      <c r="K769" s="29">
        <f>IF('RPT1'!$J769="","",'RPT1'!$J769)</f>
        <v>0</v>
      </c>
      <c r="L769" s="29">
        <f>IF('RPT2'!$J769="","",'RPT2'!$J769)</f>
        <v>0</v>
      </c>
      <c r="M769" s="29">
        <f>IF('RPT3'!$J769="","",'RPT3'!$J769)</f>
        <v>0</v>
      </c>
      <c r="N769" s="29">
        <f>IF('RPT4'!$J769="","",'RPT4'!$J769)</f>
        <v>0</v>
      </c>
    </row>
    <row r="770" spans="1:14" x14ac:dyDescent="0.35">
      <c r="A770" s="16" t="s">
        <v>749</v>
      </c>
      <c r="B770" s="2"/>
      <c r="C770" s="28">
        <f t="shared" si="44"/>
        <v>0</v>
      </c>
      <c r="D770" s="2"/>
      <c r="E770" s="4"/>
      <c r="F770" s="2"/>
      <c r="G770" s="28">
        <f t="shared" si="45"/>
        <v>0</v>
      </c>
      <c r="H770" s="2"/>
      <c r="I770" s="4"/>
      <c r="J770" s="2"/>
      <c r="K770" s="29">
        <f>IF('RPT1'!$J770="","",'RPT1'!$J770)</f>
        <v>0</v>
      </c>
      <c r="L770" s="29">
        <f>IF('RPT2'!$J770="","",'RPT2'!$J770)</f>
        <v>0</v>
      </c>
      <c r="M770" s="29">
        <f>IF('RPT3'!$J770="","",'RPT3'!$J770)</f>
        <v>0</v>
      </c>
      <c r="N770" s="29">
        <f>IF('RPT4'!$J770="","",'RPT4'!$J770)</f>
        <v>0</v>
      </c>
    </row>
    <row r="771" spans="1:14" x14ac:dyDescent="0.35">
      <c r="A771" s="16" t="s">
        <v>750</v>
      </c>
      <c r="B771" s="2"/>
      <c r="C771" s="28">
        <f t="shared" si="44"/>
        <v>0</v>
      </c>
      <c r="D771" s="2"/>
      <c r="E771" s="4"/>
      <c r="F771" s="2"/>
      <c r="G771" s="28">
        <f t="shared" si="45"/>
        <v>0</v>
      </c>
      <c r="H771" s="2"/>
      <c r="I771" s="4"/>
      <c r="J771" s="2"/>
      <c r="K771" s="29">
        <f>IF('RPT1'!$J771="","",'RPT1'!$J771)</f>
        <v>0</v>
      </c>
      <c r="L771" s="29">
        <f>IF('RPT2'!$J771="","",'RPT2'!$J771)</f>
        <v>0</v>
      </c>
      <c r="M771" s="29">
        <f>IF('RPT3'!$J771="","",'RPT3'!$J771)</f>
        <v>0</v>
      </c>
      <c r="N771" s="29">
        <f>IF('RPT4'!$J771="","",'RPT4'!$J771)</f>
        <v>0</v>
      </c>
    </row>
    <row r="772" spans="1:14" x14ac:dyDescent="0.35">
      <c r="A772" s="16" t="s">
        <v>751</v>
      </c>
      <c r="B772" s="2"/>
      <c r="C772" s="28">
        <f t="shared" si="44"/>
        <v>0</v>
      </c>
      <c r="D772" s="2"/>
      <c r="E772" s="4"/>
      <c r="F772" s="2"/>
      <c r="G772" s="28">
        <f t="shared" si="45"/>
        <v>0</v>
      </c>
      <c r="H772" s="2"/>
      <c r="I772" s="4"/>
      <c r="J772" s="2"/>
      <c r="K772" s="29">
        <f>IF('RPT1'!$J772="","",'RPT1'!$J772)</f>
        <v>0</v>
      </c>
      <c r="L772" s="29">
        <f>IF('RPT2'!$J772="","",'RPT2'!$J772)</f>
        <v>0</v>
      </c>
      <c r="M772" s="29">
        <f>IF('RPT3'!$J772="","",'RPT3'!$J772)</f>
        <v>0</v>
      </c>
      <c r="N772" s="29">
        <f>IF('RPT4'!$J772="","",'RPT4'!$J772)</f>
        <v>0</v>
      </c>
    </row>
    <row r="773" spans="1:14" x14ac:dyDescent="0.35">
      <c r="A773" s="16" t="s">
        <v>752</v>
      </c>
      <c r="B773" s="2"/>
      <c r="C773" s="28">
        <f t="shared" si="44"/>
        <v>0</v>
      </c>
      <c r="D773" s="2"/>
      <c r="E773" s="4"/>
      <c r="F773" s="2"/>
      <c r="G773" s="28">
        <f t="shared" si="45"/>
        <v>0</v>
      </c>
      <c r="H773" s="2"/>
      <c r="I773" s="4"/>
      <c r="J773" s="2"/>
      <c r="K773" s="29">
        <f>IF('RPT1'!$J773="","",'RPT1'!$J773)</f>
        <v>0</v>
      </c>
      <c r="L773" s="29">
        <f>IF('RPT2'!$J773="","",'RPT2'!$J773)</f>
        <v>0</v>
      </c>
      <c r="M773" s="29">
        <f>IF('RPT3'!$J773="","",'RPT3'!$J773)</f>
        <v>0</v>
      </c>
      <c r="N773" s="29">
        <f>IF('RPT4'!$J773="","",'RPT4'!$J773)</f>
        <v>0</v>
      </c>
    </row>
    <row r="774" spans="1:14" x14ac:dyDescent="0.35">
      <c r="A774" s="16" t="s">
        <v>753</v>
      </c>
      <c r="B774" s="2"/>
      <c r="C774" s="28">
        <f t="shared" si="44"/>
        <v>0</v>
      </c>
      <c r="D774" s="2"/>
      <c r="E774" s="4"/>
      <c r="F774" s="2"/>
      <c r="G774" s="28">
        <f t="shared" si="45"/>
        <v>0</v>
      </c>
      <c r="H774" s="2"/>
      <c r="I774" s="4"/>
      <c r="J774" s="2"/>
      <c r="K774" s="29">
        <f>IF('RPT1'!$J774="","",'RPT1'!$J774)</f>
        <v>0</v>
      </c>
      <c r="L774" s="29">
        <f>IF('RPT2'!$J774="","",'RPT2'!$J774)</f>
        <v>0</v>
      </c>
      <c r="M774" s="29">
        <f>IF('RPT3'!$J774="","",'RPT3'!$J774)</f>
        <v>0</v>
      </c>
      <c r="N774" s="29">
        <f>IF('RPT4'!$J774="","",'RPT4'!$J774)</f>
        <v>0</v>
      </c>
    </row>
    <row r="775" spans="1:14" x14ac:dyDescent="0.35">
      <c r="A775" s="16" t="s">
        <v>754</v>
      </c>
      <c r="B775" s="2"/>
      <c r="C775" s="28">
        <f t="shared" si="44"/>
        <v>0</v>
      </c>
      <c r="D775" s="2"/>
      <c r="E775" s="4"/>
      <c r="F775" s="2"/>
      <c r="G775" s="28">
        <f t="shared" si="45"/>
        <v>0</v>
      </c>
      <c r="H775" s="2"/>
      <c r="I775" s="4"/>
      <c r="J775" s="2"/>
      <c r="K775" s="29">
        <f>IF('RPT1'!$J775="","",'RPT1'!$J775)</f>
        <v>0</v>
      </c>
      <c r="L775" s="29">
        <f>IF('RPT2'!$J775="","",'RPT2'!$J775)</f>
        <v>0</v>
      </c>
      <c r="M775" s="29">
        <f>IF('RPT3'!$J775="","",'RPT3'!$J775)</f>
        <v>0</v>
      </c>
      <c r="N775" s="29">
        <f>IF('RPT4'!$J775="","",'RPT4'!$J775)</f>
        <v>0</v>
      </c>
    </row>
    <row r="776" spans="1:14" x14ac:dyDescent="0.35">
      <c r="A776" s="16"/>
      <c r="B776" s="2"/>
      <c r="C776" s="28"/>
      <c r="D776" s="2"/>
      <c r="E776" s="4"/>
      <c r="F776" s="2"/>
      <c r="G776" s="28"/>
      <c r="H776" s="2"/>
      <c r="I776" s="4"/>
      <c r="J776" s="2"/>
      <c r="K776" s="29"/>
      <c r="L776" s="29"/>
      <c r="M776" s="29"/>
      <c r="N776" s="29"/>
    </row>
    <row r="777" spans="1:14" x14ac:dyDescent="0.35">
      <c r="A777" s="30" t="s">
        <v>755</v>
      </c>
      <c r="B777" s="2"/>
      <c r="C777" s="28"/>
      <c r="D777" s="2"/>
      <c r="E777" s="4"/>
      <c r="F777" s="2"/>
      <c r="G777" s="28"/>
      <c r="H777" s="2"/>
      <c r="I777" s="4"/>
      <c r="J777" s="2"/>
      <c r="K777" s="29" t="str">
        <f>IF('RPT1'!$J777="","",'RPT1'!$J777)</f>
        <v/>
      </c>
      <c r="L777" s="29" t="str">
        <f>IF('RPT2'!$J777="","",'RPT2'!$J777)</f>
        <v/>
      </c>
      <c r="M777" s="29" t="str">
        <f>IF('RPT3'!$J777="","",'RPT3'!$J777)</f>
        <v/>
      </c>
      <c r="N777" s="29" t="str">
        <f>IF('RPT4'!$J777="","",'RPT4'!$J777)</f>
        <v/>
      </c>
    </row>
    <row r="778" spans="1:14" x14ac:dyDescent="0.35">
      <c r="A778" s="16" t="s">
        <v>756</v>
      </c>
      <c r="B778" s="2"/>
      <c r="C778" s="26">
        <f t="shared" ref="C778:C817" si="46">IF(Combine="Y", $G778, 0)</f>
        <v>71.099547276376569</v>
      </c>
      <c r="D778" s="2"/>
      <c r="E778" s="4"/>
      <c r="F778" s="2"/>
      <c r="G778" s="26">
        <f t="shared" ref="G778:G817" si="47">SUM($K778:$N778)</f>
        <v>71.099547276376569</v>
      </c>
      <c r="H778" s="2"/>
      <c r="I778" s="4"/>
      <c r="J778" s="2"/>
      <c r="K778" s="25">
        <f>IF('RPT1'!$J778="","",'RPT1'!$J778)</f>
        <v>0</v>
      </c>
      <c r="L778" s="25">
        <f>IF('RPT2'!$J778="","",'RPT2'!$J778)</f>
        <v>0</v>
      </c>
      <c r="M778" s="25">
        <f>IF('RPT3'!$J778="","",'RPT3'!$J778)</f>
        <v>35.543033456752923</v>
      </c>
      <c r="N778" s="25">
        <f>IF('RPT4'!$J778="","",'RPT4'!$J778)</f>
        <v>35.556513819623653</v>
      </c>
    </row>
    <row r="779" spans="1:14" x14ac:dyDescent="0.35">
      <c r="A779" s="16" t="s">
        <v>757</v>
      </c>
      <c r="B779" s="2"/>
      <c r="C779" s="26">
        <f t="shared" si="46"/>
        <v>59.909755872291328</v>
      </c>
      <c r="D779" s="2"/>
      <c r="E779" s="4"/>
      <c r="F779" s="2"/>
      <c r="G779" s="26">
        <f t="shared" si="47"/>
        <v>59.909755872291328</v>
      </c>
      <c r="H779" s="2"/>
      <c r="I779" s="4"/>
      <c r="J779" s="2"/>
      <c r="K779" s="25">
        <f>IF('RPT1'!$J779="","",'RPT1'!$J779)</f>
        <v>0</v>
      </c>
      <c r="L779" s="25">
        <f>IF('RPT2'!$J779="","",'RPT2'!$J779)</f>
        <v>0</v>
      </c>
      <c r="M779" s="25">
        <f>IF('RPT3'!$J779="","",'RPT3'!$J779)</f>
        <v>29.94752663116989</v>
      </c>
      <c r="N779" s="25">
        <f>IF('RPT4'!$J779="","",'RPT4'!$J779)</f>
        <v>29.962229241121442</v>
      </c>
    </row>
    <row r="780" spans="1:14" x14ac:dyDescent="0.35">
      <c r="A780" s="16" t="s">
        <v>758</v>
      </c>
      <c r="B780" s="2"/>
      <c r="C780" s="26">
        <f t="shared" si="46"/>
        <v>41.963972362146663</v>
      </c>
      <c r="D780" s="2"/>
      <c r="E780" s="4"/>
      <c r="F780" s="2"/>
      <c r="G780" s="26">
        <f t="shared" si="47"/>
        <v>41.963972362146663</v>
      </c>
      <c r="H780" s="2"/>
      <c r="I780" s="4"/>
      <c r="J780" s="2"/>
      <c r="K780" s="25">
        <f>IF('RPT1'!$J780="","",'RPT1'!$J780)</f>
        <v>0</v>
      </c>
      <c r="L780" s="25">
        <f>IF('RPT2'!$J780="","",'RPT2'!$J780)</f>
        <v>0</v>
      </c>
      <c r="M780" s="25">
        <f>IF('RPT3'!$J780="","",'RPT3'!$J780)</f>
        <v>20.97697514243815</v>
      </c>
      <c r="N780" s="25">
        <f>IF('RPT4'!$J780="","",'RPT4'!$J780)</f>
        <v>20.98699721970851</v>
      </c>
    </row>
    <row r="781" spans="1:14" x14ac:dyDescent="0.35">
      <c r="A781" s="16" t="s">
        <v>759</v>
      </c>
      <c r="B781" s="2"/>
      <c r="C781" s="26">
        <f t="shared" si="46"/>
        <v>41.169464036233848</v>
      </c>
      <c r="D781" s="2"/>
      <c r="E781" s="4"/>
      <c r="F781" s="2"/>
      <c r="G781" s="26">
        <f t="shared" si="47"/>
        <v>41.169464036233848</v>
      </c>
      <c r="H781" s="2"/>
      <c r="I781" s="4"/>
      <c r="J781" s="2"/>
      <c r="K781" s="25">
        <f>IF('RPT1'!$J781="","",'RPT1'!$J781)</f>
        <v>0</v>
      </c>
      <c r="L781" s="25">
        <f>IF('RPT2'!$J781="","",'RPT2'!$J781)</f>
        <v>0</v>
      </c>
      <c r="M781" s="25">
        <f>IF('RPT3'!$J781="","",'RPT3'!$J781)</f>
        <v>20.578611314289741</v>
      </c>
      <c r="N781" s="25">
        <f>IF('RPT4'!$J781="","",'RPT4'!$J781)</f>
        <v>20.59085272194411</v>
      </c>
    </row>
    <row r="782" spans="1:14" x14ac:dyDescent="0.35">
      <c r="A782" s="16" t="s">
        <v>760</v>
      </c>
      <c r="B782" s="2"/>
      <c r="C782" s="26">
        <f t="shared" si="46"/>
        <v>35.99129394135911</v>
      </c>
      <c r="D782" s="2"/>
      <c r="E782" s="4"/>
      <c r="F782" s="2"/>
      <c r="G782" s="26">
        <f t="shared" si="47"/>
        <v>35.99129394135911</v>
      </c>
      <c r="H782" s="2"/>
      <c r="I782" s="4"/>
      <c r="J782" s="2"/>
      <c r="K782" s="25">
        <f>IF('RPT1'!$J782="","",'RPT1'!$J782)</f>
        <v>0</v>
      </c>
      <c r="L782" s="25">
        <f>IF('RPT2'!$J782="","",'RPT2'!$J782)</f>
        <v>0</v>
      </c>
      <c r="M782" s="25">
        <f>IF('RPT3'!$J782="","",'RPT3'!$J782)</f>
        <v>17.99009135066084</v>
      </c>
      <c r="N782" s="25">
        <f>IF('RPT4'!$J782="","",'RPT4'!$J782)</f>
        <v>18.00120259069827</v>
      </c>
    </row>
    <row r="783" spans="1:14" x14ac:dyDescent="0.35">
      <c r="A783" s="16" t="s">
        <v>761</v>
      </c>
      <c r="B783" s="2"/>
      <c r="C783" s="26">
        <f t="shared" si="46"/>
        <v>0</v>
      </c>
      <c r="D783" s="2"/>
      <c r="E783" s="4"/>
      <c r="F783" s="2"/>
      <c r="G783" s="26">
        <f t="shared" si="47"/>
        <v>0</v>
      </c>
      <c r="H783" s="2"/>
      <c r="I783" s="4"/>
      <c r="J783" s="2"/>
      <c r="K783" s="25">
        <f>IF('RPT1'!$J783="","",'RPT1'!$J783)</f>
        <v>0</v>
      </c>
      <c r="L783" s="25">
        <f>IF('RPT2'!$J783="","",'RPT2'!$J783)</f>
        <v>0</v>
      </c>
      <c r="M783" s="25">
        <f>IF('RPT3'!$J783="","",'RPT3'!$J783)</f>
        <v>0</v>
      </c>
      <c r="N783" s="25">
        <f>IF('RPT4'!$J783="","",'RPT4'!$J783)</f>
        <v>0</v>
      </c>
    </row>
    <row r="784" spans="1:14" x14ac:dyDescent="0.35">
      <c r="A784" s="16" t="s">
        <v>762</v>
      </c>
      <c r="B784" s="2"/>
      <c r="C784" s="26">
        <f t="shared" si="46"/>
        <v>0</v>
      </c>
      <c r="D784" s="2"/>
      <c r="E784" s="4"/>
      <c r="F784" s="2"/>
      <c r="G784" s="26">
        <f t="shared" si="47"/>
        <v>0</v>
      </c>
      <c r="H784" s="2"/>
      <c r="I784" s="4"/>
      <c r="J784" s="2"/>
      <c r="K784" s="25">
        <f>IF('RPT1'!$J784="","",'RPT1'!$J784)</f>
        <v>0</v>
      </c>
      <c r="L784" s="25">
        <f>IF('RPT2'!$J784="","",'RPT2'!$J784)</f>
        <v>0</v>
      </c>
      <c r="M784" s="25">
        <f>IF('RPT3'!$J784="","",'RPT3'!$J784)</f>
        <v>0</v>
      </c>
      <c r="N784" s="25">
        <f>IF('RPT4'!$J784="","",'RPT4'!$J784)</f>
        <v>0</v>
      </c>
    </row>
    <row r="785" spans="1:14" x14ac:dyDescent="0.35">
      <c r="A785" s="16" t="s">
        <v>763</v>
      </c>
      <c r="B785" s="2"/>
      <c r="C785" s="26">
        <f t="shared" si="46"/>
        <v>0</v>
      </c>
      <c r="D785" s="2"/>
      <c r="E785" s="4"/>
      <c r="F785" s="2"/>
      <c r="G785" s="26">
        <f t="shared" si="47"/>
        <v>0</v>
      </c>
      <c r="H785" s="2"/>
      <c r="I785" s="4"/>
      <c r="J785" s="2"/>
      <c r="K785" s="25">
        <f>IF('RPT1'!$J785="","",'RPT1'!$J785)</f>
        <v>0</v>
      </c>
      <c r="L785" s="25">
        <f>IF('RPT2'!$J785="","",'RPT2'!$J785)</f>
        <v>0</v>
      </c>
      <c r="M785" s="25">
        <f>IF('RPT3'!$J785="","",'RPT3'!$J785)</f>
        <v>0</v>
      </c>
      <c r="N785" s="25">
        <f>IF('RPT4'!$J785="","",'RPT4'!$J785)</f>
        <v>0</v>
      </c>
    </row>
    <row r="786" spans="1:14" x14ac:dyDescent="0.35">
      <c r="A786" s="16" t="s">
        <v>764</v>
      </c>
      <c r="B786" s="2"/>
      <c r="C786" s="26">
        <f t="shared" si="46"/>
        <v>0</v>
      </c>
      <c r="D786" s="2"/>
      <c r="E786" s="4"/>
      <c r="F786" s="2"/>
      <c r="G786" s="26">
        <f t="shared" si="47"/>
        <v>0</v>
      </c>
      <c r="H786" s="2"/>
      <c r="I786" s="4"/>
      <c r="J786" s="2"/>
      <c r="K786" s="25">
        <f>IF('RPT1'!$J786="","",'RPT1'!$J786)</f>
        <v>0</v>
      </c>
      <c r="L786" s="25">
        <f>IF('RPT2'!$J786="","",'RPT2'!$J786)</f>
        <v>0</v>
      </c>
      <c r="M786" s="25">
        <f>IF('RPT3'!$J786="","",'RPT3'!$J786)</f>
        <v>0</v>
      </c>
      <c r="N786" s="25">
        <f>IF('RPT4'!$J786="","",'RPT4'!$J786)</f>
        <v>0</v>
      </c>
    </row>
    <row r="787" spans="1:14" x14ac:dyDescent="0.35">
      <c r="A787" s="16" t="s">
        <v>765</v>
      </c>
      <c r="B787" s="2"/>
      <c r="C787" s="26">
        <f t="shared" si="46"/>
        <v>0</v>
      </c>
      <c r="D787" s="2"/>
      <c r="E787" s="4"/>
      <c r="F787" s="2"/>
      <c r="G787" s="26">
        <f t="shared" si="47"/>
        <v>0</v>
      </c>
      <c r="H787" s="2"/>
      <c r="I787" s="4"/>
      <c r="J787" s="2"/>
      <c r="K787" s="25">
        <f>IF('RPT1'!$J787="","",'RPT1'!$J787)</f>
        <v>0</v>
      </c>
      <c r="L787" s="25">
        <f>IF('RPT2'!$J787="","",'RPT2'!$J787)</f>
        <v>0</v>
      </c>
      <c r="M787" s="25">
        <f>IF('RPT3'!$J787="","",'RPT3'!$J787)</f>
        <v>0</v>
      </c>
      <c r="N787" s="25">
        <f>IF('RPT4'!$J787="","",'RPT4'!$J787)</f>
        <v>0</v>
      </c>
    </row>
    <row r="788" spans="1:14" x14ac:dyDescent="0.35">
      <c r="A788" s="16" t="s">
        <v>766</v>
      </c>
      <c r="B788" s="2"/>
      <c r="C788" s="26">
        <f t="shared" si="46"/>
        <v>156.06800294319819</v>
      </c>
      <c r="D788" s="2"/>
      <c r="E788" s="4"/>
      <c r="F788" s="2"/>
      <c r="G788" s="26">
        <f t="shared" si="47"/>
        <v>156.06800294319819</v>
      </c>
      <c r="H788" s="2"/>
      <c r="I788" s="4"/>
      <c r="J788" s="2"/>
      <c r="K788" s="25">
        <f>IF('RPT1'!$J788="","",'RPT1'!$J788)</f>
        <v>0</v>
      </c>
      <c r="L788" s="25">
        <f>IF('RPT2'!$J788="","",'RPT2'!$J788)</f>
        <v>0</v>
      </c>
      <c r="M788" s="25">
        <f>IF('RPT3'!$J788="","",'RPT3'!$J788)</f>
        <v>78.009346384914963</v>
      </c>
      <c r="N788" s="25">
        <f>IF('RPT4'!$J788="","",'RPT4'!$J788)</f>
        <v>78.058656558283232</v>
      </c>
    </row>
    <row r="789" spans="1:14" x14ac:dyDescent="0.35">
      <c r="A789" s="16" t="s">
        <v>767</v>
      </c>
      <c r="B789" s="2"/>
      <c r="C789" s="26">
        <f t="shared" si="46"/>
        <v>115.02845459818548</v>
      </c>
      <c r="D789" s="2"/>
      <c r="E789" s="4"/>
      <c r="F789" s="2"/>
      <c r="G789" s="26">
        <f t="shared" si="47"/>
        <v>115.02845459818548</v>
      </c>
      <c r="H789" s="2"/>
      <c r="I789" s="4"/>
      <c r="J789" s="2"/>
      <c r="K789" s="25">
        <f>IF('RPT1'!$J789="","",'RPT1'!$J789)</f>
        <v>0</v>
      </c>
      <c r="L789" s="25">
        <f>IF('RPT2'!$J789="","",'RPT2'!$J789)</f>
        <v>0</v>
      </c>
      <c r="M789" s="25">
        <f>IF('RPT3'!$J789="","",'RPT3'!$J789)</f>
        <v>57.490884904814067</v>
      </c>
      <c r="N789" s="25">
        <f>IF('RPT4'!$J789="","",'RPT4'!$J789)</f>
        <v>57.537569693371402</v>
      </c>
    </row>
    <row r="790" spans="1:14" x14ac:dyDescent="0.35">
      <c r="A790" s="16" t="s">
        <v>768</v>
      </c>
      <c r="B790" s="2"/>
      <c r="C790" s="26">
        <f t="shared" si="46"/>
        <v>44.43774518391978</v>
      </c>
      <c r="D790" s="2"/>
      <c r="E790" s="4"/>
      <c r="F790" s="2"/>
      <c r="G790" s="26">
        <f t="shared" si="47"/>
        <v>44.43774518391978</v>
      </c>
      <c r="H790" s="2"/>
      <c r="I790" s="4"/>
      <c r="J790" s="2"/>
      <c r="K790" s="25">
        <f>IF('RPT1'!$J790="","",'RPT1'!$J790)</f>
        <v>0</v>
      </c>
      <c r="L790" s="25">
        <f>IF('RPT2'!$J790="","",'RPT2'!$J790)</f>
        <v>0</v>
      </c>
      <c r="M790" s="25">
        <f>IF('RPT3'!$J790="","",'RPT3'!$J790)</f>
        <v>22.213184925342791</v>
      </c>
      <c r="N790" s="25">
        <f>IF('RPT4'!$J790="","",'RPT4'!$J790)</f>
        <v>22.224560258576989</v>
      </c>
    </row>
    <row r="791" spans="1:14" x14ac:dyDescent="0.35">
      <c r="A791" s="16" t="s">
        <v>769</v>
      </c>
      <c r="B791" s="2"/>
      <c r="C791" s="26">
        <f t="shared" si="46"/>
        <v>31.91796416355939</v>
      </c>
      <c r="D791" s="2"/>
      <c r="E791" s="4"/>
      <c r="F791" s="2"/>
      <c r="G791" s="26">
        <f t="shared" si="47"/>
        <v>31.91796416355939</v>
      </c>
      <c r="H791" s="2"/>
      <c r="I791" s="4"/>
      <c r="J791" s="2"/>
      <c r="K791" s="25">
        <f>IF('RPT1'!$J791="","",'RPT1'!$J791)</f>
        <v>0</v>
      </c>
      <c r="L791" s="25">
        <f>IF('RPT2'!$J791="","",'RPT2'!$J791)</f>
        <v>0</v>
      </c>
      <c r="M791" s="25">
        <f>IF('RPT3'!$J791="","",'RPT3'!$J791)</f>
        <v>15.95504072489379</v>
      </c>
      <c r="N791" s="25">
        <f>IF('RPT4'!$J791="","",'RPT4'!$J791)</f>
        <v>15.9629234386656</v>
      </c>
    </row>
    <row r="792" spans="1:14" x14ac:dyDescent="0.35">
      <c r="A792" s="16" t="s">
        <v>770</v>
      </c>
      <c r="B792" s="2"/>
      <c r="C792" s="26">
        <f t="shared" si="46"/>
        <v>31.49418304782996</v>
      </c>
      <c r="D792" s="2"/>
      <c r="E792" s="4"/>
      <c r="F792" s="2"/>
      <c r="G792" s="26">
        <f t="shared" si="47"/>
        <v>31.49418304782996</v>
      </c>
      <c r="H792" s="2"/>
      <c r="I792" s="4"/>
      <c r="J792" s="2"/>
      <c r="K792" s="25">
        <f>IF('RPT1'!$J792="","",'RPT1'!$J792)</f>
        <v>0</v>
      </c>
      <c r="L792" s="25">
        <f>IF('RPT2'!$J792="","",'RPT2'!$J792)</f>
        <v>0</v>
      </c>
      <c r="M792" s="25">
        <f>IF('RPT3'!$J792="","",'RPT3'!$J792)</f>
        <v>15.74225283874099</v>
      </c>
      <c r="N792" s="25">
        <f>IF('RPT4'!$J792="","",'RPT4'!$J792)</f>
        <v>15.75193020908897</v>
      </c>
    </row>
    <row r="793" spans="1:14" x14ac:dyDescent="0.35">
      <c r="A793" s="16" t="s">
        <v>771</v>
      </c>
      <c r="B793" s="2"/>
      <c r="C793" s="26">
        <f t="shared" si="46"/>
        <v>0</v>
      </c>
      <c r="D793" s="2"/>
      <c r="E793" s="4"/>
      <c r="F793" s="2"/>
      <c r="G793" s="26">
        <f t="shared" si="47"/>
        <v>0</v>
      </c>
      <c r="H793" s="2"/>
      <c r="I793" s="4"/>
      <c r="J793" s="2"/>
      <c r="K793" s="25">
        <f>IF('RPT1'!$J793="","",'RPT1'!$J793)</f>
        <v>0</v>
      </c>
      <c r="L793" s="25">
        <f>IF('RPT2'!$J793="","",'RPT2'!$J793)</f>
        <v>0</v>
      </c>
      <c r="M793" s="25">
        <f>IF('RPT3'!$J793="","",'RPT3'!$J793)</f>
        <v>0</v>
      </c>
      <c r="N793" s="25">
        <f>IF('RPT4'!$J793="","",'RPT4'!$J793)</f>
        <v>0</v>
      </c>
    </row>
    <row r="794" spans="1:14" x14ac:dyDescent="0.35">
      <c r="A794" s="16" t="s">
        <v>772</v>
      </c>
      <c r="B794" s="2"/>
      <c r="C794" s="26">
        <f t="shared" si="46"/>
        <v>0</v>
      </c>
      <c r="D794" s="2"/>
      <c r="E794" s="4"/>
      <c r="F794" s="2"/>
      <c r="G794" s="26">
        <f t="shared" si="47"/>
        <v>0</v>
      </c>
      <c r="H794" s="2"/>
      <c r="I794" s="4"/>
      <c r="J794" s="2"/>
      <c r="K794" s="25">
        <f>IF('RPT1'!$J794="","",'RPT1'!$J794)</f>
        <v>0</v>
      </c>
      <c r="L794" s="25">
        <f>IF('RPT2'!$J794="","",'RPT2'!$J794)</f>
        <v>0</v>
      </c>
      <c r="M794" s="25">
        <f>IF('RPT3'!$J794="","",'RPT3'!$J794)</f>
        <v>0</v>
      </c>
      <c r="N794" s="25">
        <f>IF('RPT4'!$J794="","",'RPT4'!$J794)</f>
        <v>0</v>
      </c>
    </row>
    <row r="795" spans="1:14" x14ac:dyDescent="0.35">
      <c r="A795" s="16" t="s">
        <v>773</v>
      </c>
      <c r="B795" s="2"/>
      <c r="C795" s="26">
        <f t="shared" si="46"/>
        <v>0</v>
      </c>
      <c r="D795" s="2"/>
      <c r="E795" s="4"/>
      <c r="F795" s="2"/>
      <c r="G795" s="26">
        <f t="shared" si="47"/>
        <v>0</v>
      </c>
      <c r="H795" s="2"/>
      <c r="I795" s="4"/>
      <c r="J795" s="2"/>
      <c r="K795" s="25">
        <f>IF('RPT1'!$J795="","",'RPT1'!$J795)</f>
        <v>0</v>
      </c>
      <c r="L795" s="25">
        <f>IF('RPT2'!$J795="","",'RPT2'!$J795)</f>
        <v>0</v>
      </c>
      <c r="M795" s="25">
        <f>IF('RPT3'!$J795="","",'RPT3'!$J795)</f>
        <v>0</v>
      </c>
      <c r="N795" s="25">
        <f>IF('RPT4'!$J795="","",'RPT4'!$J795)</f>
        <v>0</v>
      </c>
    </row>
    <row r="796" spans="1:14" x14ac:dyDescent="0.35">
      <c r="A796" s="16" t="s">
        <v>774</v>
      </c>
      <c r="B796" s="2"/>
      <c r="C796" s="26">
        <f t="shared" si="46"/>
        <v>0</v>
      </c>
      <c r="D796" s="2"/>
      <c r="E796" s="4"/>
      <c r="F796" s="2"/>
      <c r="G796" s="26">
        <f t="shared" si="47"/>
        <v>0</v>
      </c>
      <c r="H796" s="2"/>
      <c r="I796" s="4"/>
      <c r="J796" s="2"/>
      <c r="K796" s="25">
        <f>IF('RPT1'!$J796="","",'RPT1'!$J796)</f>
        <v>0</v>
      </c>
      <c r="L796" s="25">
        <f>IF('RPT2'!$J796="","",'RPT2'!$J796)</f>
        <v>0</v>
      </c>
      <c r="M796" s="25">
        <f>IF('RPT3'!$J796="","",'RPT3'!$J796)</f>
        <v>0</v>
      </c>
      <c r="N796" s="25">
        <f>IF('RPT4'!$J796="","",'RPT4'!$J796)</f>
        <v>0</v>
      </c>
    </row>
    <row r="797" spans="1:14" x14ac:dyDescent="0.35">
      <c r="A797" s="16" t="s">
        <v>775</v>
      </c>
      <c r="B797" s="2"/>
      <c r="C797" s="26">
        <f t="shared" si="46"/>
        <v>0</v>
      </c>
      <c r="D797" s="2"/>
      <c r="E797" s="4"/>
      <c r="F797" s="2"/>
      <c r="G797" s="26">
        <f t="shared" si="47"/>
        <v>0</v>
      </c>
      <c r="H797" s="2"/>
      <c r="I797" s="4"/>
      <c r="J797" s="2"/>
      <c r="K797" s="25">
        <f>IF('RPT1'!$J797="","",'RPT1'!$J797)</f>
        <v>0</v>
      </c>
      <c r="L797" s="25">
        <f>IF('RPT2'!$J797="","",'RPT2'!$J797)</f>
        <v>0</v>
      </c>
      <c r="M797" s="25">
        <f>IF('RPT3'!$J797="","",'RPT3'!$J797)</f>
        <v>0</v>
      </c>
      <c r="N797" s="25">
        <f>IF('RPT4'!$J797="","",'RPT4'!$J797)</f>
        <v>0</v>
      </c>
    </row>
    <row r="798" spans="1:14" x14ac:dyDescent="0.35">
      <c r="A798" s="16" t="s">
        <v>776</v>
      </c>
      <c r="B798" s="2"/>
      <c r="C798" s="26">
        <f t="shared" si="46"/>
        <v>95.406613055469791</v>
      </c>
      <c r="D798" s="2"/>
      <c r="E798" s="4"/>
      <c r="F798" s="2"/>
      <c r="G798" s="26">
        <f t="shared" si="47"/>
        <v>95.406613055469791</v>
      </c>
      <c r="H798" s="2"/>
      <c r="I798" s="4"/>
      <c r="J798" s="2"/>
      <c r="K798" s="25">
        <f>IF('RPT1'!$J798="","",'RPT1'!$J798)</f>
        <v>0</v>
      </c>
      <c r="L798" s="25">
        <f>IF('RPT2'!$J798="","",'RPT2'!$J798)</f>
        <v>0</v>
      </c>
      <c r="M798" s="25">
        <f>IF('RPT3'!$J798="","",'RPT3'!$J798)</f>
        <v>47.686768923537457</v>
      </c>
      <c r="N798" s="25">
        <f>IF('RPT4'!$J798="","",'RPT4'!$J798)</f>
        <v>47.719844131932327</v>
      </c>
    </row>
    <row r="799" spans="1:14" x14ac:dyDescent="0.35">
      <c r="A799" s="16" t="s">
        <v>777</v>
      </c>
      <c r="B799" s="2"/>
      <c r="C799" s="26">
        <f t="shared" si="46"/>
        <v>68.068923012108712</v>
      </c>
      <c r="D799" s="2"/>
      <c r="E799" s="4"/>
      <c r="F799" s="2"/>
      <c r="G799" s="26">
        <f t="shared" si="47"/>
        <v>68.068923012108712</v>
      </c>
      <c r="H799" s="2"/>
      <c r="I799" s="4"/>
      <c r="J799" s="2"/>
      <c r="K799" s="25">
        <f>IF('RPT1'!$J799="","",'RPT1'!$J799)</f>
        <v>0</v>
      </c>
      <c r="L799" s="25">
        <f>IF('RPT2'!$J799="","",'RPT2'!$J799)</f>
        <v>0</v>
      </c>
      <c r="M799" s="25">
        <f>IF('RPT3'!$J799="","",'RPT3'!$J799)</f>
        <v>34.020010584352733</v>
      </c>
      <c r="N799" s="25">
        <f>IF('RPT4'!$J799="","",'RPT4'!$J799)</f>
        <v>34.048912427755987</v>
      </c>
    </row>
    <row r="800" spans="1:14" x14ac:dyDescent="0.35">
      <c r="A800" s="16" t="s">
        <v>778</v>
      </c>
      <c r="B800" s="2"/>
      <c r="C800" s="26">
        <f t="shared" si="46"/>
        <v>40.881719154641274</v>
      </c>
      <c r="D800" s="2"/>
      <c r="E800" s="4"/>
      <c r="F800" s="2"/>
      <c r="G800" s="26">
        <f t="shared" si="47"/>
        <v>40.881719154641274</v>
      </c>
      <c r="H800" s="2"/>
      <c r="I800" s="4"/>
      <c r="J800" s="2"/>
      <c r="K800" s="25">
        <f>IF('RPT1'!$J800="","",'RPT1'!$J800)</f>
        <v>0</v>
      </c>
      <c r="L800" s="25">
        <f>IF('RPT2'!$J800="","",'RPT2'!$J800)</f>
        <v>0</v>
      </c>
      <c r="M800" s="25">
        <f>IF('RPT3'!$J800="","",'RPT3'!$J800)</f>
        <v>20.433072900730121</v>
      </c>
      <c r="N800" s="25">
        <f>IF('RPT4'!$J800="","",'RPT4'!$J800)</f>
        <v>20.44864625391115</v>
      </c>
    </row>
    <row r="801" spans="1:14" x14ac:dyDescent="0.35">
      <c r="A801" s="16" t="s">
        <v>779</v>
      </c>
      <c r="B801" s="2"/>
      <c r="C801" s="26">
        <f t="shared" si="46"/>
        <v>36.619579466283078</v>
      </c>
      <c r="D801" s="2"/>
      <c r="E801" s="4"/>
      <c r="F801" s="2"/>
      <c r="G801" s="26">
        <f t="shared" si="47"/>
        <v>36.619579466283078</v>
      </c>
      <c r="H801" s="2"/>
      <c r="I801" s="4"/>
      <c r="J801" s="2"/>
      <c r="K801" s="25">
        <f>IF('RPT1'!$J801="","",'RPT1'!$J801)</f>
        <v>0</v>
      </c>
      <c r="L801" s="25">
        <f>IF('RPT2'!$J801="","",'RPT2'!$J801)</f>
        <v>0</v>
      </c>
      <c r="M801" s="25">
        <f>IF('RPT3'!$J801="","",'RPT3'!$J801)</f>
        <v>18.301909255165349</v>
      </c>
      <c r="N801" s="25">
        <f>IF('RPT4'!$J801="","",'RPT4'!$J801)</f>
        <v>18.317670211117729</v>
      </c>
    </row>
    <row r="802" spans="1:14" x14ac:dyDescent="0.35">
      <c r="A802" s="16" t="s">
        <v>780</v>
      </c>
      <c r="B802" s="2"/>
      <c r="C802" s="26">
        <f t="shared" si="46"/>
        <v>38.196111800630021</v>
      </c>
      <c r="D802" s="2"/>
      <c r="E802" s="4"/>
      <c r="F802" s="2"/>
      <c r="G802" s="26">
        <f t="shared" si="47"/>
        <v>38.196111800630021</v>
      </c>
      <c r="H802" s="2"/>
      <c r="I802" s="4"/>
      <c r="J802" s="2"/>
      <c r="K802" s="25">
        <f>IF('RPT1'!$J802="","",'RPT1'!$J802)</f>
        <v>0</v>
      </c>
      <c r="L802" s="25">
        <f>IF('RPT2'!$J802="","",'RPT2'!$J802)</f>
        <v>0</v>
      </c>
      <c r="M802" s="25">
        <f>IF('RPT3'!$J802="","",'RPT3'!$J802)</f>
        <v>19.087884810694572</v>
      </c>
      <c r="N802" s="25">
        <f>IF('RPT4'!$J802="","",'RPT4'!$J802)</f>
        <v>19.108226989935449</v>
      </c>
    </row>
    <row r="803" spans="1:14" x14ac:dyDescent="0.35">
      <c r="A803" s="16" t="s">
        <v>781</v>
      </c>
      <c r="B803" s="2"/>
      <c r="C803" s="26">
        <f t="shared" si="46"/>
        <v>0</v>
      </c>
      <c r="D803" s="2"/>
      <c r="E803" s="4"/>
      <c r="F803" s="2"/>
      <c r="G803" s="26">
        <f t="shared" si="47"/>
        <v>0</v>
      </c>
      <c r="H803" s="2"/>
      <c r="I803" s="4"/>
      <c r="J803" s="2"/>
      <c r="K803" s="25">
        <f>IF('RPT1'!$J803="","",'RPT1'!$J803)</f>
        <v>0</v>
      </c>
      <c r="L803" s="25">
        <f>IF('RPT2'!$J803="","",'RPT2'!$J803)</f>
        <v>0</v>
      </c>
      <c r="M803" s="25">
        <f>IF('RPT3'!$J803="","",'RPT3'!$J803)</f>
        <v>0</v>
      </c>
      <c r="N803" s="25">
        <f>IF('RPT4'!$J803="","",'RPT4'!$J803)</f>
        <v>0</v>
      </c>
    </row>
    <row r="804" spans="1:14" x14ac:dyDescent="0.35">
      <c r="A804" s="16" t="s">
        <v>782</v>
      </c>
      <c r="B804" s="2"/>
      <c r="C804" s="26">
        <f t="shared" si="46"/>
        <v>0</v>
      </c>
      <c r="D804" s="2"/>
      <c r="E804" s="4"/>
      <c r="F804" s="2"/>
      <c r="G804" s="26">
        <f t="shared" si="47"/>
        <v>0</v>
      </c>
      <c r="H804" s="2"/>
      <c r="I804" s="4"/>
      <c r="J804" s="2"/>
      <c r="K804" s="25">
        <f>IF('RPT1'!$J804="","",'RPT1'!$J804)</f>
        <v>0</v>
      </c>
      <c r="L804" s="25">
        <f>IF('RPT2'!$J804="","",'RPT2'!$J804)</f>
        <v>0</v>
      </c>
      <c r="M804" s="25">
        <f>IF('RPT3'!$J804="","",'RPT3'!$J804)</f>
        <v>0</v>
      </c>
      <c r="N804" s="25">
        <f>IF('RPT4'!$J804="","",'RPT4'!$J804)</f>
        <v>0</v>
      </c>
    </row>
    <row r="805" spans="1:14" x14ac:dyDescent="0.35">
      <c r="A805" s="16" t="s">
        <v>783</v>
      </c>
      <c r="B805" s="2"/>
      <c r="C805" s="26">
        <f t="shared" si="46"/>
        <v>0</v>
      </c>
      <c r="D805" s="2"/>
      <c r="E805" s="4"/>
      <c r="F805" s="2"/>
      <c r="G805" s="26">
        <f t="shared" si="47"/>
        <v>0</v>
      </c>
      <c r="H805" s="2"/>
      <c r="I805" s="4"/>
      <c r="J805" s="2"/>
      <c r="K805" s="25">
        <f>IF('RPT1'!$J805="","",'RPT1'!$J805)</f>
        <v>0</v>
      </c>
      <c r="L805" s="25">
        <f>IF('RPT2'!$J805="","",'RPT2'!$J805)</f>
        <v>0</v>
      </c>
      <c r="M805" s="25">
        <f>IF('RPT3'!$J805="","",'RPT3'!$J805)</f>
        <v>0</v>
      </c>
      <c r="N805" s="25">
        <f>IF('RPT4'!$J805="","",'RPT4'!$J805)</f>
        <v>0</v>
      </c>
    </row>
    <row r="806" spans="1:14" x14ac:dyDescent="0.35">
      <c r="A806" s="16" t="s">
        <v>784</v>
      </c>
      <c r="B806" s="2"/>
      <c r="C806" s="26">
        <f t="shared" si="46"/>
        <v>0</v>
      </c>
      <c r="D806" s="2"/>
      <c r="E806" s="4"/>
      <c r="F806" s="2"/>
      <c r="G806" s="26">
        <f t="shared" si="47"/>
        <v>0</v>
      </c>
      <c r="H806" s="2"/>
      <c r="I806" s="4"/>
      <c r="J806" s="2"/>
      <c r="K806" s="25">
        <f>IF('RPT1'!$J806="","",'RPT1'!$J806)</f>
        <v>0</v>
      </c>
      <c r="L806" s="25">
        <f>IF('RPT2'!$J806="","",'RPT2'!$J806)</f>
        <v>0</v>
      </c>
      <c r="M806" s="25">
        <f>IF('RPT3'!$J806="","",'RPT3'!$J806)</f>
        <v>0</v>
      </c>
      <c r="N806" s="25">
        <f>IF('RPT4'!$J806="","",'RPT4'!$J806)</f>
        <v>0</v>
      </c>
    </row>
    <row r="807" spans="1:14" x14ac:dyDescent="0.35">
      <c r="A807" s="16" t="s">
        <v>785</v>
      </c>
      <c r="B807" s="2"/>
      <c r="C807" s="26">
        <f t="shared" si="46"/>
        <v>0</v>
      </c>
      <c r="D807" s="2"/>
      <c r="E807" s="4"/>
      <c r="F807" s="2"/>
      <c r="G807" s="26">
        <f t="shared" si="47"/>
        <v>0</v>
      </c>
      <c r="H807" s="2"/>
      <c r="I807" s="4"/>
      <c r="J807" s="2"/>
      <c r="K807" s="25">
        <f>IF('RPT1'!$J807="","",'RPT1'!$J807)</f>
        <v>0</v>
      </c>
      <c r="L807" s="25">
        <f>IF('RPT2'!$J807="","",'RPT2'!$J807)</f>
        <v>0</v>
      </c>
      <c r="M807" s="25">
        <f>IF('RPT3'!$J807="","",'RPT3'!$J807)</f>
        <v>0</v>
      </c>
      <c r="N807" s="25">
        <f>IF('RPT4'!$J807="","",'RPT4'!$J807)</f>
        <v>0</v>
      </c>
    </row>
    <row r="808" spans="1:14" x14ac:dyDescent="0.35">
      <c r="A808" s="16" t="s">
        <v>786</v>
      </c>
      <c r="B808" s="2"/>
      <c r="C808" s="26">
        <f t="shared" si="46"/>
        <v>11.292710299819012</v>
      </c>
      <c r="D808" s="2"/>
      <c r="E808" s="4"/>
      <c r="F808" s="2"/>
      <c r="G808" s="26">
        <f t="shared" si="47"/>
        <v>11.292710299819012</v>
      </c>
      <c r="H808" s="2"/>
      <c r="I808" s="4"/>
      <c r="J808" s="2"/>
      <c r="K808" s="25">
        <f>IF('RPT1'!$J808="","",'RPT1'!$J808)</f>
        <v>0</v>
      </c>
      <c r="L808" s="25">
        <f>IF('RPT2'!$J808="","",'RPT2'!$J808)</f>
        <v>0</v>
      </c>
      <c r="M808" s="25">
        <f>IF('RPT3'!$J808="","",'RPT3'!$J808)</f>
        <v>5.6463551499095059</v>
      </c>
      <c r="N808" s="25">
        <f>IF('RPT4'!$J808="","",'RPT4'!$J808)</f>
        <v>5.6463551499095059</v>
      </c>
    </row>
    <row r="809" spans="1:14" x14ac:dyDescent="0.35">
      <c r="A809" s="16" t="s">
        <v>787</v>
      </c>
      <c r="B809" s="2"/>
      <c r="C809" s="26">
        <f t="shared" si="46"/>
        <v>10.728372539407898</v>
      </c>
      <c r="D809" s="2"/>
      <c r="E809" s="4"/>
      <c r="F809" s="2"/>
      <c r="G809" s="26">
        <f t="shared" si="47"/>
        <v>10.728372539407898</v>
      </c>
      <c r="H809" s="2"/>
      <c r="I809" s="4"/>
      <c r="J809" s="2"/>
      <c r="K809" s="25">
        <f>IF('RPT1'!$J809="","",'RPT1'!$J809)</f>
        <v>0</v>
      </c>
      <c r="L809" s="25">
        <f>IF('RPT2'!$J809="","",'RPT2'!$J809)</f>
        <v>0</v>
      </c>
      <c r="M809" s="25">
        <f>IF('RPT3'!$J809="","",'RPT3'!$J809)</f>
        <v>5.3641862697039491</v>
      </c>
      <c r="N809" s="25">
        <f>IF('RPT4'!$J809="","",'RPT4'!$J809)</f>
        <v>5.3641862697039491</v>
      </c>
    </row>
    <row r="810" spans="1:14" x14ac:dyDescent="0.35">
      <c r="A810" s="16" t="s">
        <v>788</v>
      </c>
      <c r="B810" s="2"/>
      <c r="C810" s="26">
        <f t="shared" si="46"/>
        <v>10.899972382109798</v>
      </c>
      <c r="D810" s="2"/>
      <c r="E810" s="4"/>
      <c r="F810" s="2"/>
      <c r="G810" s="26">
        <f t="shared" si="47"/>
        <v>10.899972382109798</v>
      </c>
      <c r="H810" s="2"/>
      <c r="I810" s="4"/>
      <c r="J810" s="2"/>
      <c r="K810" s="25">
        <f>IF('RPT1'!$J810="","",'RPT1'!$J810)</f>
        <v>0</v>
      </c>
      <c r="L810" s="25">
        <f>IF('RPT2'!$J810="","",'RPT2'!$J810)</f>
        <v>0</v>
      </c>
      <c r="M810" s="25">
        <f>IF('RPT3'!$J810="","",'RPT3'!$J810)</f>
        <v>5.449986191054899</v>
      </c>
      <c r="N810" s="25">
        <f>IF('RPT4'!$J810="","",'RPT4'!$J810)</f>
        <v>5.449986191054899</v>
      </c>
    </row>
    <row r="811" spans="1:14" x14ac:dyDescent="0.35">
      <c r="A811" s="16" t="s">
        <v>789</v>
      </c>
      <c r="B811" s="2"/>
      <c r="C811" s="26">
        <f t="shared" si="46"/>
        <v>11.235830395802354</v>
      </c>
      <c r="D811" s="2"/>
      <c r="E811" s="4"/>
      <c r="F811" s="2"/>
      <c r="G811" s="26">
        <f t="shared" si="47"/>
        <v>11.235830395802354</v>
      </c>
      <c r="H811" s="2"/>
      <c r="I811" s="4"/>
      <c r="J811" s="2"/>
      <c r="K811" s="25">
        <f>IF('RPT1'!$J811="","",'RPT1'!$J811)</f>
        <v>0</v>
      </c>
      <c r="L811" s="25">
        <f>IF('RPT2'!$J811="","",'RPT2'!$J811)</f>
        <v>0</v>
      </c>
      <c r="M811" s="25">
        <f>IF('RPT3'!$J811="","",'RPT3'!$J811)</f>
        <v>5.6179151979011772</v>
      </c>
      <c r="N811" s="25">
        <f>IF('RPT4'!$J811="","",'RPT4'!$J811)</f>
        <v>5.6179151979011772</v>
      </c>
    </row>
    <row r="812" spans="1:14" x14ac:dyDescent="0.35">
      <c r="A812" s="16" t="s">
        <v>790</v>
      </c>
      <c r="B812" s="2"/>
      <c r="C812" s="26">
        <f t="shared" si="46"/>
        <v>11.631289733001449</v>
      </c>
      <c r="D812" s="2"/>
      <c r="E812" s="4"/>
      <c r="F812" s="2"/>
      <c r="G812" s="26">
        <f t="shared" si="47"/>
        <v>11.631289733001449</v>
      </c>
      <c r="H812" s="2"/>
      <c r="I812" s="4"/>
      <c r="J812" s="2"/>
      <c r="K812" s="25">
        <f>IF('RPT1'!$J812="","",'RPT1'!$J812)</f>
        <v>0</v>
      </c>
      <c r="L812" s="25">
        <f>IF('RPT2'!$J812="","",'RPT2'!$J812)</f>
        <v>0</v>
      </c>
      <c r="M812" s="25">
        <f>IF('RPT3'!$J812="","",'RPT3'!$J812)</f>
        <v>5.8156448665007243</v>
      </c>
      <c r="N812" s="25">
        <f>IF('RPT4'!$J812="","",'RPT4'!$J812)</f>
        <v>5.8156448665007243</v>
      </c>
    </row>
    <row r="813" spans="1:14" x14ac:dyDescent="0.35">
      <c r="A813" s="16" t="s">
        <v>791</v>
      </c>
      <c r="B813" s="2"/>
      <c r="C813" s="26">
        <f t="shared" si="46"/>
        <v>0</v>
      </c>
      <c r="D813" s="2"/>
      <c r="E813" s="4"/>
      <c r="F813" s="2"/>
      <c r="G813" s="26">
        <f t="shared" si="47"/>
        <v>0</v>
      </c>
      <c r="H813" s="2"/>
      <c r="I813" s="4"/>
      <c r="J813" s="2"/>
      <c r="K813" s="25">
        <f>IF('RPT1'!$J813="","",'RPT1'!$J813)</f>
        <v>0</v>
      </c>
      <c r="L813" s="25">
        <f>IF('RPT2'!$J813="","",'RPT2'!$J813)</f>
        <v>0</v>
      </c>
      <c r="M813" s="25">
        <f>IF('RPT3'!$J813="","",'RPT3'!$J813)</f>
        <v>0</v>
      </c>
      <c r="N813" s="25">
        <f>IF('RPT4'!$J813="","",'RPT4'!$J813)</f>
        <v>0</v>
      </c>
    </row>
    <row r="814" spans="1:14" x14ac:dyDescent="0.35">
      <c r="A814" s="16" t="s">
        <v>792</v>
      </c>
      <c r="B814" s="2"/>
      <c r="C814" s="26">
        <f t="shared" si="46"/>
        <v>0</v>
      </c>
      <c r="D814" s="2"/>
      <c r="E814" s="4"/>
      <c r="F814" s="2"/>
      <c r="G814" s="26">
        <f t="shared" si="47"/>
        <v>0</v>
      </c>
      <c r="H814" s="2"/>
      <c r="I814" s="4"/>
      <c r="J814" s="2"/>
      <c r="K814" s="25">
        <f>IF('RPT1'!$J814="","",'RPT1'!$J814)</f>
        <v>0</v>
      </c>
      <c r="L814" s="25">
        <f>IF('RPT2'!$J814="","",'RPT2'!$J814)</f>
        <v>0</v>
      </c>
      <c r="M814" s="25">
        <f>IF('RPT3'!$J814="","",'RPT3'!$J814)</f>
        <v>0</v>
      </c>
      <c r="N814" s="25">
        <f>IF('RPT4'!$J814="","",'RPT4'!$J814)</f>
        <v>0</v>
      </c>
    </row>
    <row r="815" spans="1:14" x14ac:dyDescent="0.35">
      <c r="A815" s="16" t="s">
        <v>793</v>
      </c>
      <c r="B815" s="2"/>
      <c r="C815" s="26">
        <f t="shared" si="46"/>
        <v>0</v>
      </c>
      <c r="D815" s="2"/>
      <c r="E815" s="4"/>
      <c r="F815" s="2"/>
      <c r="G815" s="26">
        <f t="shared" si="47"/>
        <v>0</v>
      </c>
      <c r="H815" s="2"/>
      <c r="I815" s="4"/>
      <c r="J815" s="2"/>
      <c r="K815" s="25">
        <f>IF('RPT1'!$J815="","",'RPT1'!$J815)</f>
        <v>0</v>
      </c>
      <c r="L815" s="25">
        <f>IF('RPT2'!$J815="","",'RPT2'!$J815)</f>
        <v>0</v>
      </c>
      <c r="M815" s="25">
        <f>IF('RPT3'!$J815="","",'RPT3'!$J815)</f>
        <v>0</v>
      </c>
      <c r="N815" s="25">
        <f>IF('RPT4'!$J815="","",'RPT4'!$J815)</f>
        <v>0</v>
      </c>
    </row>
    <row r="816" spans="1:14" x14ac:dyDescent="0.35">
      <c r="A816" s="16" t="s">
        <v>794</v>
      </c>
      <c r="B816" s="2"/>
      <c r="C816" s="26">
        <f t="shared" si="46"/>
        <v>0</v>
      </c>
      <c r="D816" s="2"/>
      <c r="E816" s="4"/>
      <c r="F816" s="2"/>
      <c r="G816" s="26">
        <f t="shared" si="47"/>
        <v>0</v>
      </c>
      <c r="H816" s="2"/>
      <c r="I816" s="4"/>
      <c r="J816" s="2"/>
      <c r="K816" s="25">
        <f>IF('RPT1'!$J816="","",'RPT1'!$J816)</f>
        <v>0</v>
      </c>
      <c r="L816" s="25">
        <f>IF('RPT2'!$J816="","",'RPT2'!$J816)</f>
        <v>0</v>
      </c>
      <c r="M816" s="25">
        <f>IF('RPT3'!$J816="","",'RPT3'!$J816)</f>
        <v>0</v>
      </c>
      <c r="N816" s="25">
        <f>IF('RPT4'!$J816="","",'RPT4'!$J816)</f>
        <v>0</v>
      </c>
    </row>
    <row r="817" spans="1:14" x14ac:dyDescent="0.35">
      <c r="A817" s="16" t="s">
        <v>795</v>
      </c>
      <c r="B817" s="2"/>
      <c r="C817" s="26">
        <f t="shared" si="46"/>
        <v>0</v>
      </c>
      <c r="D817" s="2"/>
      <c r="E817" s="4"/>
      <c r="F817" s="2"/>
      <c r="G817" s="26">
        <f t="shared" si="47"/>
        <v>0</v>
      </c>
      <c r="H817" s="2"/>
      <c r="I817" s="4"/>
      <c r="J817" s="2"/>
      <c r="K817" s="25">
        <f>IF('RPT1'!$J817="","",'RPT1'!$J817)</f>
        <v>0</v>
      </c>
      <c r="L817" s="25">
        <f>IF('RPT2'!$J817="","",'RPT2'!$J817)</f>
        <v>0</v>
      </c>
      <c r="M817" s="25">
        <f>IF('RPT3'!$J817="","",'RPT3'!$J817)</f>
        <v>0</v>
      </c>
      <c r="N817" s="25">
        <f>IF('RPT4'!$J817="","",'RPT4'!$J817)</f>
        <v>0</v>
      </c>
    </row>
    <row r="818" spans="1:14" x14ac:dyDescent="0.35">
      <c r="A818" s="16"/>
      <c r="B818" s="2"/>
      <c r="C818" s="28"/>
      <c r="D818" s="2"/>
      <c r="E818" s="4"/>
      <c r="F818" s="2"/>
      <c r="G818" s="28"/>
      <c r="H818" s="2"/>
      <c r="I818" s="4"/>
      <c r="J818" s="2"/>
      <c r="K818" s="29"/>
      <c r="L818" s="29"/>
      <c r="M818" s="29"/>
      <c r="N818" s="29"/>
    </row>
    <row r="819" spans="1:14" x14ac:dyDescent="0.35">
      <c r="A819" s="30" t="s">
        <v>796</v>
      </c>
      <c r="B819" s="2"/>
      <c r="C819" s="28"/>
      <c r="D819" s="2"/>
      <c r="E819" s="4"/>
      <c r="F819" s="2"/>
      <c r="G819" s="28"/>
      <c r="H819" s="2"/>
      <c r="I819" s="4"/>
      <c r="J819" s="2"/>
      <c r="K819" s="29" t="str">
        <f>IF('RPT1'!$J819="","",'RPT1'!$J819)</f>
        <v/>
      </c>
      <c r="L819" s="29" t="str">
        <f>IF('RPT2'!$J819="","",'RPT2'!$J819)</f>
        <v/>
      </c>
      <c r="M819" s="29" t="str">
        <f>IF('RPT3'!$J819="","",'RPT3'!$J819)</f>
        <v/>
      </c>
      <c r="N819" s="29" t="str">
        <f>IF('RPT4'!$J819="","",'RPT4'!$J819)</f>
        <v/>
      </c>
    </row>
    <row r="820" spans="1:14" x14ac:dyDescent="0.35">
      <c r="A820" s="16" t="s">
        <v>797</v>
      </c>
      <c r="B820" s="2"/>
      <c r="C820" s="28">
        <f t="shared" ref="C820:C859" si="48">IF(Combine="Y", $G820, 0)</f>
        <v>53727.55904724502</v>
      </c>
      <c r="D820" s="2"/>
      <c r="E820" s="4"/>
      <c r="F820" s="2"/>
      <c r="G820" s="28">
        <f t="shared" ref="G820:G859" si="49">SUM($K820:$N820)</f>
        <v>53727.55904724502</v>
      </c>
      <c r="H820" s="2"/>
      <c r="I820" s="4"/>
      <c r="J820" s="2"/>
      <c r="K820" s="29">
        <f>IF('RPT1'!$J820="","",'RPT1'!$J820)</f>
        <v>0</v>
      </c>
      <c r="L820" s="29">
        <f>IF('RPT2'!$J820="","",'RPT2'!$J820)</f>
        <v>0</v>
      </c>
      <c r="M820" s="29">
        <f>IF('RPT3'!$J820="","",'RPT3'!$J820)</f>
        <v>26858.686193074991</v>
      </c>
      <c r="N820" s="29">
        <f>IF('RPT4'!$J820="","",'RPT4'!$J820)</f>
        <v>26868.872854170029</v>
      </c>
    </row>
    <row r="821" spans="1:14" x14ac:dyDescent="0.35">
      <c r="A821" s="16" t="s">
        <v>798</v>
      </c>
      <c r="B821" s="2"/>
      <c r="C821" s="28">
        <f t="shared" si="48"/>
        <v>49119.65444541035</v>
      </c>
      <c r="D821" s="2"/>
      <c r="E821" s="4"/>
      <c r="F821" s="2"/>
      <c r="G821" s="28">
        <f t="shared" si="49"/>
        <v>49119.65444541035</v>
      </c>
      <c r="H821" s="2"/>
      <c r="I821" s="4"/>
      <c r="J821" s="2"/>
      <c r="K821" s="29">
        <f>IF('RPT1'!$J821="","",'RPT1'!$J821)</f>
        <v>0</v>
      </c>
      <c r="L821" s="29">
        <f>IF('RPT2'!$J821="","",'RPT2'!$J821)</f>
        <v>0</v>
      </c>
      <c r="M821" s="29">
        <f>IF('RPT3'!$J821="","",'RPT3'!$J821)</f>
        <v>24553.799931241949</v>
      </c>
      <c r="N821" s="29">
        <f>IF('RPT4'!$J821="","",'RPT4'!$J821)</f>
        <v>24565.854514168401</v>
      </c>
    </row>
    <row r="822" spans="1:14" x14ac:dyDescent="0.35">
      <c r="A822" s="16" t="s">
        <v>799</v>
      </c>
      <c r="B822" s="2"/>
      <c r="C822" s="28">
        <f t="shared" si="48"/>
        <v>37234.104145640245</v>
      </c>
      <c r="D822" s="2"/>
      <c r="E822" s="4"/>
      <c r="F822" s="2"/>
      <c r="G822" s="28">
        <f t="shared" si="49"/>
        <v>37234.104145640245</v>
      </c>
      <c r="H822" s="2"/>
      <c r="I822" s="4"/>
      <c r="J822" s="2"/>
      <c r="K822" s="29">
        <f>IF('RPT1'!$J822="","",'RPT1'!$J822)</f>
        <v>0</v>
      </c>
      <c r="L822" s="29">
        <f>IF('RPT2'!$J822="","",'RPT2'!$J822)</f>
        <v>0</v>
      </c>
      <c r="M822" s="29">
        <f>IF('RPT3'!$J822="","",'RPT3'!$J822)</f>
        <v>18612.605841352572</v>
      </c>
      <c r="N822" s="29">
        <f>IF('RPT4'!$J822="","",'RPT4'!$J822)</f>
        <v>18621.49830428767</v>
      </c>
    </row>
    <row r="823" spans="1:14" x14ac:dyDescent="0.35">
      <c r="A823" s="16" t="s">
        <v>800</v>
      </c>
      <c r="B823" s="2"/>
      <c r="C823" s="28">
        <f t="shared" si="48"/>
        <v>36606.660489363247</v>
      </c>
      <c r="D823" s="2"/>
      <c r="E823" s="4"/>
      <c r="F823" s="2"/>
      <c r="G823" s="28">
        <f t="shared" si="49"/>
        <v>36606.660489363247</v>
      </c>
      <c r="H823" s="2"/>
      <c r="I823" s="4"/>
      <c r="J823" s="2"/>
      <c r="K823" s="29">
        <f>IF('RPT1'!$J823="","",'RPT1'!$J823)</f>
        <v>0</v>
      </c>
      <c r="L823" s="29">
        <f>IF('RPT2'!$J823="","",'RPT2'!$J823)</f>
        <v>0</v>
      </c>
      <c r="M823" s="29">
        <f>IF('RPT3'!$J823="","",'RPT3'!$J823)</f>
        <v>18297.887897247601</v>
      </c>
      <c r="N823" s="29">
        <f>IF('RPT4'!$J823="","",'RPT4'!$J823)</f>
        <v>18308.772592115649</v>
      </c>
    </row>
    <row r="824" spans="1:14" x14ac:dyDescent="0.35">
      <c r="A824" s="16" t="s">
        <v>801</v>
      </c>
      <c r="B824" s="2"/>
      <c r="C824" s="28">
        <f t="shared" si="48"/>
        <v>30913.227938681463</v>
      </c>
      <c r="D824" s="2"/>
      <c r="E824" s="4"/>
      <c r="F824" s="2"/>
      <c r="G824" s="28">
        <f t="shared" si="49"/>
        <v>30913.227938681463</v>
      </c>
      <c r="H824" s="2"/>
      <c r="I824" s="4"/>
      <c r="J824" s="2"/>
      <c r="K824" s="29">
        <f>IF('RPT1'!$J824="","",'RPT1'!$J824)</f>
        <v>0</v>
      </c>
      <c r="L824" s="29">
        <f>IF('RPT2'!$J824="","",'RPT2'!$J824)</f>
        <v>0</v>
      </c>
      <c r="M824" s="29">
        <f>IF('RPT3'!$J824="","",'RPT3'!$J824)</f>
        <v>15451.842200138461</v>
      </c>
      <c r="N824" s="29">
        <f>IF('RPT4'!$J824="","",'RPT4'!$J824)</f>
        <v>15461.385738543</v>
      </c>
    </row>
    <row r="825" spans="1:14" x14ac:dyDescent="0.35">
      <c r="A825" s="16" t="s">
        <v>802</v>
      </c>
      <c r="B825" s="2"/>
      <c r="C825" s="28">
        <f t="shared" si="48"/>
        <v>0</v>
      </c>
      <c r="D825" s="2"/>
      <c r="E825" s="4"/>
      <c r="F825" s="2"/>
      <c r="G825" s="28">
        <f t="shared" si="49"/>
        <v>0</v>
      </c>
      <c r="H825" s="2"/>
      <c r="I825" s="4"/>
      <c r="J825" s="2"/>
      <c r="K825" s="29">
        <f>IF('RPT1'!$J825="","",'RPT1'!$J825)</f>
        <v>0</v>
      </c>
      <c r="L825" s="29">
        <f>IF('RPT2'!$J825="","",'RPT2'!$J825)</f>
        <v>0</v>
      </c>
      <c r="M825" s="29">
        <f>IF('RPT3'!$J825="","",'RPT3'!$J825)</f>
        <v>0</v>
      </c>
      <c r="N825" s="29">
        <f>IF('RPT4'!$J825="","",'RPT4'!$J825)</f>
        <v>0</v>
      </c>
    </row>
    <row r="826" spans="1:14" x14ac:dyDescent="0.35">
      <c r="A826" s="16" t="s">
        <v>803</v>
      </c>
      <c r="B826" s="2"/>
      <c r="C826" s="28">
        <f t="shared" si="48"/>
        <v>0</v>
      </c>
      <c r="D826" s="2"/>
      <c r="E826" s="4"/>
      <c r="F826" s="2"/>
      <c r="G826" s="28">
        <f t="shared" si="49"/>
        <v>0</v>
      </c>
      <c r="H826" s="2"/>
      <c r="I826" s="4"/>
      <c r="J826" s="2"/>
      <c r="K826" s="29">
        <f>IF('RPT1'!$J826="","",'RPT1'!$J826)</f>
        <v>0</v>
      </c>
      <c r="L826" s="29">
        <f>IF('RPT2'!$J826="","",'RPT2'!$J826)</f>
        <v>0</v>
      </c>
      <c r="M826" s="29">
        <f>IF('RPT3'!$J826="","",'RPT3'!$J826)</f>
        <v>0</v>
      </c>
      <c r="N826" s="29">
        <f>IF('RPT4'!$J826="","",'RPT4'!$J826)</f>
        <v>0</v>
      </c>
    </row>
    <row r="827" spans="1:14" x14ac:dyDescent="0.35">
      <c r="A827" s="16" t="s">
        <v>804</v>
      </c>
      <c r="B827" s="2"/>
      <c r="C827" s="28">
        <f t="shared" si="48"/>
        <v>0</v>
      </c>
      <c r="D827" s="2"/>
      <c r="E827" s="4"/>
      <c r="F827" s="2"/>
      <c r="G827" s="28">
        <f t="shared" si="49"/>
        <v>0</v>
      </c>
      <c r="H827" s="2"/>
      <c r="I827" s="4"/>
      <c r="J827" s="2"/>
      <c r="K827" s="29">
        <f>IF('RPT1'!$J827="","",'RPT1'!$J827)</f>
        <v>0</v>
      </c>
      <c r="L827" s="29">
        <f>IF('RPT2'!$J827="","",'RPT2'!$J827)</f>
        <v>0</v>
      </c>
      <c r="M827" s="29">
        <f>IF('RPT3'!$J827="","",'RPT3'!$J827)</f>
        <v>0</v>
      </c>
      <c r="N827" s="29">
        <f>IF('RPT4'!$J827="","",'RPT4'!$J827)</f>
        <v>0</v>
      </c>
    </row>
    <row r="828" spans="1:14" x14ac:dyDescent="0.35">
      <c r="A828" s="16" t="s">
        <v>805</v>
      </c>
      <c r="B828" s="2"/>
      <c r="C828" s="28">
        <f t="shared" si="48"/>
        <v>0</v>
      </c>
      <c r="D828" s="2"/>
      <c r="E828" s="4"/>
      <c r="F828" s="2"/>
      <c r="G828" s="28">
        <f t="shared" si="49"/>
        <v>0</v>
      </c>
      <c r="H828" s="2"/>
      <c r="I828" s="4"/>
      <c r="J828" s="2"/>
      <c r="K828" s="29">
        <f>IF('RPT1'!$J828="","",'RPT1'!$J828)</f>
        <v>0</v>
      </c>
      <c r="L828" s="29">
        <f>IF('RPT2'!$J828="","",'RPT2'!$J828)</f>
        <v>0</v>
      </c>
      <c r="M828" s="29">
        <f>IF('RPT3'!$J828="","",'RPT3'!$J828)</f>
        <v>0</v>
      </c>
      <c r="N828" s="29">
        <f>IF('RPT4'!$J828="","",'RPT4'!$J828)</f>
        <v>0</v>
      </c>
    </row>
    <row r="829" spans="1:14" x14ac:dyDescent="0.35">
      <c r="A829" s="16" t="s">
        <v>806</v>
      </c>
      <c r="B829" s="2"/>
      <c r="C829" s="28">
        <f t="shared" si="48"/>
        <v>0</v>
      </c>
      <c r="D829" s="2"/>
      <c r="E829" s="4"/>
      <c r="F829" s="2"/>
      <c r="G829" s="28">
        <f t="shared" si="49"/>
        <v>0</v>
      </c>
      <c r="H829" s="2"/>
      <c r="I829" s="4"/>
      <c r="J829" s="2"/>
      <c r="K829" s="29">
        <f>IF('RPT1'!$J829="","",'RPT1'!$J829)</f>
        <v>0</v>
      </c>
      <c r="L829" s="29">
        <f>IF('RPT2'!$J829="","",'RPT2'!$J829)</f>
        <v>0</v>
      </c>
      <c r="M829" s="29">
        <f>IF('RPT3'!$J829="","",'RPT3'!$J829)</f>
        <v>0</v>
      </c>
      <c r="N829" s="29">
        <f>IF('RPT4'!$J829="","",'RPT4'!$J829)</f>
        <v>0</v>
      </c>
    </row>
    <row r="830" spans="1:14" x14ac:dyDescent="0.35">
      <c r="A830" s="16" t="s">
        <v>807</v>
      </c>
      <c r="B830" s="2"/>
      <c r="C830" s="28">
        <f t="shared" si="48"/>
        <v>40635.761374140478</v>
      </c>
      <c r="D830" s="2"/>
      <c r="E830" s="4"/>
      <c r="F830" s="2"/>
      <c r="G830" s="28">
        <f t="shared" si="49"/>
        <v>40635.761374140478</v>
      </c>
      <c r="H830" s="2"/>
      <c r="I830" s="4"/>
      <c r="J830" s="2"/>
      <c r="K830" s="29">
        <f>IF('RPT1'!$J830="","",'RPT1'!$J830)</f>
        <v>0</v>
      </c>
      <c r="L830" s="29">
        <f>IF('RPT2'!$J830="","",'RPT2'!$J830)</f>
        <v>0</v>
      </c>
      <c r="M830" s="29">
        <f>IF('RPT3'!$J830="","",'RPT3'!$J830)</f>
        <v>20311.461189157399</v>
      </c>
      <c r="N830" s="29">
        <f>IF('RPT4'!$J830="","",'RPT4'!$J830)</f>
        <v>20324.30018498308</v>
      </c>
    </row>
    <row r="831" spans="1:14" x14ac:dyDescent="0.35">
      <c r="A831" s="16" t="s">
        <v>808</v>
      </c>
      <c r="B831" s="2"/>
      <c r="C831" s="28">
        <f t="shared" si="48"/>
        <v>31851.794929675911</v>
      </c>
      <c r="D831" s="2"/>
      <c r="E831" s="4"/>
      <c r="F831" s="2"/>
      <c r="G831" s="28">
        <f t="shared" si="49"/>
        <v>31851.794929675911</v>
      </c>
      <c r="H831" s="2"/>
      <c r="I831" s="4"/>
      <c r="J831" s="2"/>
      <c r="K831" s="29">
        <f>IF('RPT1'!$J831="","",'RPT1'!$J831)</f>
        <v>0</v>
      </c>
      <c r="L831" s="29">
        <f>IF('RPT2'!$J831="","",'RPT2'!$J831)</f>
        <v>0</v>
      </c>
      <c r="M831" s="29">
        <f>IF('RPT3'!$J831="","",'RPT3'!$J831)</f>
        <v>15919.43387147465</v>
      </c>
      <c r="N831" s="29">
        <f>IF('RPT4'!$J831="","",'RPT4'!$J831)</f>
        <v>15932.361058201261</v>
      </c>
    </row>
    <row r="832" spans="1:14" x14ac:dyDescent="0.35">
      <c r="A832" s="16" t="s">
        <v>809</v>
      </c>
      <c r="B832" s="2"/>
      <c r="C832" s="28">
        <f t="shared" si="48"/>
        <v>15615.598391369282</v>
      </c>
      <c r="D832" s="2"/>
      <c r="E832" s="4"/>
      <c r="F832" s="2"/>
      <c r="G832" s="28">
        <f t="shared" si="49"/>
        <v>15615.598391369282</v>
      </c>
      <c r="H832" s="2"/>
      <c r="I832" s="4"/>
      <c r="J832" s="2"/>
      <c r="K832" s="29">
        <f>IF('RPT1'!$J832="","",'RPT1'!$J832)</f>
        <v>0</v>
      </c>
      <c r="L832" s="29">
        <f>IF('RPT2'!$J832="","",'RPT2'!$J832)</f>
        <v>0</v>
      </c>
      <c r="M832" s="29">
        <f>IF('RPT3'!$J832="","",'RPT3'!$J832)</f>
        <v>7805.8005272709079</v>
      </c>
      <c r="N832" s="29">
        <f>IF('RPT4'!$J832="","",'RPT4'!$J832)</f>
        <v>7809.7978640983738</v>
      </c>
    </row>
    <row r="833" spans="1:14" x14ac:dyDescent="0.35">
      <c r="A833" s="16" t="s">
        <v>810</v>
      </c>
      <c r="B833" s="2"/>
      <c r="C833" s="28">
        <f t="shared" si="48"/>
        <v>9368.6352204668583</v>
      </c>
      <c r="D833" s="2"/>
      <c r="E833" s="4"/>
      <c r="F833" s="2"/>
      <c r="G833" s="28">
        <f t="shared" si="49"/>
        <v>9368.6352204668583</v>
      </c>
      <c r="H833" s="2"/>
      <c r="I833" s="4"/>
      <c r="J833" s="2"/>
      <c r="K833" s="29">
        <f>IF('RPT1'!$J833="","",'RPT1'!$J833)</f>
        <v>0</v>
      </c>
      <c r="L833" s="29">
        <f>IF('RPT2'!$J833="","",'RPT2'!$J833)</f>
        <v>0</v>
      </c>
      <c r="M833" s="29">
        <f>IF('RPT3'!$J833="","",'RPT3'!$J833)</f>
        <v>4683.160733975642</v>
      </c>
      <c r="N833" s="29">
        <f>IF('RPT4'!$J833="","",'RPT4'!$J833)</f>
        <v>4685.4744864912154</v>
      </c>
    </row>
    <row r="834" spans="1:14" x14ac:dyDescent="0.35">
      <c r="A834" s="16" t="s">
        <v>811</v>
      </c>
      <c r="B834" s="2"/>
      <c r="C834" s="28">
        <f t="shared" si="48"/>
        <v>7009.7100281353396</v>
      </c>
      <c r="D834" s="2"/>
      <c r="E834" s="4"/>
      <c r="F834" s="2"/>
      <c r="G834" s="28">
        <f t="shared" si="49"/>
        <v>7009.7100281353396</v>
      </c>
      <c r="H834" s="2"/>
      <c r="I834" s="4"/>
      <c r="J834" s="2"/>
      <c r="K834" s="29">
        <f>IF('RPT1'!$J834="","",'RPT1'!$J834)</f>
        <v>0</v>
      </c>
      <c r="L834" s="29">
        <f>IF('RPT2'!$J834="","",'RPT2'!$J834)</f>
        <v>0</v>
      </c>
      <c r="M834" s="29">
        <f>IF('RPT3'!$J834="","",'RPT3'!$J834)</f>
        <v>3503.778060271612</v>
      </c>
      <c r="N834" s="29">
        <f>IF('RPT4'!$J834="","",'RPT4'!$J834)</f>
        <v>3505.931967863728</v>
      </c>
    </row>
    <row r="835" spans="1:14" x14ac:dyDescent="0.35">
      <c r="A835" s="16" t="s">
        <v>812</v>
      </c>
      <c r="B835" s="2"/>
      <c r="C835" s="28">
        <f t="shared" si="48"/>
        <v>0</v>
      </c>
      <c r="D835" s="2"/>
      <c r="E835" s="4"/>
      <c r="F835" s="2"/>
      <c r="G835" s="28">
        <f t="shared" si="49"/>
        <v>0</v>
      </c>
      <c r="H835" s="2"/>
      <c r="I835" s="4"/>
      <c r="J835" s="2"/>
      <c r="K835" s="29">
        <f>IF('RPT1'!$J835="","",'RPT1'!$J835)</f>
        <v>0</v>
      </c>
      <c r="L835" s="29">
        <f>IF('RPT2'!$J835="","",'RPT2'!$J835)</f>
        <v>0</v>
      </c>
      <c r="M835" s="29">
        <f>IF('RPT3'!$J835="","",'RPT3'!$J835)</f>
        <v>0</v>
      </c>
      <c r="N835" s="29">
        <f>IF('RPT4'!$J835="","",'RPT4'!$J835)</f>
        <v>0</v>
      </c>
    </row>
    <row r="836" spans="1:14" x14ac:dyDescent="0.35">
      <c r="A836" s="16" t="s">
        <v>813</v>
      </c>
      <c r="B836" s="2"/>
      <c r="C836" s="28">
        <f t="shared" si="48"/>
        <v>0</v>
      </c>
      <c r="D836" s="2"/>
      <c r="E836" s="4"/>
      <c r="F836" s="2"/>
      <c r="G836" s="28">
        <f t="shared" si="49"/>
        <v>0</v>
      </c>
      <c r="H836" s="2"/>
      <c r="I836" s="4"/>
      <c r="J836" s="2"/>
      <c r="K836" s="29">
        <f>IF('RPT1'!$J836="","",'RPT1'!$J836)</f>
        <v>0</v>
      </c>
      <c r="L836" s="29">
        <f>IF('RPT2'!$J836="","",'RPT2'!$J836)</f>
        <v>0</v>
      </c>
      <c r="M836" s="29">
        <f>IF('RPT3'!$J836="","",'RPT3'!$J836)</f>
        <v>0</v>
      </c>
      <c r="N836" s="29">
        <f>IF('RPT4'!$J836="","",'RPT4'!$J836)</f>
        <v>0</v>
      </c>
    </row>
    <row r="837" spans="1:14" x14ac:dyDescent="0.35">
      <c r="A837" s="16" t="s">
        <v>814</v>
      </c>
      <c r="B837" s="2"/>
      <c r="C837" s="28">
        <f t="shared" si="48"/>
        <v>0</v>
      </c>
      <c r="D837" s="2"/>
      <c r="E837" s="4"/>
      <c r="F837" s="2"/>
      <c r="G837" s="28">
        <f t="shared" si="49"/>
        <v>0</v>
      </c>
      <c r="H837" s="2"/>
      <c r="I837" s="4"/>
      <c r="J837" s="2"/>
      <c r="K837" s="29">
        <f>IF('RPT1'!$J837="","",'RPT1'!$J837)</f>
        <v>0</v>
      </c>
      <c r="L837" s="29">
        <f>IF('RPT2'!$J837="","",'RPT2'!$J837)</f>
        <v>0</v>
      </c>
      <c r="M837" s="29">
        <f>IF('RPT3'!$J837="","",'RPT3'!$J837)</f>
        <v>0</v>
      </c>
      <c r="N837" s="29">
        <f>IF('RPT4'!$J837="","",'RPT4'!$J837)</f>
        <v>0</v>
      </c>
    </row>
    <row r="838" spans="1:14" x14ac:dyDescent="0.35">
      <c r="A838" s="16" t="s">
        <v>815</v>
      </c>
      <c r="B838" s="2"/>
      <c r="C838" s="28">
        <f t="shared" si="48"/>
        <v>0</v>
      </c>
      <c r="D838" s="2"/>
      <c r="E838" s="4"/>
      <c r="F838" s="2"/>
      <c r="G838" s="28">
        <f t="shared" si="49"/>
        <v>0</v>
      </c>
      <c r="H838" s="2"/>
      <c r="I838" s="4"/>
      <c r="J838" s="2"/>
      <c r="K838" s="29">
        <f>IF('RPT1'!$J838="","",'RPT1'!$J838)</f>
        <v>0</v>
      </c>
      <c r="L838" s="29">
        <f>IF('RPT2'!$J838="","",'RPT2'!$J838)</f>
        <v>0</v>
      </c>
      <c r="M838" s="29">
        <f>IF('RPT3'!$J838="","",'RPT3'!$J838)</f>
        <v>0</v>
      </c>
      <c r="N838" s="29">
        <f>IF('RPT4'!$J838="","",'RPT4'!$J838)</f>
        <v>0</v>
      </c>
    </row>
    <row r="839" spans="1:14" x14ac:dyDescent="0.35">
      <c r="A839" s="16" t="s">
        <v>816</v>
      </c>
      <c r="B839" s="2"/>
      <c r="C839" s="28">
        <f t="shared" si="48"/>
        <v>0</v>
      </c>
      <c r="D839" s="2"/>
      <c r="E839" s="4"/>
      <c r="F839" s="2"/>
      <c r="G839" s="28">
        <f t="shared" si="49"/>
        <v>0</v>
      </c>
      <c r="H839" s="2"/>
      <c r="I839" s="4"/>
      <c r="J839" s="2"/>
      <c r="K839" s="29">
        <f>IF('RPT1'!$J839="","",'RPT1'!$J839)</f>
        <v>0</v>
      </c>
      <c r="L839" s="29">
        <f>IF('RPT2'!$J839="","",'RPT2'!$J839)</f>
        <v>0</v>
      </c>
      <c r="M839" s="29">
        <f>IF('RPT3'!$J839="","",'RPT3'!$J839)</f>
        <v>0</v>
      </c>
      <c r="N839" s="29">
        <f>IF('RPT4'!$J839="","",'RPT4'!$J839)</f>
        <v>0</v>
      </c>
    </row>
    <row r="840" spans="1:14" x14ac:dyDescent="0.35">
      <c r="A840" s="16" t="s">
        <v>817</v>
      </c>
      <c r="B840" s="2"/>
      <c r="C840" s="28">
        <f t="shared" si="48"/>
        <v>68925.377657514648</v>
      </c>
      <c r="D840" s="2"/>
      <c r="E840" s="4"/>
      <c r="F840" s="2"/>
      <c r="G840" s="28">
        <f t="shared" si="49"/>
        <v>68925.377657514648</v>
      </c>
      <c r="H840" s="2"/>
      <c r="I840" s="4"/>
      <c r="J840" s="2"/>
      <c r="K840" s="29">
        <f>IF('RPT1'!$J840="","",'RPT1'!$J840)</f>
        <v>0</v>
      </c>
      <c r="L840" s="29">
        <f>IF('RPT2'!$J840="","",'RPT2'!$J840)</f>
        <v>0</v>
      </c>
      <c r="M840" s="29">
        <f>IF('RPT3'!$J840="","",'RPT3'!$J840)</f>
        <v>34450.741432467337</v>
      </c>
      <c r="N840" s="29">
        <f>IF('RPT4'!$J840="","",'RPT4'!$J840)</f>
        <v>34474.63622504731</v>
      </c>
    </row>
    <row r="841" spans="1:14" x14ac:dyDescent="0.35">
      <c r="A841" s="16" t="s">
        <v>818</v>
      </c>
      <c r="B841" s="2"/>
      <c r="C841" s="28">
        <f t="shared" si="48"/>
        <v>50808.287471860764</v>
      </c>
      <c r="D841" s="2"/>
      <c r="E841" s="4"/>
      <c r="F841" s="2"/>
      <c r="G841" s="28">
        <f t="shared" si="49"/>
        <v>50808.287471860764</v>
      </c>
      <c r="H841" s="2"/>
      <c r="I841" s="4"/>
      <c r="J841" s="2"/>
      <c r="K841" s="29">
        <f>IF('RPT1'!$J841="","",'RPT1'!$J841)</f>
        <v>0</v>
      </c>
      <c r="L841" s="29">
        <f>IF('RPT2'!$J841="","",'RPT2'!$J841)</f>
        <v>0</v>
      </c>
      <c r="M841" s="29">
        <f>IF('RPT3'!$J841="","",'RPT3'!$J841)</f>
        <v>25393.3572190948</v>
      </c>
      <c r="N841" s="29">
        <f>IF('RPT4'!$J841="","",'RPT4'!$J841)</f>
        <v>25414.93025276596</v>
      </c>
    </row>
    <row r="842" spans="1:14" x14ac:dyDescent="0.35">
      <c r="A842" s="16" t="s">
        <v>819</v>
      </c>
      <c r="B842" s="2"/>
      <c r="C842" s="28">
        <f t="shared" si="48"/>
        <v>29862.092464947651</v>
      </c>
      <c r="D842" s="2"/>
      <c r="E842" s="4"/>
      <c r="F842" s="2"/>
      <c r="G842" s="28">
        <f t="shared" si="49"/>
        <v>29862.092464947651</v>
      </c>
      <c r="H842" s="2"/>
      <c r="I842" s="4"/>
      <c r="J842" s="2"/>
      <c r="K842" s="29">
        <f>IF('RPT1'!$J842="","",'RPT1'!$J842)</f>
        <v>0</v>
      </c>
      <c r="L842" s="29">
        <f>IF('RPT2'!$J842="","",'RPT2'!$J842)</f>
        <v>0</v>
      </c>
      <c r="M842" s="29">
        <f>IF('RPT3'!$J842="","",'RPT3'!$J842)</f>
        <v>14925.35844680461</v>
      </c>
      <c r="N842" s="29">
        <f>IF('RPT4'!$J842="","",'RPT4'!$J842)</f>
        <v>14936.734018143041</v>
      </c>
    </row>
    <row r="843" spans="1:14" x14ac:dyDescent="0.35">
      <c r="A843" s="16" t="s">
        <v>820</v>
      </c>
      <c r="B843" s="2"/>
      <c r="C843" s="28">
        <f t="shared" si="48"/>
        <v>25526.241812928769</v>
      </c>
      <c r="D843" s="2"/>
      <c r="E843" s="4"/>
      <c r="F843" s="2"/>
      <c r="G843" s="28">
        <f t="shared" si="49"/>
        <v>25526.241812928769</v>
      </c>
      <c r="H843" s="2"/>
      <c r="I843" s="4"/>
      <c r="J843" s="2"/>
      <c r="K843" s="29">
        <f>IF('RPT1'!$J843="","",'RPT1'!$J843)</f>
        <v>0</v>
      </c>
      <c r="L843" s="29">
        <f>IF('RPT2'!$J843="","",'RPT2'!$J843)</f>
        <v>0</v>
      </c>
      <c r="M843" s="29">
        <f>IF('RPT3'!$J843="","",'RPT3'!$J843)</f>
        <v>12757.62769793077</v>
      </c>
      <c r="N843" s="29">
        <f>IF('RPT4'!$J843="","",'RPT4'!$J843)</f>
        <v>12768.614114997999</v>
      </c>
    </row>
    <row r="844" spans="1:14" x14ac:dyDescent="0.35">
      <c r="A844" s="16" t="s">
        <v>821</v>
      </c>
      <c r="B844" s="2"/>
      <c r="C844" s="28">
        <f t="shared" si="48"/>
        <v>25886.033288520171</v>
      </c>
      <c r="D844" s="2"/>
      <c r="E844" s="4"/>
      <c r="F844" s="2"/>
      <c r="G844" s="28">
        <f t="shared" si="49"/>
        <v>25886.033288520171</v>
      </c>
      <c r="H844" s="2"/>
      <c r="I844" s="4"/>
      <c r="J844" s="2"/>
      <c r="K844" s="29">
        <f>IF('RPT1'!$J844="","",'RPT1'!$J844)</f>
        <v>0</v>
      </c>
      <c r="L844" s="29">
        <f>IF('RPT2'!$J844="","",'RPT2'!$J844)</f>
        <v>0</v>
      </c>
      <c r="M844" s="29">
        <f>IF('RPT3'!$J844="","",'RPT3'!$J844)</f>
        <v>12936.12355613977</v>
      </c>
      <c r="N844" s="29">
        <f>IF('RPT4'!$J844="","",'RPT4'!$J844)</f>
        <v>12949.9097323804</v>
      </c>
    </row>
    <row r="845" spans="1:14" x14ac:dyDescent="0.35">
      <c r="A845" s="16" t="s">
        <v>822</v>
      </c>
      <c r="B845" s="2"/>
      <c r="C845" s="28">
        <f t="shared" si="48"/>
        <v>0</v>
      </c>
      <c r="D845" s="2"/>
      <c r="E845" s="4"/>
      <c r="F845" s="2"/>
      <c r="G845" s="28">
        <f t="shared" si="49"/>
        <v>0</v>
      </c>
      <c r="H845" s="2"/>
      <c r="I845" s="4"/>
      <c r="J845" s="2"/>
      <c r="K845" s="29">
        <f>IF('RPT1'!$J845="","",'RPT1'!$J845)</f>
        <v>0</v>
      </c>
      <c r="L845" s="29">
        <f>IF('RPT2'!$J845="","",'RPT2'!$J845)</f>
        <v>0</v>
      </c>
      <c r="M845" s="29">
        <f>IF('RPT3'!$J845="","",'RPT3'!$J845)</f>
        <v>0</v>
      </c>
      <c r="N845" s="29">
        <f>IF('RPT4'!$J845="","",'RPT4'!$J845)</f>
        <v>0</v>
      </c>
    </row>
    <row r="846" spans="1:14" x14ac:dyDescent="0.35">
      <c r="A846" s="16" t="s">
        <v>823</v>
      </c>
      <c r="B846" s="2"/>
      <c r="C846" s="28">
        <f t="shared" si="48"/>
        <v>0</v>
      </c>
      <c r="D846" s="2"/>
      <c r="E846" s="4"/>
      <c r="F846" s="2"/>
      <c r="G846" s="28">
        <f t="shared" si="49"/>
        <v>0</v>
      </c>
      <c r="H846" s="2"/>
      <c r="I846" s="4"/>
      <c r="J846" s="2"/>
      <c r="K846" s="29">
        <f>IF('RPT1'!$J846="","",'RPT1'!$J846)</f>
        <v>0</v>
      </c>
      <c r="L846" s="29">
        <f>IF('RPT2'!$J846="","",'RPT2'!$J846)</f>
        <v>0</v>
      </c>
      <c r="M846" s="29">
        <f>IF('RPT3'!$J846="","",'RPT3'!$J846)</f>
        <v>0</v>
      </c>
      <c r="N846" s="29">
        <f>IF('RPT4'!$J846="","",'RPT4'!$J846)</f>
        <v>0</v>
      </c>
    </row>
    <row r="847" spans="1:14" x14ac:dyDescent="0.35">
      <c r="A847" s="16" t="s">
        <v>824</v>
      </c>
      <c r="B847" s="2"/>
      <c r="C847" s="28">
        <f t="shared" si="48"/>
        <v>0</v>
      </c>
      <c r="D847" s="2"/>
      <c r="E847" s="4"/>
      <c r="F847" s="2"/>
      <c r="G847" s="28">
        <f t="shared" si="49"/>
        <v>0</v>
      </c>
      <c r="H847" s="2"/>
      <c r="I847" s="4"/>
      <c r="J847" s="2"/>
      <c r="K847" s="29">
        <f>IF('RPT1'!$J847="","",'RPT1'!$J847)</f>
        <v>0</v>
      </c>
      <c r="L847" s="29">
        <f>IF('RPT2'!$J847="","",'RPT2'!$J847)</f>
        <v>0</v>
      </c>
      <c r="M847" s="29">
        <f>IF('RPT3'!$J847="","",'RPT3'!$J847)</f>
        <v>0</v>
      </c>
      <c r="N847" s="29">
        <f>IF('RPT4'!$J847="","",'RPT4'!$J847)</f>
        <v>0</v>
      </c>
    </row>
    <row r="848" spans="1:14" x14ac:dyDescent="0.35">
      <c r="A848" s="16" t="s">
        <v>825</v>
      </c>
      <c r="B848" s="2"/>
      <c r="C848" s="28">
        <f t="shared" si="48"/>
        <v>0</v>
      </c>
      <c r="D848" s="2"/>
      <c r="E848" s="4"/>
      <c r="F848" s="2"/>
      <c r="G848" s="28">
        <f t="shared" si="49"/>
        <v>0</v>
      </c>
      <c r="H848" s="2"/>
      <c r="I848" s="4"/>
      <c r="J848" s="2"/>
      <c r="K848" s="29">
        <f>IF('RPT1'!$J848="","",'RPT1'!$J848)</f>
        <v>0</v>
      </c>
      <c r="L848" s="29">
        <f>IF('RPT2'!$J848="","",'RPT2'!$J848)</f>
        <v>0</v>
      </c>
      <c r="M848" s="29">
        <f>IF('RPT3'!$J848="","",'RPT3'!$J848)</f>
        <v>0</v>
      </c>
      <c r="N848" s="29">
        <f>IF('RPT4'!$J848="","",'RPT4'!$J848)</f>
        <v>0</v>
      </c>
    </row>
    <row r="849" spans="1:14" x14ac:dyDescent="0.35">
      <c r="A849" s="16" t="s">
        <v>826</v>
      </c>
      <c r="B849" s="2"/>
      <c r="C849" s="28">
        <f t="shared" si="48"/>
        <v>0</v>
      </c>
      <c r="D849" s="2"/>
      <c r="E849" s="4"/>
      <c r="F849" s="2"/>
      <c r="G849" s="28">
        <f t="shared" si="49"/>
        <v>0</v>
      </c>
      <c r="H849" s="2"/>
      <c r="I849" s="4"/>
      <c r="J849" s="2"/>
      <c r="K849" s="29">
        <f>IF('RPT1'!$J849="","",'RPT1'!$J849)</f>
        <v>0</v>
      </c>
      <c r="L849" s="29">
        <f>IF('RPT2'!$J849="","",'RPT2'!$J849)</f>
        <v>0</v>
      </c>
      <c r="M849" s="29">
        <f>IF('RPT3'!$J849="","",'RPT3'!$J849)</f>
        <v>0</v>
      </c>
      <c r="N849" s="29">
        <f>IF('RPT4'!$J849="","",'RPT4'!$J849)</f>
        <v>0</v>
      </c>
    </row>
    <row r="850" spans="1:14" x14ac:dyDescent="0.35">
      <c r="A850" s="16" t="s">
        <v>827</v>
      </c>
      <c r="B850" s="2"/>
      <c r="C850" s="28">
        <f t="shared" si="48"/>
        <v>251344.94350491819</v>
      </c>
      <c r="D850" s="2"/>
      <c r="E850" s="4"/>
      <c r="F850" s="2"/>
      <c r="G850" s="28">
        <f t="shared" si="49"/>
        <v>251344.94350491819</v>
      </c>
      <c r="H850" s="2"/>
      <c r="I850" s="4"/>
      <c r="J850" s="2"/>
      <c r="K850" s="29">
        <f>IF('RPT1'!$J850="","",'RPT1'!$J850)</f>
        <v>0</v>
      </c>
      <c r="L850" s="29">
        <f>IF('RPT2'!$J850="","",'RPT2'!$J850)</f>
        <v>0</v>
      </c>
      <c r="M850" s="29">
        <f>IF('RPT3'!$J850="","",'RPT3'!$J850)</f>
        <v>125672.4717524591</v>
      </c>
      <c r="N850" s="29">
        <f>IF('RPT4'!$J850="","",'RPT4'!$J850)</f>
        <v>125672.4717524591</v>
      </c>
    </row>
    <row r="851" spans="1:14" x14ac:dyDescent="0.35">
      <c r="A851" s="16" t="s">
        <v>828</v>
      </c>
      <c r="B851" s="2"/>
      <c r="C851" s="28">
        <f t="shared" si="48"/>
        <v>223693.54870894121</v>
      </c>
      <c r="D851" s="2"/>
      <c r="E851" s="4"/>
      <c r="F851" s="2"/>
      <c r="G851" s="28">
        <f t="shared" si="49"/>
        <v>223693.54870894121</v>
      </c>
      <c r="H851" s="2"/>
      <c r="I851" s="4"/>
      <c r="J851" s="2"/>
      <c r="K851" s="29">
        <f>IF('RPT1'!$J851="","",'RPT1'!$J851)</f>
        <v>0</v>
      </c>
      <c r="L851" s="29">
        <f>IF('RPT2'!$J851="","",'RPT2'!$J851)</f>
        <v>0</v>
      </c>
      <c r="M851" s="29">
        <f>IF('RPT3'!$J851="","",'RPT3'!$J851)</f>
        <v>111846.7743544706</v>
      </c>
      <c r="N851" s="29">
        <f>IF('RPT4'!$J851="","",'RPT4'!$J851)</f>
        <v>111846.7743544706</v>
      </c>
    </row>
    <row r="852" spans="1:14" x14ac:dyDescent="0.35">
      <c r="A852" s="16" t="s">
        <v>829</v>
      </c>
      <c r="B852" s="2"/>
      <c r="C852" s="28">
        <f t="shared" si="48"/>
        <v>224392.87201742441</v>
      </c>
      <c r="D852" s="2"/>
      <c r="E852" s="4"/>
      <c r="F852" s="2"/>
      <c r="G852" s="28">
        <f t="shared" si="49"/>
        <v>224392.87201742441</v>
      </c>
      <c r="H852" s="2"/>
      <c r="I852" s="4"/>
      <c r="J852" s="2"/>
      <c r="K852" s="29">
        <f>IF('RPT1'!$J852="","",'RPT1'!$J852)</f>
        <v>0</v>
      </c>
      <c r="L852" s="29">
        <f>IF('RPT2'!$J852="","",'RPT2'!$J852)</f>
        <v>0</v>
      </c>
      <c r="M852" s="29">
        <f>IF('RPT3'!$J852="","",'RPT3'!$J852)</f>
        <v>112196.4360087122</v>
      </c>
      <c r="N852" s="29">
        <f>IF('RPT4'!$J852="","",'RPT4'!$J852)</f>
        <v>112196.4360087122</v>
      </c>
    </row>
    <row r="853" spans="1:14" x14ac:dyDescent="0.35">
      <c r="A853" s="16" t="s">
        <v>830</v>
      </c>
      <c r="B853" s="2"/>
      <c r="C853" s="28">
        <f t="shared" si="48"/>
        <v>233165.9198241602</v>
      </c>
      <c r="D853" s="2"/>
      <c r="E853" s="4"/>
      <c r="F853" s="2"/>
      <c r="G853" s="28">
        <f t="shared" si="49"/>
        <v>233165.9198241602</v>
      </c>
      <c r="H853" s="2"/>
      <c r="I853" s="4"/>
      <c r="J853" s="2"/>
      <c r="K853" s="29">
        <f>IF('RPT1'!$J853="","",'RPT1'!$J853)</f>
        <v>0</v>
      </c>
      <c r="L853" s="29">
        <f>IF('RPT2'!$J853="","",'RPT2'!$J853)</f>
        <v>0</v>
      </c>
      <c r="M853" s="29">
        <f>IF('RPT3'!$J853="","",'RPT3'!$J853)</f>
        <v>116582.9599120801</v>
      </c>
      <c r="N853" s="29">
        <f>IF('RPT4'!$J853="","",'RPT4'!$J853)</f>
        <v>116582.9599120801</v>
      </c>
    </row>
    <row r="854" spans="1:14" x14ac:dyDescent="0.35">
      <c r="A854" s="16" t="s">
        <v>831</v>
      </c>
      <c r="B854" s="2"/>
      <c r="C854" s="28">
        <f t="shared" si="48"/>
        <v>244464.3458564796</v>
      </c>
      <c r="D854" s="2"/>
      <c r="E854" s="4"/>
      <c r="F854" s="2"/>
      <c r="G854" s="28">
        <f t="shared" si="49"/>
        <v>244464.3458564796</v>
      </c>
      <c r="H854" s="2"/>
      <c r="I854" s="4"/>
      <c r="J854" s="2"/>
      <c r="K854" s="29">
        <f>IF('RPT1'!$J854="","",'RPT1'!$J854)</f>
        <v>0</v>
      </c>
      <c r="L854" s="29">
        <f>IF('RPT2'!$J854="","",'RPT2'!$J854)</f>
        <v>0</v>
      </c>
      <c r="M854" s="29">
        <f>IF('RPT3'!$J854="","",'RPT3'!$J854)</f>
        <v>122232.1729282398</v>
      </c>
      <c r="N854" s="29">
        <f>IF('RPT4'!$J854="","",'RPT4'!$J854)</f>
        <v>122232.1729282398</v>
      </c>
    </row>
    <row r="855" spans="1:14" x14ac:dyDescent="0.35">
      <c r="A855" s="16" t="s">
        <v>832</v>
      </c>
      <c r="B855" s="2"/>
      <c r="C855" s="28">
        <f t="shared" si="48"/>
        <v>0</v>
      </c>
      <c r="D855" s="2"/>
      <c r="E855" s="4"/>
      <c r="F855" s="2"/>
      <c r="G855" s="28">
        <f t="shared" si="49"/>
        <v>0</v>
      </c>
      <c r="H855" s="2"/>
      <c r="I855" s="4"/>
      <c r="J855" s="2"/>
      <c r="K855" s="29">
        <f>IF('RPT1'!$J855="","",'RPT1'!$J855)</f>
        <v>0</v>
      </c>
      <c r="L855" s="29">
        <f>IF('RPT2'!$J855="","",'RPT2'!$J855)</f>
        <v>0</v>
      </c>
      <c r="M855" s="29">
        <f>IF('RPT3'!$J855="","",'RPT3'!$J855)</f>
        <v>0</v>
      </c>
      <c r="N855" s="29">
        <f>IF('RPT4'!$J855="","",'RPT4'!$J855)</f>
        <v>0</v>
      </c>
    </row>
    <row r="856" spans="1:14" x14ac:dyDescent="0.35">
      <c r="A856" s="16" t="s">
        <v>833</v>
      </c>
      <c r="B856" s="2"/>
      <c r="C856" s="28">
        <f t="shared" si="48"/>
        <v>0</v>
      </c>
      <c r="D856" s="2"/>
      <c r="E856" s="4"/>
      <c r="F856" s="2"/>
      <c r="G856" s="28">
        <f t="shared" si="49"/>
        <v>0</v>
      </c>
      <c r="H856" s="2"/>
      <c r="I856" s="4"/>
      <c r="J856" s="2"/>
      <c r="K856" s="29">
        <f>IF('RPT1'!$J856="","",'RPT1'!$J856)</f>
        <v>0</v>
      </c>
      <c r="L856" s="29">
        <f>IF('RPT2'!$J856="","",'RPT2'!$J856)</f>
        <v>0</v>
      </c>
      <c r="M856" s="29">
        <f>IF('RPT3'!$J856="","",'RPT3'!$J856)</f>
        <v>0</v>
      </c>
      <c r="N856" s="29">
        <f>IF('RPT4'!$J856="","",'RPT4'!$J856)</f>
        <v>0</v>
      </c>
    </row>
    <row r="857" spans="1:14" x14ac:dyDescent="0.35">
      <c r="A857" s="16" t="s">
        <v>834</v>
      </c>
      <c r="B857" s="2"/>
      <c r="C857" s="28">
        <f t="shared" si="48"/>
        <v>0</v>
      </c>
      <c r="D857" s="2"/>
      <c r="E857" s="4"/>
      <c r="F857" s="2"/>
      <c r="G857" s="28">
        <f t="shared" si="49"/>
        <v>0</v>
      </c>
      <c r="H857" s="2"/>
      <c r="I857" s="4"/>
      <c r="J857" s="2"/>
      <c r="K857" s="29">
        <f>IF('RPT1'!$J857="","",'RPT1'!$J857)</f>
        <v>0</v>
      </c>
      <c r="L857" s="29">
        <f>IF('RPT2'!$J857="","",'RPT2'!$J857)</f>
        <v>0</v>
      </c>
      <c r="M857" s="29">
        <f>IF('RPT3'!$J857="","",'RPT3'!$J857)</f>
        <v>0</v>
      </c>
      <c r="N857" s="29">
        <f>IF('RPT4'!$J857="","",'RPT4'!$J857)</f>
        <v>0</v>
      </c>
    </row>
    <row r="858" spans="1:14" x14ac:dyDescent="0.35">
      <c r="A858" s="16" t="s">
        <v>835</v>
      </c>
      <c r="B858" s="2"/>
      <c r="C858" s="28">
        <f t="shared" si="48"/>
        <v>0</v>
      </c>
      <c r="D858" s="2"/>
      <c r="E858" s="4"/>
      <c r="F858" s="2"/>
      <c r="G858" s="28">
        <f t="shared" si="49"/>
        <v>0</v>
      </c>
      <c r="H858" s="2"/>
      <c r="I858" s="4"/>
      <c r="J858" s="2"/>
      <c r="K858" s="29">
        <f>IF('RPT1'!$J858="","",'RPT1'!$J858)</f>
        <v>0</v>
      </c>
      <c r="L858" s="29">
        <f>IF('RPT2'!$J858="","",'RPT2'!$J858)</f>
        <v>0</v>
      </c>
      <c r="M858" s="29">
        <f>IF('RPT3'!$J858="","",'RPT3'!$J858)</f>
        <v>0</v>
      </c>
      <c r="N858" s="29">
        <f>IF('RPT4'!$J858="","",'RPT4'!$J858)</f>
        <v>0</v>
      </c>
    </row>
    <row r="859" spans="1:14" x14ac:dyDescent="0.35">
      <c r="A859" s="16" t="s">
        <v>836</v>
      </c>
      <c r="B859" s="2"/>
      <c r="C859" s="28">
        <f t="shared" si="48"/>
        <v>0</v>
      </c>
      <c r="D859" s="2"/>
      <c r="E859" s="4"/>
      <c r="F859" s="2"/>
      <c r="G859" s="28">
        <f t="shared" si="49"/>
        <v>0</v>
      </c>
      <c r="H859" s="2"/>
      <c r="I859" s="4"/>
      <c r="J859" s="2"/>
      <c r="K859" s="29">
        <f>IF('RPT1'!$J859="","",'RPT1'!$J859)</f>
        <v>0</v>
      </c>
      <c r="L859" s="29">
        <f>IF('RPT2'!$J859="","",'RPT2'!$J859)</f>
        <v>0</v>
      </c>
      <c r="M859" s="29">
        <f>IF('RPT3'!$J859="","",'RPT3'!$J859)</f>
        <v>0</v>
      </c>
      <c r="N859" s="29">
        <f>IF('RPT4'!$J859="","",'RPT4'!$J859)</f>
        <v>0</v>
      </c>
    </row>
    <row r="860" spans="1:14" x14ac:dyDescent="0.35">
      <c r="A860" s="16"/>
      <c r="B860" s="2"/>
      <c r="C860" s="28"/>
      <c r="D860" s="2"/>
      <c r="E860" s="4"/>
      <c r="F860" s="2"/>
      <c r="G860" s="28"/>
      <c r="H860" s="2"/>
      <c r="I860" s="4"/>
      <c r="J860" s="2"/>
      <c r="K860" s="29"/>
      <c r="L860" s="29"/>
      <c r="M860" s="29"/>
      <c r="N860" s="29"/>
    </row>
    <row r="861" spans="1:14" x14ac:dyDescent="0.35">
      <c r="A861" s="30" t="s">
        <v>837</v>
      </c>
      <c r="B861" s="2"/>
      <c r="C861" s="28"/>
      <c r="D861" s="2"/>
      <c r="E861" s="4"/>
      <c r="F861" s="2"/>
      <c r="G861" s="28"/>
      <c r="H861" s="2"/>
      <c r="I861" s="4"/>
      <c r="J861" s="2"/>
      <c r="K861" s="29" t="str">
        <f>IF('RPT1'!$J861="","",'RPT1'!$J861)</f>
        <v/>
      </c>
      <c r="L861" s="29" t="str">
        <f>IF('RPT2'!$J861="","",'RPT2'!$J861)</f>
        <v/>
      </c>
      <c r="M861" s="29" t="str">
        <f>IF('RPT3'!$J861="","",'RPT3'!$J861)</f>
        <v/>
      </c>
      <c r="N861" s="29" t="str">
        <f>IF('RPT4'!$J861="","",'RPT4'!$J861)</f>
        <v/>
      </c>
    </row>
    <row r="862" spans="1:14" x14ac:dyDescent="0.35">
      <c r="A862" s="16" t="s">
        <v>838</v>
      </c>
      <c r="B862" s="2"/>
      <c r="C862" s="28">
        <f t="shared" ref="C862:C901" si="50">IF(Combine="Y", $G862, 0)</f>
        <v>154862.48141271318</v>
      </c>
      <c r="D862" s="2"/>
      <c r="E862" s="4"/>
      <c r="F862" s="2"/>
      <c r="G862" s="28">
        <f t="shared" ref="G862:G901" si="51">SUM($K862:$N862)</f>
        <v>154862.48141271318</v>
      </c>
      <c r="H862" s="2"/>
      <c r="I862" s="4"/>
      <c r="J862" s="2"/>
      <c r="K862" s="29">
        <f>IF('RPT1'!$J862="","",'RPT1'!$J862)</f>
        <v>0</v>
      </c>
      <c r="L862" s="29">
        <f>IF('RPT2'!$J862="","",'RPT2'!$J862)</f>
        <v>0</v>
      </c>
      <c r="M862" s="29">
        <f>IF('RPT3'!$J862="","",'RPT3'!$J862)</f>
        <v>77404.697178678252</v>
      </c>
      <c r="N862" s="29">
        <f>IF('RPT4'!$J862="","",'RPT4'!$J862)</f>
        <v>77457.784234034931</v>
      </c>
    </row>
    <row r="863" spans="1:14" x14ac:dyDescent="0.35">
      <c r="A863" s="16" t="s">
        <v>839</v>
      </c>
      <c r="B863" s="2"/>
      <c r="C863" s="28">
        <f t="shared" si="50"/>
        <v>137821.67601386888</v>
      </c>
      <c r="D863" s="2"/>
      <c r="E863" s="4"/>
      <c r="F863" s="2"/>
      <c r="G863" s="28">
        <f t="shared" si="51"/>
        <v>137821.67601386888</v>
      </c>
      <c r="H863" s="2"/>
      <c r="I863" s="4"/>
      <c r="J863" s="2"/>
      <c r="K863" s="29">
        <f>IF('RPT1'!$J863="","",'RPT1'!$J863)</f>
        <v>0</v>
      </c>
      <c r="L863" s="29">
        <f>IF('RPT2'!$J863="","",'RPT2'!$J863)</f>
        <v>0</v>
      </c>
      <c r="M863" s="29">
        <f>IF('RPT3'!$J863="","",'RPT3'!$J863)</f>
        <v>68879.188908203621</v>
      </c>
      <c r="N863" s="29">
        <f>IF('RPT4'!$J863="","",'RPT4'!$J863)</f>
        <v>68942.487105665248</v>
      </c>
    </row>
    <row r="864" spans="1:14" x14ac:dyDescent="0.35">
      <c r="A864" s="16" t="s">
        <v>840</v>
      </c>
      <c r="B864" s="2"/>
      <c r="C864" s="28">
        <f t="shared" si="50"/>
        <v>105153.29527159124</v>
      </c>
      <c r="D864" s="2"/>
      <c r="E864" s="4"/>
      <c r="F864" s="2"/>
      <c r="G864" s="28">
        <f t="shared" si="51"/>
        <v>105153.29527159124</v>
      </c>
      <c r="H864" s="2"/>
      <c r="I864" s="4"/>
      <c r="J864" s="2"/>
      <c r="K864" s="29">
        <f>IF('RPT1'!$J864="","",'RPT1'!$J864)</f>
        <v>0</v>
      </c>
      <c r="L864" s="29">
        <f>IF('RPT2'!$J864="","",'RPT2'!$J864)</f>
        <v>0</v>
      </c>
      <c r="M864" s="29">
        <f>IF('RPT3'!$J864="","",'RPT3'!$J864)</f>
        <v>52551.782597147147</v>
      </c>
      <c r="N864" s="29">
        <f>IF('RPT4'!$J864="","",'RPT4'!$J864)</f>
        <v>52601.512674444093</v>
      </c>
    </row>
    <row r="865" spans="1:14" x14ac:dyDescent="0.35">
      <c r="A865" s="16" t="s">
        <v>841</v>
      </c>
      <c r="B865" s="2"/>
      <c r="C865" s="28">
        <f t="shared" si="50"/>
        <v>105847.94548377869</v>
      </c>
      <c r="D865" s="2"/>
      <c r="E865" s="4"/>
      <c r="F865" s="2"/>
      <c r="G865" s="28">
        <f t="shared" si="51"/>
        <v>105847.94548377869</v>
      </c>
      <c r="H865" s="2"/>
      <c r="I865" s="4"/>
      <c r="J865" s="2"/>
      <c r="K865" s="29">
        <f>IF('RPT1'!$J865="","",'RPT1'!$J865)</f>
        <v>0</v>
      </c>
      <c r="L865" s="29">
        <f>IF('RPT2'!$J865="","",'RPT2'!$J865)</f>
        <v>0</v>
      </c>
      <c r="M865" s="29">
        <f>IF('RPT3'!$J865="","",'RPT3'!$J865)</f>
        <v>52894.993558038077</v>
      </c>
      <c r="N865" s="29">
        <f>IF('RPT4'!$J865="","",'RPT4'!$J865)</f>
        <v>52952.951925740606</v>
      </c>
    </row>
    <row r="866" spans="1:14" x14ac:dyDescent="0.35">
      <c r="A866" s="16" t="s">
        <v>842</v>
      </c>
      <c r="B866" s="2"/>
      <c r="C866" s="28">
        <f t="shared" si="50"/>
        <v>92399.261133065622</v>
      </c>
      <c r="D866" s="2"/>
      <c r="E866" s="4"/>
      <c r="F866" s="2"/>
      <c r="G866" s="28">
        <f t="shared" si="51"/>
        <v>92399.261133065622</v>
      </c>
      <c r="H866" s="2"/>
      <c r="I866" s="4"/>
      <c r="J866" s="2"/>
      <c r="K866" s="29">
        <f>IF('RPT1'!$J866="","",'RPT1'!$J866)</f>
        <v>0</v>
      </c>
      <c r="L866" s="29">
        <f>IF('RPT2'!$J866="","",'RPT2'!$J866)</f>
        <v>0</v>
      </c>
      <c r="M866" s="29">
        <f>IF('RPT3'!$J866="","",'RPT3'!$J866)</f>
        <v>46175.411181899639</v>
      </c>
      <c r="N866" s="29">
        <f>IF('RPT4'!$J866="","",'RPT4'!$J866)</f>
        <v>46223.849951165983</v>
      </c>
    </row>
    <row r="867" spans="1:14" x14ac:dyDescent="0.35">
      <c r="A867" s="16" t="s">
        <v>843</v>
      </c>
      <c r="B867" s="2"/>
      <c r="C867" s="28">
        <f t="shared" si="50"/>
        <v>0</v>
      </c>
      <c r="D867" s="2"/>
      <c r="E867" s="4"/>
      <c r="F867" s="2"/>
      <c r="G867" s="28">
        <f t="shared" si="51"/>
        <v>0</v>
      </c>
      <c r="H867" s="2"/>
      <c r="I867" s="4"/>
      <c r="J867" s="2"/>
      <c r="K867" s="29">
        <f>IF('RPT1'!$J867="","",'RPT1'!$J867)</f>
        <v>0</v>
      </c>
      <c r="L867" s="29">
        <f>IF('RPT2'!$J867="","",'RPT2'!$J867)</f>
        <v>0</v>
      </c>
      <c r="M867" s="29">
        <f>IF('RPT3'!$J867="","",'RPT3'!$J867)</f>
        <v>0</v>
      </c>
      <c r="N867" s="29">
        <f>IF('RPT4'!$J867="","",'RPT4'!$J867)</f>
        <v>0</v>
      </c>
    </row>
    <row r="868" spans="1:14" x14ac:dyDescent="0.35">
      <c r="A868" s="16" t="s">
        <v>844</v>
      </c>
      <c r="B868" s="2"/>
      <c r="C868" s="28">
        <f t="shared" si="50"/>
        <v>0</v>
      </c>
      <c r="D868" s="2"/>
      <c r="E868" s="4"/>
      <c r="F868" s="2"/>
      <c r="G868" s="28">
        <f t="shared" si="51"/>
        <v>0</v>
      </c>
      <c r="H868" s="2"/>
      <c r="I868" s="4"/>
      <c r="J868" s="2"/>
      <c r="K868" s="29">
        <f>IF('RPT1'!$J868="","",'RPT1'!$J868)</f>
        <v>0</v>
      </c>
      <c r="L868" s="29">
        <f>IF('RPT2'!$J868="","",'RPT2'!$J868)</f>
        <v>0</v>
      </c>
      <c r="M868" s="29">
        <f>IF('RPT3'!$J868="","",'RPT3'!$J868)</f>
        <v>0</v>
      </c>
      <c r="N868" s="29">
        <f>IF('RPT4'!$J868="","",'RPT4'!$J868)</f>
        <v>0</v>
      </c>
    </row>
    <row r="869" spans="1:14" x14ac:dyDescent="0.35">
      <c r="A869" s="16" t="s">
        <v>845</v>
      </c>
      <c r="B869" s="2"/>
      <c r="C869" s="28">
        <f t="shared" si="50"/>
        <v>0</v>
      </c>
      <c r="D869" s="2"/>
      <c r="E869" s="4"/>
      <c r="F869" s="2"/>
      <c r="G869" s="28">
        <f t="shared" si="51"/>
        <v>0</v>
      </c>
      <c r="H869" s="2"/>
      <c r="I869" s="4"/>
      <c r="J869" s="2"/>
      <c r="K869" s="29">
        <f>IF('RPT1'!$J869="","",'RPT1'!$J869)</f>
        <v>0</v>
      </c>
      <c r="L869" s="29">
        <f>IF('RPT2'!$J869="","",'RPT2'!$J869)</f>
        <v>0</v>
      </c>
      <c r="M869" s="29">
        <f>IF('RPT3'!$J869="","",'RPT3'!$J869)</f>
        <v>0</v>
      </c>
      <c r="N869" s="29">
        <f>IF('RPT4'!$J869="","",'RPT4'!$J869)</f>
        <v>0</v>
      </c>
    </row>
    <row r="870" spans="1:14" x14ac:dyDescent="0.35">
      <c r="A870" s="16" t="s">
        <v>846</v>
      </c>
      <c r="B870" s="2"/>
      <c r="C870" s="28">
        <f t="shared" si="50"/>
        <v>0</v>
      </c>
      <c r="D870" s="2"/>
      <c r="E870" s="4"/>
      <c r="F870" s="2"/>
      <c r="G870" s="28">
        <f t="shared" si="51"/>
        <v>0</v>
      </c>
      <c r="H870" s="2"/>
      <c r="I870" s="4"/>
      <c r="J870" s="2"/>
      <c r="K870" s="29">
        <f>IF('RPT1'!$J870="","",'RPT1'!$J870)</f>
        <v>0</v>
      </c>
      <c r="L870" s="29">
        <f>IF('RPT2'!$J870="","",'RPT2'!$J870)</f>
        <v>0</v>
      </c>
      <c r="M870" s="29">
        <f>IF('RPT3'!$J870="","",'RPT3'!$J870)</f>
        <v>0</v>
      </c>
      <c r="N870" s="29">
        <f>IF('RPT4'!$J870="","",'RPT4'!$J870)</f>
        <v>0</v>
      </c>
    </row>
    <row r="871" spans="1:14" x14ac:dyDescent="0.35">
      <c r="A871" s="16" t="s">
        <v>847</v>
      </c>
      <c r="B871" s="2"/>
      <c r="C871" s="28">
        <f t="shared" si="50"/>
        <v>0</v>
      </c>
      <c r="D871" s="2"/>
      <c r="E871" s="4"/>
      <c r="F871" s="2"/>
      <c r="G871" s="28">
        <f t="shared" si="51"/>
        <v>0</v>
      </c>
      <c r="H871" s="2"/>
      <c r="I871" s="4"/>
      <c r="J871" s="2"/>
      <c r="K871" s="29">
        <f>IF('RPT1'!$J871="","",'RPT1'!$J871)</f>
        <v>0</v>
      </c>
      <c r="L871" s="29">
        <f>IF('RPT2'!$J871="","",'RPT2'!$J871)</f>
        <v>0</v>
      </c>
      <c r="M871" s="29">
        <f>IF('RPT3'!$J871="","",'RPT3'!$J871)</f>
        <v>0</v>
      </c>
      <c r="N871" s="29">
        <f>IF('RPT4'!$J871="","",'RPT4'!$J871)</f>
        <v>0</v>
      </c>
    </row>
    <row r="872" spans="1:14" x14ac:dyDescent="0.35">
      <c r="A872" s="16" t="s">
        <v>848</v>
      </c>
      <c r="B872" s="2"/>
      <c r="C872" s="28">
        <f t="shared" si="50"/>
        <v>116562.35050213439</v>
      </c>
      <c r="D872" s="2"/>
      <c r="E872" s="4"/>
      <c r="F872" s="2"/>
      <c r="G872" s="28">
        <f t="shared" si="51"/>
        <v>116562.35050213439</v>
      </c>
      <c r="H872" s="2"/>
      <c r="I872" s="4"/>
      <c r="J872" s="2"/>
      <c r="K872" s="29">
        <f>IF('RPT1'!$J872="","",'RPT1'!$J872)</f>
        <v>0</v>
      </c>
      <c r="L872" s="29">
        <f>IF('RPT2'!$J872="","",'RPT2'!$J872)</f>
        <v>0</v>
      </c>
      <c r="M872" s="29">
        <f>IF('RPT3'!$J872="","",'RPT3'!$J872)</f>
        <v>58260.644681068952</v>
      </c>
      <c r="N872" s="29">
        <f>IF('RPT4'!$J872="","",'RPT4'!$J872)</f>
        <v>58301.705821065429</v>
      </c>
    </row>
    <row r="873" spans="1:14" x14ac:dyDescent="0.35">
      <c r="A873" s="16" t="s">
        <v>849</v>
      </c>
      <c r="B873" s="2"/>
      <c r="C873" s="28">
        <f t="shared" si="50"/>
        <v>88166.214983774757</v>
      </c>
      <c r="D873" s="2"/>
      <c r="E873" s="4"/>
      <c r="F873" s="2"/>
      <c r="G873" s="28">
        <f t="shared" si="51"/>
        <v>88166.214983774757</v>
      </c>
      <c r="H873" s="2"/>
      <c r="I873" s="4"/>
      <c r="J873" s="2"/>
      <c r="K873" s="29">
        <f>IF('RPT1'!$J873="","",'RPT1'!$J873)</f>
        <v>0</v>
      </c>
      <c r="L873" s="29">
        <f>IF('RPT2'!$J873="","",'RPT2'!$J873)</f>
        <v>0</v>
      </c>
      <c r="M873" s="29">
        <f>IF('RPT3'!$J873="","",'RPT3'!$J873)</f>
        <v>44062.986579188182</v>
      </c>
      <c r="N873" s="29">
        <f>IF('RPT4'!$J873="","",'RPT4'!$J873)</f>
        <v>44103.228404586582</v>
      </c>
    </row>
    <row r="874" spans="1:14" x14ac:dyDescent="0.35">
      <c r="A874" s="16" t="s">
        <v>850</v>
      </c>
      <c r="B874" s="2"/>
      <c r="C874" s="28">
        <f t="shared" si="50"/>
        <v>40080.34749658691</v>
      </c>
      <c r="D874" s="2"/>
      <c r="E874" s="4"/>
      <c r="F874" s="2"/>
      <c r="G874" s="28">
        <f t="shared" si="51"/>
        <v>40080.34749658691</v>
      </c>
      <c r="H874" s="2"/>
      <c r="I874" s="4"/>
      <c r="J874" s="2"/>
      <c r="K874" s="29">
        <f>IF('RPT1'!$J874="","",'RPT1'!$J874)</f>
        <v>0</v>
      </c>
      <c r="L874" s="29">
        <f>IF('RPT2'!$J874="","",'RPT2'!$J874)</f>
        <v>0</v>
      </c>
      <c r="M874" s="29">
        <f>IF('RPT3'!$J874="","",'RPT3'!$J874)</f>
        <v>20033.207016121101</v>
      </c>
      <c r="N874" s="29">
        <f>IF('RPT4'!$J874="","",'RPT4'!$J874)</f>
        <v>20047.140480465809</v>
      </c>
    </row>
    <row r="875" spans="1:14" x14ac:dyDescent="0.35">
      <c r="A875" s="16" t="s">
        <v>851</v>
      </c>
      <c r="B875" s="2"/>
      <c r="C875" s="28">
        <f t="shared" si="50"/>
        <v>27551.60251470565</v>
      </c>
      <c r="D875" s="2"/>
      <c r="E875" s="4"/>
      <c r="F875" s="2"/>
      <c r="G875" s="28">
        <f t="shared" si="51"/>
        <v>27551.60251470565</v>
      </c>
      <c r="H875" s="2"/>
      <c r="I875" s="4"/>
      <c r="J875" s="2"/>
      <c r="K875" s="29">
        <f>IF('RPT1'!$J875="","",'RPT1'!$J875)</f>
        <v>0</v>
      </c>
      <c r="L875" s="29">
        <f>IF('RPT2'!$J875="","",'RPT2'!$J875)</f>
        <v>0</v>
      </c>
      <c r="M875" s="29">
        <f>IF('RPT3'!$J875="","",'RPT3'!$J875)</f>
        <v>13771.613024273591</v>
      </c>
      <c r="N875" s="29">
        <f>IF('RPT4'!$J875="","",'RPT4'!$J875)</f>
        <v>13779.989490432061</v>
      </c>
    </row>
    <row r="876" spans="1:14" x14ac:dyDescent="0.35">
      <c r="A876" s="16" t="s">
        <v>852</v>
      </c>
      <c r="B876" s="2"/>
      <c r="C876" s="28">
        <f t="shared" si="50"/>
        <v>24401.835756894157</v>
      </c>
      <c r="D876" s="2"/>
      <c r="E876" s="4"/>
      <c r="F876" s="2"/>
      <c r="G876" s="28">
        <f t="shared" si="51"/>
        <v>24401.835756894157</v>
      </c>
      <c r="H876" s="2"/>
      <c r="I876" s="4"/>
      <c r="J876" s="2"/>
      <c r="K876" s="29">
        <f>IF('RPT1'!$J876="","",'RPT1'!$J876)</f>
        <v>0</v>
      </c>
      <c r="L876" s="29">
        <f>IF('RPT2'!$J876="","",'RPT2'!$J876)</f>
        <v>0</v>
      </c>
      <c r="M876" s="29">
        <f>IF('RPT3'!$J876="","",'RPT3'!$J876)</f>
        <v>12197.392246314979</v>
      </c>
      <c r="N876" s="29">
        <f>IF('RPT4'!$J876="","",'RPT4'!$J876)</f>
        <v>12204.44351057918</v>
      </c>
    </row>
    <row r="877" spans="1:14" x14ac:dyDescent="0.35">
      <c r="A877" s="16" t="s">
        <v>853</v>
      </c>
      <c r="B877" s="2"/>
      <c r="C877" s="28">
        <f t="shared" si="50"/>
        <v>0</v>
      </c>
      <c r="D877" s="2"/>
      <c r="E877" s="4"/>
      <c r="F877" s="2"/>
      <c r="G877" s="28">
        <f t="shared" si="51"/>
        <v>0</v>
      </c>
      <c r="H877" s="2"/>
      <c r="I877" s="4"/>
      <c r="J877" s="2"/>
      <c r="K877" s="29">
        <f>IF('RPT1'!$J877="","",'RPT1'!$J877)</f>
        <v>0</v>
      </c>
      <c r="L877" s="29">
        <f>IF('RPT2'!$J877="","",'RPT2'!$J877)</f>
        <v>0</v>
      </c>
      <c r="M877" s="29">
        <f>IF('RPT3'!$J877="","",'RPT3'!$J877)</f>
        <v>0</v>
      </c>
      <c r="N877" s="29">
        <f>IF('RPT4'!$J877="","",'RPT4'!$J877)</f>
        <v>0</v>
      </c>
    </row>
    <row r="878" spans="1:14" x14ac:dyDescent="0.35">
      <c r="A878" s="16" t="s">
        <v>854</v>
      </c>
      <c r="B878" s="2"/>
      <c r="C878" s="28">
        <f t="shared" si="50"/>
        <v>0</v>
      </c>
      <c r="D878" s="2"/>
      <c r="E878" s="4"/>
      <c r="F878" s="2"/>
      <c r="G878" s="28">
        <f t="shared" si="51"/>
        <v>0</v>
      </c>
      <c r="H878" s="2"/>
      <c r="I878" s="4"/>
      <c r="J878" s="2"/>
      <c r="K878" s="29">
        <f>IF('RPT1'!$J878="","",'RPT1'!$J878)</f>
        <v>0</v>
      </c>
      <c r="L878" s="29">
        <f>IF('RPT2'!$J878="","",'RPT2'!$J878)</f>
        <v>0</v>
      </c>
      <c r="M878" s="29">
        <f>IF('RPT3'!$J878="","",'RPT3'!$J878)</f>
        <v>0</v>
      </c>
      <c r="N878" s="29">
        <f>IF('RPT4'!$J878="","",'RPT4'!$J878)</f>
        <v>0</v>
      </c>
    </row>
    <row r="879" spans="1:14" x14ac:dyDescent="0.35">
      <c r="A879" s="16" t="s">
        <v>855</v>
      </c>
      <c r="B879" s="2"/>
      <c r="C879" s="28">
        <f t="shared" si="50"/>
        <v>0</v>
      </c>
      <c r="D879" s="2"/>
      <c r="E879" s="4"/>
      <c r="F879" s="2"/>
      <c r="G879" s="28">
        <f t="shared" si="51"/>
        <v>0</v>
      </c>
      <c r="H879" s="2"/>
      <c r="I879" s="4"/>
      <c r="J879" s="2"/>
      <c r="K879" s="29">
        <f>IF('RPT1'!$J879="","",'RPT1'!$J879)</f>
        <v>0</v>
      </c>
      <c r="L879" s="29">
        <f>IF('RPT2'!$J879="","",'RPT2'!$J879)</f>
        <v>0</v>
      </c>
      <c r="M879" s="29">
        <f>IF('RPT3'!$J879="","",'RPT3'!$J879)</f>
        <v>0</v>
      </c>
      <c r="N879" s="29">
        <f>IF('RPT4'!$J879="","",'RPT4'!$J879)</f>
        <v>0</v>
      </c>
    </row>
    <row r="880" spans="1:14" x14ac:dyDescent="0.35">
      <c r="A880" s="16" t="s">
        <v>856</v>
      </c>
      <c r="B880" s="2"/>
      <c r="C880" s="28">
        <f t="shared" si="50"/>
        <v>0</v>
      </c>
      <c r="D880" s="2"/>
      <c r="E880" s="4"/>
      <c r="F880" s="2"/>
      <c r="G880" s="28">
        <f t="shared" si="51"/>
        <v>0</v>
      </c>
      <c r="H880" s="2"/>
      <c r="I880" s="4"/>
      <c r="J880" s="2"/>
      <c r="K880" s="29">
        <f>IF('RPT1'!$J880="","",'RPT1'!$J880)</f>
        <v>0</v>
      </c>
      <c r="L880" s="29">
        <f>IF('RPT2'!$J880="","",'RPT2'!$J880)</f>
        <v>0</v>
      </c>
      <c r="M880" s="29">
        <f>IF('RPT3'!$J880="","",'RPT3'!$J880)</f>
        <v>0</v>
      </c>
      <c r="N880" s="29">
        <f>IF('RPT4'!$J880="","",'RPT4'!$J880)</f>
        <v>0</v>
      </c>
    </row>
    <row r="881" spans="1:14" x14ac:dyDescent="0.35">
      <c r="A881" s="16" t="s">
        <v>857</v>
      </c>
      <c r="B881" s="2"/>
      <c r="C881" s="28">
        <f t="shared" si="50"/>
        <v>0</v>
      </c>
      <c r="D881" s="2"/>
      <c r="E881" s="4"/>
      <c r="F881" s="2"/>
      <c r="G881" s="28">
        <f t="shared" si="51"/>
        <v>0</v>
      </c>
      <c r="H881" s="2"/>
      <c r="I881" s="4"/>
      <c r="J881" s="2"/>
      <c r="K881" s="29">
        <f>IF('RPT1'!$J881="","",'RPT1'!$J881)</f>
        <v>0</v>
      </c>
      <c r="L881" s="29">
        <f>IF('RPT2'!$J881="","",'RPT2'!$J881)</f>
        <v>0</v>
      </c>
      <c r="M881" s="29">
        <f>IF('RPT3'!$J881="","",'RPT3'!$J881)</f>
        <v>0</v>
      </c>
      <c r="N881" s="29">
        <f>IF('RPT4'!$J881="","",'RPT4'!$J881)</f>
        <v>0</v>
      </c>
    </row>
    <row r="882" spans="1:14" x14ac:dyDescent="0.35">
      <c r="A882" s="16" t="s">
        <v>858</v>
      </c>
      <c r="B882" s="2"/>
      <c r="C882" s="28">
        <f t="shared" si="50"/>
        <v>213029.2982539041</v>
      </c>
      <c r="D882" s="2"/>
      <c r="E882" s="4"/>
      <c r="F882" s="2"/>
      <c r="G882" s="28">
        <f t="shared" si="51"/>
        <v>213029.2982539041</v>
      </c>
      <c r="H882" s="2"/>
      <c r="I882" s="4"/>
      <c r="J882" s="2"/>
      <c r="K882" s="29">
        <f>IF('RPT1'!$J882="","",'RPT1'!$J882)</f>
        <v>0</v>
      </c>
      <c r="L882" s="29">
        <f>IF('RPT2'!$J882="","",'RPT2'!$J882)</f>
        <v>0</v>
      </c>
      <c r="M882" s="29">
        <f>IF('RPT3'!$J882="","",'RPT3'!$J882)</f>
        <v>106468.4581777891</v>
      </c>
      <c r="N882" s="29">
        <f>IF('RPT4'!$J882="","",'RPT4'!$J882)</f>
        <v>106560.840076115</v>
      </c>
    </row>
    <row r="883" spans="1:14" x14ac:dyDescent="0.35">
      <c r="A883" s="16" t="s">
        <v>859</v>
      </c>
      <c r="B883" s="2"/>
      <c r="C883" s="28">
        <f t="shared" si="50"/>
        <v>153758.74150150991</v>
      </c>
      <c r="D883" s="2"/>
      <c r="E883" s="4"/>
      <c r="F883" s="2"/>
      <c r="G883" s="28">
        <f t="shared" si="51"/>
        <v>153758.74150150991</v>
      </c>
      <c r="H883" s="2"/>
      <c r="I883" s="4"/>
      <c r="J883" s="2"/>
      <c r="K883" s="29">
        <f>IF('RPT1'!$J883="","",'RPT1'!$J883)</f>
        <v>0</v>
      </c>
      <c r="L883" s="29">
        <f>IF('RPT2'!$J883="","",'RPT2'!$J883)</f>
        <v>0</v>
      </c>
      <c r="M883" s="29">
        <f>IF('RPT3'!$J883="","",'RPT3'!$J883)</f>
        <v>76837.099957436483</v>
      </c>
      <c r="N883" s="29">
        <f>IF('RPT4'!$J883="","",'RPT4'!$J883)</f>
        <v>76921.641544073413</v>
      </c>
    </row>
    <row r="884" spans="1:14" x14ac:dyDescent="0.35">
      <c r="A884" s="16" t="s">
        <v>860</v>
      </c>
      <c r="B884" s="2"/>
      <c r="C884" s="28">
        <f t="shared" si="50"/>
        <v>95214.394820989852</v>
      </c>
      <c r="D884" s="2"/>
      <c r="E884" s="4"/>
      <c r="F884" s="2"/>
      <c r="G884" s="28">
        <f t="shared" si="51"/>
        <v>95214.394820989852</v>
      </c>
      <c r="H884" s="2"/>
      <c r="I884" s="4"/>
      <c r="J884" s="2"/>
      <c r="K884" s="29">
        <f>IF('RPT1'!$J884="","",'RPT1'!$J884)</f>
        <v>0</v>
      </c>
      <c r="L884" s="29">
        <f>IF('RPT2'!$J884="","",'RPT2'!$J884)</f>
        <v>0</v>
      </c>
      <c r="M884" s="29">
        <f>IF('RPT3'!$J884="","",'RPT3'!$J884)</f>
        <v>47582.760189424742</v>
      </c>
      <c r="N884" s="29">
        <f>IF('RPT4'!$J884="","",'RPT4'!$J884)</f>
        <v>47631.63463156511</v>
      </c>
    </row>
    <row r="885" spans="1:14" x14ac:dyDescent="0.35">
      <c r="A885" s="16" t="s">
        <v>861</v>
      </c>
      <c r="B885" s="2"/>
      <c r="C885" s="28">
        <f t="shared" si="50"/>
        <v>87024.433183972506</v>
      </c>
      <c r="D885" s="2"/>
      <c r="E885" s="4"/>
      <c r="F885" s="2"/>
      <c r="G885" s="28">
        <f t="shared" si="51"/>
        <v>87024.433183972506</v>
      </c>
      <c r="H885" s="2"/>
      <c r="I885" s="4"/>
      <c r="J885" s="2"/>
      <c r="K885" s="29">
        <f>IF('RPT1'!$J885="","",'RPT1'!$J885)</f>
        <v>0</v>
      </c>
      <c r="L885" s="29">
        <f>IF('RPT2'!$J885="","",'RPT2'!$J885)</f>
        <v>0</v>
      </c>
      <c r="M885" s="29">
        <f>IF('RPT3'!$J885="","",'RPT3'!$J885)</f>
        <v>43487.724673073193</v>
      </c>
      <c r="N885" s="29">
        <f>IF('RPT4'!$J885="","",'RPT4'!$J885)</f>
        <v>43536.708510899312</v>
      </c>
    </row>
    <row r="886" spans="1:14" x14ac:dyDescent="0.35">
      <c r="A886" s="16" t="s">
        <v>862</v>
      </c>
      <c r="B886" s="2"/>
      <c r="C886" s="28">
        <f t="shared" si="50"/>
        <v>90640.335767586366</v>
      </c>
      <c r="D886" s="2"/>
      <c r="E886" s="4"/>
      <c r="F886" s="2"/>
      <c r="G886" s="28">
        <f t="shared" si="51"/>
        <v>90640.335767586366</v>
      </c>
      <c r="H886" s="2"/>
      <c r="I886" s="4"/>
      <c r="J886" s="2"/>
      <c r="K886" s="29">
        <f>IF('RPT1'!$J886="","",'RPT1'!$J886)</f>
        <v>0</v>
      </c>
      <c r="L886" s="29">
        <f>IF('RPT2'!$J886="","",'RPT2'!$J886)</f>
        <v>0</v>
      </c>
      <c r="M886" s="29">
        <f>IF('RPT3'!$J886="","",'RPT3'!$J886)</f>
        <v>45290.856329897368</v>
      </c>
      <c r="N886" s="29">
        <f>IF('RPT4'!$J886="","",'RPT4'!$J886)</f>
        <v>45349.479437688999</v>
      </c>
    </row>
    <row r="887" spans="1:14" x14ac:dyDescent="0.35">
      <c r="A887" s="16" t="s">
        <v>863</v>
      </c>
      <c r="B887" s="2"/>
      <c r="C887" s="28">
        <f t="shared" si="50"/>
        <v>0</v>
      </c>
      <c r="D887" s="2"/>
      <c r="E887" s="4"/>
      <c r="F887" s="2"/>
      <c r="G887" s="28">
        <f t="shared" si="51"/>
        <v>0</v>
      </c>
      <c r="H887" s="2"/>
      <c r="I887" s="4"/>
      <c r="J887" s="2"/>
      <c r="K887" s="29">
        <f>IF('RPT1'!$J887="","",'RPT1'!$J887)</f>
        <v>0</v>
      </c>
      <c r="L887" s="29">
        <f>IF('RPT2'!$J887="","",'RPT2'!$J887)</f>
        <v>0</v>
      </c>
      <c r="M887" s="29">
        <f>IF('RPT3'!$J887="","",'RPT3'!$J887)</f>
        <v>0</v>
      </c>
      <c r="N887" s="29">
        <f>IF('RPT4'!$J887="","",'RPT4'!$J887)</f>
        <v>0</v>
      </c>
    </row>
    <row r="888" spans="1:14" x14ac:dyDescent="0.35">
      <c r="A888" s="16" t="s">
        <v>864</v>
      </c>
      <c r="B888" s="2"/>
      <c r="C888" s="28">
        <f t="shared" si="50"/>
        <v>0</v>
      </c>
      <c r="D888" s="2"/>
      <c r="E888" s="4"/>
      <c r="F888" s="2"/>
      <c r="G888" s="28">
        <f t="shared" si="51"/>
        <v>0</v>
      </c>
      <c r="H888" s="2"/>
      <c r="I888" s="4"/>
      <c r="J888" s="2"/>
      <c r="K888" s="29">
        <f>IF('RPT1'!$J888="","",'RPT1'!$J888)</f>
        <v>0</v>
      </c>
      <c r="L888" s="29">
        <f>IF('RPT2'!$J888="","",'RPT2'!$J888)</f>
        <v>0</v>
      </c>
      <c r="M888" s="29">
        <f>IF('RPT3'!$J888="","",'RPT3'!$J888)</f>
        <v>0</v>
      </c>
      <c r="N888" s="29">
        <f>IF('RPT4'!$J888="","",'RPT4'!$J888)</f>
        <v>0</v>
      </c>
    </row>
    <row r="889" spans="1:14" x14ac:dyDescent="0.35">
      <c r="A889" s="16" t="s">
        <v>865</v>
      </c>
      <c r="B889" s="2"/>
      <c r="C889" s="28">
        <f t="shared" si="50"/>
        <v>0</v>
      </c>
      <c r="D889" s="2"/>
      <c r="E889" s="4"/>
      <c r="F889" s="2"/>
      <c r="G889" s="28">
        <f t="shared" si="51"/>
        <v>0</v>
      </c>
      <c r="H889" s="2"/>
      <c r="I889" s="4"/>
      <c r="J889" s="2"/>
      <c r="K889" s="29">
        <f>IF('RPT1'!$J889="","",'RPT1'!$J889)</f>
        <v>0</v>
      </c>
      <c r="L889" s="29">
        <f>IF('RPT2'!$J889="","",'RPT2'!$J889)</f>
        <v>0</v>
      </c>
      <c r="M889" s="29">
        <f>IF('RPT3'!$J889="","",'RPT3'!$J889)</f>
        <v>0</v>
      </c>
      <c r="N889" s="29">
        <f>IF('RPT4'!$J889="","",'RPT4'!$J889)</f>
        <v>0</v>
      </c>
    </row>
    <row r="890" spans="1:14" x14ac:dyDescent="0.35">
      <c r="A890" s="16" t="s">
        <v>866</v>
      </c>
      <c r="B890" s="2"/>
      <c r="C890" s="28">
        <f t="shared" si="50"/>
        <v>0</v>
      </c>
      <c r="D890" s="2"/>
      <c r="E890" s="4"/>
      <c r="F890" s="2"/>
      <c r="G890" s="28">
        <f t="shared" si="51"/>
        <v>0</v>
      </c>
      <c r="H890" s="2"/>
      <c r="I890" s="4"/>
      <c r="J890" s="2"/>
      <c r="K890" s="29">
        <f>IF('RPT1'!$J890="","",'RPT1'!$J890)</f>
        <v>0</v>
      </c>
      <c r="L890" s="29">
        <f>IF('RPT2'!$J890="","",'RPT2'!$J890)</f>
        <v>0</v>
      </c>
      <c r="M890" s="29">
        <f>IF('RPT3'!$J890="","",'RPT3'!$J890)</f>
        <v>0</v>
      </c>
      <c r="N890" s="29">
        <f>IF('RPT4'!$J890="","",'RPT4'!$J890)</f>
        <v>0</v>
      </c>
    </row>
    <row r="891" spans="1:14" x14ac:dyDescent="0.35">
      <c r="A891" s="16" t="s">
        <v>867</v>
      </c>
      <c r="B891" s="2"/>
      <c r="C891" s="28">
        <f t="shared" si="50"/>
        <v>0</v>
      </c>
      <c r="D891" s="2"/>
      <c r="E891" s="4"/>
      <c r="F891" s="2"/>
      <c r="G891" s="28">
        <f t="shared" si="51"/>
        <v>0</v>
      </c>
      <c r="H891" s="2"/>
      <c r="I891" s="4"/>
      <c r="J891" s="2"/>
      <c r="K891" s="29">
        <f>IF('RPT1'!$J891="","",'RPT1'!$J891)</f>
        <v>0</v>
      </c>
      <c r="L891" s="29">
        <f>IF('RPT2'!$J891="","",'RPT2'!$J891)</f>
        <v>0</v>
      </c>
      <c r="M891" s="29">
        <f>IF('RPT3'!$J891="","",'RPT3'!$J891)</f>
        <v>0</v>
      </c>
      <c r="N891" s="29">
        <f>IF('RPT4'!$J891="","",'RPT4'!$J891)</f>
        <v>0</v>
      </c>
    </row>
    <row r="892" spans="1:14" x14ac:dyDescent="0.35">
      <c r="A892" s="16" t="s">
        <v>868</v>
      </c>
      <c r="B892" s="2"/>
      <c r="C892" s="28">
        <f t="shared" si="50"/>
        <v>497400.5320581221</v>
      </c>
      <c r="D892" s="2"/>
      <c r="E892" s="4"/>
      <c r="F892" s="2"/>
      <c r="G892" s="28">
        <f t="shared" si="51"/>
        <v>497400.5320581221</v>
      </c>
      <c r="H892" s="2"/>
      <c r="I892" s="4"/>
      <c r="J892" s="2"/>
      <c r="K892" s="29">
        <f>IF('RPT1'!$J892="","",'RPT1'!$J892)</f>
        <v>0</v>
      </c>
      <c r="L892" s="29">
        <f>IF('RPT2'!$J892="","",'RPT2'!$J892)</f>
        <v>0</v>
      </c>
      <c r="M892" s="29">
        <f>IF('RPT3'!$J892="","",'RPT3'!$J892)</f>
        <v>248697.63530887931</v>
      </c>
      <c r="N892" s="29">
        <f>IF('RPT4'!$J892="","",'RPT4'!$J892)</f>
        <v>248702.89674924279</v>
      </c>
    </row>
    <row r="893" spans="1:14" x14ac:dyDescent="0.35">
      <c r="A893" s="16" t="s">
        <v>869</v>
      </c>
      <c r="B893" s="2"/>
      <c r="C893" s="28">
        <f t="shared" si="50"/>
        <v>470715.4973668048</v>
      </c>
      <c r="D893" s="2"/>
      <c r="E893" s="4"/>
      <c r="F893" s="2"/>
      <c r="G893" s="28">
        <f t="shared" si="51"/>
        <v>470715.4973668048</v>
      </c>
      <c r="H893" s="2"/>
      <c r="I893" s="4"/>
      <c r="J893" s="2"/>
      <c r="K893" s="29">
        <f>IF('RPT1'!$J893="","",'RPT1'!$J893)</f>
        <v>0</v>
      </c>
      <c r="L893" s="29">
        <f>IF('RPT2'!$J893="","",'RPT2'!$J893)</f>
        <v>0</v>
      </c>
      <c r="M893" s="29">
        <f>IF('RPT3'!$J893="","",'RPT3'!$J893)</f>
        <v>235348.09043441451</v>
      </c>
      <c r="N893" s="29">
        <f>IF('RPT4'!$J893="","",'RPT4'!$J893)</f>
        <v>235367.40693239029</v>
      </c>
    </row>
    <row r="894" spans="1:14" x14ac:dyDescent="0.35">
      <c r="A894" s="16" t="s">
        <v>870</v>
      </c>
      <c r="B894" s="2"/>
      <c r="C894" s="28">
        <f t="shared" si="50"/>
        <v>487731.62672797462</v>
      </c>
      <c r="D894" s="2"/>
      <c r="E894" s="4"/>
      <c r="F894" s="2"/>
      <c r="G894" s="28">
        <f t="shared" si="51"/>
        <v>487731.62672797462</v>
      </c>
      <c r="H894" s="2"/>
      <c r="I894" s="4"/>
      <c r="J894" s="2"/>
      <c r="K894" s="29">
        <f>IF('RPT1'!$J894="","",'RPT1'!$J894)</f>
        <v>0</v>
      </c>
      <c r="L894" s="29">
        <f>IF('RPT2'!$J894="","",'RPT2'!$J894)</f>
        <v>0</v>
      </c>
      <c r="M894" s="29">
        <f>IF('RPT3'!$J894="","",'RPT3'!$J894)</f>
        <v>243863.80647133611</v>
      </c>
      <c r="N894" s="29">
        <f>IF('RPT4'!$J894="","",'RPT4'!$J894)</f>
        <v>243867.82025663849</v>
      </c>
    </row>
    <row r="895" spans="1:14" x14ac:dyDescent="0.35">
      <c r="A895" s="16" t="s">
        <v>871</v>
      </c>
      <c r="B895" s="2"/>
      <c r="C895" s="28">
        <f t="shared" si="50"/>
        <v>517394.20636033802</v>
      </c>
      <c r="D895" s="2"/>
      <c r="E895" s="4"/>
      <c r="F895" s="2"/>
      <c r="G895" s="28">
        <f t="shared" si="51"/>
        <v>517394.20636033802</v>
      </c>
      <c r="H895" s="2"/>
      <c r="I895" s="4"/>
      <c r="J895" s="2"/>
      <c r="K895" s="29">
        <f>IF('RPT1'!$J895="","",'RPT1'!$J895)</f>
        <v>0</v>
      </c>
      <c r="L895" s="29">
        <f>IF('RPT2'!$J895="","",'RPT2'!$J895)</f>
        <v>0</v>
      </c>
      <c r="M895" s="29">
        <f>IF('RPT3'!$J895="","",'RPT3'!$J895)</f>
        <v>258747.641264726</v>
      </c>
      <c r="N895" s="29">
        <f>IF('RPT4'!$J895="","",'RPT4'!$J895)</f>
        <v>258646.56509561199</v>
      </c>
    </row>
    <row r="896" spans="1:14" x14ac:dyDescent="0.35">
      <c r="A896" s="16" t="s">
        <v>872</v>
      </c>
      <c r="B896" s="2"/>
      <c r="C896" s="28">
        <f t="shared" si="50"/>
        <v>552372.07083260641</v>
      </c>
      <c r="D896" s="2"/>
      <c r="E896" s="4"/>
      <c r="F896" s="2"/>
      <c r="G896" s="28">
        <f t="shared" si="51"/>
        <v>552372.07083260641</v>
      </c>
      <c r="H896" s="2"/>
      <c r="I896" s="4"/>
      <c r="J896" s="2"/>
      <c r="K896" s="29">
        <f>IF('RPT1'!$J896="","",'RPT1'!$J896)</f>
        <v>0</v>
      </c>
      <c r="L896" s="29">
        <f>IF('RPT2'!$J896="","",'RPT2'!$J896)</f>
        <v>0</v>
      </c>
      <c r="M896" s="29">
        <f>IF('RPT3'!$J896="","",'RPT3'!$J896)</f>
        <v>276267.07363485667</v>
      </c>
      <c r="N896" s="29">
        <f>IF('RPT4'!$J896="","",'RPT4'!$J896)</f>
        <v>276104.99719774979</v>
      </c>
    </row>
    <row r="897" spans="1:14" x14ac:dyDescent="0.35">
      <c r="A897" s="16" t="s">
        <v>873</v>
      </c>
      <c r="B897" s="2"/>
      <c r="C897" s="28">
        <f t="shared" si="50"/>
        <v>0</v>
      </c>
      <c r="D897" s="2"/>
      <c r="E897" s="4"/>
      <c r="F897" s="2"/>
      <c r="G897" s="28">
        <f t="shared" si="51"/>
        <v>0</v>
      </c>
      <c r="H897" s="2"/>
      <c r="I897" s="4"/>
      <c r="J897" s="2"/>
      <c r="K897" s="29">
        <f>IF('RPT1'!$J897="","",'RPT1'!$J897)</f>
        <v>0</v>
      </c>
      <c r="L897" s="29">
        <f>IF('RPT2'!$J897="","",'RPT2'!$J897)</f>
        <v>0</v>
      </c>
      <c r="M897" s="29">
        <f>IF('RPT3'!$J897="","",'RPT3'!$J897)</f>
        <v>0</v>
      </c>
      <c r="N897" s="29">
        <f>IF('RPT4'!$J897="","",'RPT4'!$J897)</f>
        <v>0</v>
      </c>
    </row>
    <row r="898" spans="1:14" x14ac:dyDescent="0.35">
      <c r="A898" s="16" t="s">
        <v>874</v>
      </c>
      <c r="B898" s="2"/>
      <c r="C898" s="28">
        <f t="shared" si="50"/>
        <v>0</v>
      </c>
      <c r="D898" s="2"/>
      <c r="E898" s="4"/>
      <c r="F898" s="2"/>
      <c r="G898" s="28">
        <f t="shared" si="51"/>
        <v>0</v>
      </c>
      <c r="H898" s="2"/>
      <c r="I898" s="4"/>
      <c r="J898" s="2"/>
      <c r="K898" s="29">
        <f>IF('RPT1'!$J898="","",'RPT1'!$J898)</f>
        <v>0</v>
      </c>
      <c r="L898" s="29">
        <f>IF('RPT2'!$J898="","",'RPT2'!$J898)</f>
        <v>0</v>
      </c>
      <c r="M898" s="29">
        <f>IF('RPT3'!$J898="","",'RPT3'!$J898)</f>
        <v>0</v>
      </c>
      <c r="N898" s="29">
        <f>IF('RPT4'!$J898="","",'RPT4'!$J898)</f>
        <v>0</v>
      </c>
    </row>
    <row r="899" spans="1:14" x14ac:dyDescent="0.35">
      <c r="A899" s="16" t="s">
        <v>875</v>
      </c>
      <c r="B899" s="2"/>
      <c r="C899" s="28">
        <f t="shared" si="50"/>
        <v>0</v>
      </c>
      <c r="D899" s="2"/>
      <c r="E899" s="4"/>
      <c r="F899" s="2"/>
      <c r="G899" s="28">
        <f t="shared" si="51"/>
        <v>0</v>
      </c>
      <c r="H899" s="2"/>
      <c r="I899" s="4"/>
      <c r="J899" s="2"/>
      <c r="K899" s="29">
        <f>IF('RPT1'!$J899="","",'RPT1'!$J899)</f>
        <v>0</v>
      </c>
      <c r="L899" s="29">
        <f>IF('RPT2'!$J899="","",'RPT2'!$J899)</f>
        <v>0</v>
      </c>
      <c r="M899" s="29">
        <f>IF('RPT3'!$J899="","",'RPT3'!$J899)</f>
        <v>0</v>
      </c>
      <c r="N899" s="29">
        <f>IF('RPT4'!$J899="","",'RPT4'!$J899)</f>
        <v>0</v>
      </c>
    </row>
    <row r="900" spans="1:14" x14ac:dyDescent="0.35">
      <c r="A900" s="16" t="s">
        <v>876</v>
      </c>
      <c r="B900" s="2"/>
      <c r="C900" s="28">
        <f t="shared" si="50"/>
        <v>0</v>
      </c>
      <c r="D900" s="2"/>
      <c r="E900" s="4"/>
      <c r="F900" s="2"/>
      <c r="G900" s="28">
        <f t="shared" si="51"/>
        <v>0</v>
      </c>
      <c r="H900" s="2"/>
      <c r="I900" s="4"/>
      <c r="J900" s="2"/>
      <c r="K900" s="29">
        <f>IF('RPT1'!$J900="","",'RPT1'!$J900)</f>
        <v>0</v>
      </c>
      <c r="L900" s="29">
        <f>IF('RPT2'!$J900="","",'RPT2'!$J900)</f>
        <v>0</v>
      </c>
      <c r="M900" s="29">
        <f>IF('RPT3'!$J900="","",'RPT3'!$J900)</f>
        <v>0</v>
      </c>
      <c r="N900" s="29">
        <f>IF('RPT4'!$J900="","",'RPT4'!$J900)</f>
        <v>0</v>
      </c>
    </row>
    <row r="901" spans="1:14" x14ac:dyDescent="0.35">
      <c r="A901" s="16" t="s">
        <v>877</v>
      </c>
      <c r="B901" s="2"/>
      <c r="C901" s="28">
        <f t="shared" si="50"/>
        <v>0</v>
      </c>
      <c r="D901" s="2"/>
      <c r="E901" s="4"/>
      <c r="F901" s="2"/>
      <c r="G901" s="28">
        <f t="shared" si="51"/>
        <v>0</v>
      </c>
      <c r="H901" s="2"/>
      <c r="I901" s="4"/>
      <c r="J901" s="2"/>
      <c r="K901" s="29">
        <f>IF('RPT1'!$J901="","",'RPT1'!$J901)</f>
        <v>0</v>
      </c>
      <c r="L901" s="29">
        <f>IF('RPT2'!$J901="","",'RPT2'!$J901)</f>
        <v>0</v>
      </c>
      <c r="M901" s="29">
        <f>IF('RPT3'!$J901="","",'RPT3'!$J901)</f>
        <v>0</v>
      </c>
      <c r="N901" s="29">
        <f>IF('RPT4'!$J901="","",'RPT4'!$J901)</f>
        <v>0</v>
      </c>
    </row>
    <row r="902" spans="1:14" x14ac:dyDescent="0.35">
      <c r="A902" s="16"/>
      <c r="B902" s="2"/>
      <c r="C902" s="28"/>
      <c r="D902" s="2"/>
      <c r="E902" s="4"/>
      <c r="F902" s="2"/>
      <c r="G902" s="28"/>
      <c r="H902" s="2"/>
      <c r="I902" s="4"/>
      <c r="J902" s="2"/>
      <c r="K902" s="29"/>
      <c r="L902" s="29"/>
      <c r="M902" s="29"/>
      <c r="N902" s="29"/>
    </row>
    <row r="903" spans="1:14" x14ac:dyDescent="0.35">
      <c r="A903" s="30" t="s">
        <v>878</v>
      </c>
      <c r="B903" s="2"/>
      <c r="C903" s="28"/>
      <c r="D903" s="2"/>
      <c r="E903" s="4"/>
      <c r="F903" s="2"/>
      <c r="G903" s="28"/>
      <c r="H903" s="2"/>
      <c r="I903" s="4"/>
      <c r="J903" s="2"/>
      <c r="K903" s="29" t="str">
        <f>IF('RPT1'!$J903="","",'RPT1'!$J903)</f>
        <v/>
      </c>
      <c r="L903" s="29" t="str">
        <f>IF('RPT2'!$J903="","",'RPT2'!$J903)</f>
        <v/>
      </c>
      <c r="M903" s="29" t="str">
        <f>IF('RPT3'!$J903="","",'RPT3'!$J903)</f>
        <v/>
      </c>
      <c r="N903" s="29" t="str">
        <f>IF('RPT4'!$J903="","",'RPT4'!$J903)</f>
        <v/>
      </c>
    </row>
    <row r="904" spans="1:14" x14ac:dyDescent="0.35">
      <c r="A904" s="16" t="s">
        <v>879</v>
      </c>
      <c r="B904" s="2"/>
      <c r="C904" s="28">
        <f t="shared" ref="C904:C943" si="52">IF(Combine="Y", $G904, 0)</f>
        <v>62180.403270550683</v>
      </c>
      <c r="D904" s="2"/>
      <c r="E904" s="4"/>
      <c r="F904" s="2"/>
      <c r="G904" s="28">
        <f t="shared" ref="G904:G943" si="53">SUM($K904:$N904)</f>
        <v>62180.403270550683</v>
      </c>
      <c r="H904" s="2"/>
      <c r="I904" s="4"/>
      <c r="J904" s="2"/>
      <c r="K904" s="29">
        <f>IF('RPT1'!$J904="","",'RPT1'!$J904)</f>
        <v>0</v>
      </c>
      <c r="L904" s="29">
        <f>IF('RPT2'!$J904="","",'RPT2'!$J904)</f>
        <v>0</v>
      </c>
      <c r="M904" s="29">
        <f>IF('RPT3'!$J904="","",'RPT3'!$J904)</f>
        <v>31090.846223703371</v>
      </c>
      <c r="N904" s="29">
        <f>IF('RPT4'!$J904="","",'RPT4'!$J904)</f>
        <v>31089.557046847309</v>
      </c>
    </row>
    <row r="905" spans="1:14" x14ac:dyDescent="0.35">
      <c r="A905" s="16" t="s">
        <v>880</v>
      </c>
      <c r="B905" s="2"/>
      <c r="C905" s="28">
        <f t="shared" si="52"/>
        <v>52631.226236219605</v>
      </c>
      <c r="D905" s="2"/>
      <c r="E905" s="4"/>
      <c r="F905" s="2"/>
      <c r="G905" s="28">
        <f t="shared" si="53"/>
        <v>52631.226236219605</v>
      </c>
      <c r="H905" s="2"/>
      <c r="I905" s="4"/>
      <c r="J905" s="2"/>
      <c r="K905" s="29">
        <f>IF('RPT1'!$J905="","",'RPT1'!$J905)</f>
        <v>0</v>
      </c>
      <c r="L905" s="29">
        <f>IF('RPT2'!$J905="","",'RPT2'!$J905)</f>
        <v>0</v>
      </c>
      <c r="M905" s="29">
        <f>IF('RPT3'!$J905="","",'RPT3'!$J905)</f>
        <v>26316.827745325711</v>
      </c>
      <c r="N905" s="29">
        <f>IF('RPT4'!$J905="","",'RPT4'!$J905)</f>
        <v>26314.398490893891</v>
      </c>
    </row>
    <row r="906" spans="1:14" x14ac:dyDescent="0.35">
      <c r="A906" s="16" t="s">
        <v>881</v>
      </c>
      <c r="B906" s="2"/>
      <c r="C906" s="28">
        <f t="shared" si="52"/>
        <v>40387.988842091952</v>
      </c>
      <c r="D906" s="2"/>
      <c r="E906" s="4"/>
      <c r="F906" s="2"/>
      <c r="G906" s="28">
        <f t="shared" si="53"/>
        <v>40387.988842091952</v>
      </c>
      <c r="H906" s="2"/>
      <c r="I906" s="4"/>
      <c r="J906" s="2"/>
      <c r="K906" s="29">
        <f>IF('RPT1'!$J906="","",'RPT1'!$J906)</f>
        <v>0</v>
      </c>
      <c r="L906" s="29">
        <f>IF('RPT2'!$J906="","",'RPT2'!$J906)</f>
        <v>0</v>
      </c>
      <c r="M906" s="29">
        <f>IF('RPT3'!$J906="","",'RPT3'!$J906)</f>
        <v>20195.389530328091</v>
      </c>
      <c r="N906" s="29">
        <f>IF('RPT4'!$J906="","",'RPT4'!$J906)</f>
        <v>20192.599311763861</v>
      </c>
    </row>
    <row r="907" spans="1:14" x14ac:dyDescent="0.35">
      <c r="A907" s="16" t="s">
        <v>882</v>
      </c>
      <c r="B907" s="2"/>
      <c r="C907" s="28">
        <f t="shared" si="52"/>
        <v>42102.175504819701</v>
      </c>
      <c r="D907" s="2"/>
      <c r="E907" s="4"/>
      <c r="F907" s="2"/>
      <c r="G907" s="28">
        <f t="shared" si="53"/>
        <v>42102.175504819701</v>
      </c>
      <c r="H907" s="2"/>
      <c r="I907" s="4"/>
      <c r="J907" s="2"/>
      <c r="K907" s="29">
        <f>IF('RPT1'!$J907="","",'RPT1'!$J907)</f>
        <v>0</v>
      </c>
      <c r="L907" s="29">
        <f>IF('RPT2'!$J907="","",'RPT2'!$J907)</f>
        <v>0</v>
      </c>
      <c r="M907" s="29">
        <f>IF('RPT3'!$J907="","",'RPT3'!$J907)</f>
        <v>21053.46120154751</v>
      </c>
      <c r="N907" s="29">
        <f>IF('RPT4'!$J907="","",'RPT4'!$J907)</f>
        <v>21048.714303272191</v>
      </c>
    </row>
    <row r="908" spans="1:14" x14ac:dyDescent="0.35">
      <c r="A908" s="16" t="s">
        <v>883</v>
      </c>
      <c r="B908" s="2"/>
      <c r="C908" s="28">
        <f t="shared" si="52"/>
        <v>33342.077002148333</v>
      </c>
      <c r="D908" s="2"/>
      <c r="E908" s="4"/>
      <c r="F908" s="2"/>
      <c r="G908" s="28">
        <f t="shared" si="53"/>
        <v>33342.077002148333</v>
      </c>
      <c r="H908" s="2"/>
      <c r="I908" s="4"/>
      <c r="J908" s="2"/>
      <c r="K908" s="29">
        <f>IF('RPT1'!$J908="","",'RPT1'!$J908)</f>
        <v>0</v>
      </c>
      <c r="L908" s="29">
        <f>IF('RPT2'!$J908="","",'RPT2'!$J908)</f>
        <v>0</v>
      </c>
      <c r="M908" s="29">
        <f>IF('RPT3'!$J908="","",'RPT3'!$J908)</f>
        <v>16673.317083226069</v>
      </c>
      <c r="N908" s="29">
        <f>IF('RPT4'!$J908="","",'RPT4'!$J908)</f>
        <v>16668.75991892226</v>
      </c>
    </row>
    <row r="909" spans="1:14" x14ac:dyDescent="0.35">
      <c r="A909" s="16" t="s">
        <v>884</v>
      </c>
      <c r="B909" s="2"/>
      <c r="C909" s="28">
        <f t="shared" si="52"/>
        <v>0</v>
      </c>
      <c r="D909" s="2"/>
      <c r="E909" s="4"/>
      <c r="F909" s="2"/>
      <c r="G909" s="28">
        <f t="shared" si="53"/>
        <v>0</v>
      </c>
      <c r="H909" s="2"/>
      <c r="I909" s="4"/>
      <c r="J909" s="2"/>
      <c r="K909" s="29">
        <f>IF('RPT1'!$J909="","",'RPT1'!$J909)</f>
        <v>0</v>
      </c>
      <c r="L909" s="29">
        <f>IF('RPT2'!$J909="","",'RPT2'!$J909)</f>
        <v>0</v>
      </c>
      <c r="M909" s="29">
        <f>IF('RPT3'!$J909="","",'RPT3'!$J909)</f>
        <v>0</v>
      </c>
      <c r="N909" s="29">
        <f>IF('RPT4'!$J909="","",'RPT4'!$J909)</f>
        <v>0</v>
      </c>
    </row>
    <row r="910" spans="1:14" x14ac:dyDescent="0.35">
      <c r="A910" s="16" t="s">
        <v>885</v>
      </c>
      <c r="B910" s="2"/>
      <c r="C910" s="28">
        <f t="shared" si="52"/>
        <v>0</v>
      </c>
      <c r="D910" s="2"/>
      <c r="E910" s="4"/>
      <c r="F910" s="2"/>
      <c r="G910" s="28">
        <f t="shared" si="53"/>
        <v>0</v>
      </c>
      <c r="H910" s="2"/>
      <c r="I910" s="4"/>
      <c r="J910" s="2"/>
      <c r="K910" s="29">
        <f>IF('RPT1'!$J910="","",'RPT1'!$J910)</f>
        <v>0</v>
      </c>
      <c r="L910" s="29">
        <f>IF('RPT2'!$J910="","",'RPT2'!$J910)</f>
        <v>0</v>
      </c>
      <c r="M910" s="29">
        <f>IF('RPT3'!$J910="","",'RPT3'!$J910)</f>
        <v>0</v>
      </c>
      <c r="N910" s="29">
        <f>IF('RPT4'!$J910="","",'RPT4'!$J910)</f>
        <v>0</v>
      </c>
    </row>
    <row r="911" spans="1:14" x14ac:dyDescent="0.35">
      <c r="A911" s="16" t="s">
        <v>886</v>
      </c>
      <c r="B911" s="2"/>
      <c r="C911" s="28">
        <f t="shared" si="52"/>
        <v>0</v>
      </c>
      <c r="D911" s="2"/>
      <c r="E911" s="4"/>
      <c r="F911" s="2"/>
      <c r="G911" s="28">
        <f t="shared" si="53"/>
        <v>0</v>
      </c>
      <c r="H911" s="2"/>
      <c r="I911" s="4"/>
      <c r="J911" s="2"/>
      <c r="K911" s="29">
        <f>IF('RPT1'!$J911="","",'RPT1'!$J911)</f>
        <v>0</v>
      </c>
      <c r="L911" s="29">
        <f>IF('RPT2'!$J911="","",'RPT2'!$J911)</f>
        <v>0</v>
      </c>
      <c r="M911" s="29">
        <f>IF('RPT3'!$J911="","",'RPT3'!$J911)</f>
        <v>0</v>
      </c>
      <c r="N911" s="29">
        <f>IF('RPT4'!$J911="","",'RPT4'!$J911)</f>
        <v>0</v>
      </c>
    </row>
    <row r="912" spans="1:14" x14ac:dyDescent="0.35">
      <c r="A912" s="16" t="s">
        <v>887</v>
      </c>
      <c r="B912" s="2"/>
      <c r="C912" s="28">
        <f t="shared" si="52"/>
        <v>0</v>
      </c>
      <c r="D912" s="2"/>
      <c r="E912" s="4"/>
      <c r="F912" s="2"/>
      <c r="G912" s="28">
        <f t="shared" si="53"/>
        <v>0</v>
      </c>
      <c r="H912" s="2"/>
      <c r="I912" s="4"/>
      <c r="J912" s="2"/>
      <c r="K912" s="29">
        <f>IF('RPT1'!$J912="","",'RPT1'!$J912)</f>
        <v>0</v>
      </c>
      <c r="L912" s="29">
        <f>IF('RPT2'!$J912="","",'RPT2'!$J912)</f>
        <v>0</v>
      </c>
      <c r="M912" s="29">
        <f>IF('RPT3'!$J912="","",'RPT3'!$J912)</f>
        <v>0</v>
      </c>
      <c r="N912" s="29">
        <f>IF('RPT4'!$J912="","",'RPT4'!$J912)</f>
        <v>0</v>
      </c>
    </row>
    <row r="913" spans="1:14" x14ac:dyDescent="0.35">
      <c r="A913" s="16" t="s">
        <v>888</v>
      </c>
      <c r="B913" s="2"/>
      <c r="C913" s="28">
        <f t="shared" si="52"/>
        <v>0</v>
      </c>
      <c r="D913" s="2"/>
      <c r="E913" s="4"/>
      <c r="F913" s="2"/>
      <c r="G913" s="28">
        <f t="shared" si="53"/>
        <v>0</v>
      </c>
      <c r="H913" s="2"/>
      <c r="I913" s="4"/>
      <c r="J913" s="2"/>
      <c r="K913" s="29">
        <f>IF('RPT1'!$J913="","",'RPT1'!$J913)</f>
        <v>0</v>
      </c>
      <c r="L913" s="29">
        <f>IF('RPT2'!$J913="","",'RPT2'!$J913)</f>
        <v>0</v>
      </c>
      <c r="M913" s="29">
        <f>IF('RPT3'!$J913="","",'RPT3'!$J913)</f>
        <v>0</v>
      </c>
      <c r="N913" s="29">
        <f>IF('RPT4'!$J913="","",'RPT4'!$J913)</f>
        <v>0</v>
      </c>
    </row>
    <row r="914" spans="1:14" x14ac:dyDescent="0.35">
      <c r="A914" s="16" t="s">
        <v>889</v>
      </c>
      <c r="B914" s="2"/>
      <c r="C914" s="28">
        <f t="shared" si="52"/>
        <v>44723.477451414714</v>
      </c>
      <c r="D914" s="2"/>
      <c r="E914" s="4"/>
      <c r="F914" s="2"/>
      <c r="G914" s="28">
        <f t="shared" si="53"/>
        <v>44723.477451414714</v>
      </c>
      <c r="H914" s="2"/>
      <c r="I914" s="4"/>
      <c r="J914" s="2"/>
      <c r="K914" s="29">
        <f>IF('RPT1'!$J914="","",'RPT1'!$J914)</f>
        <v>0</v>
      </c>
      <c r="L914" s="29">
        <f>IF('RPT2'!$J914="","",'RPT2'!$J914)</f>
        <v>0</v>
      </c>
      <c r="M914" s="29">
        <f>IF('RPT3'!$J914="","",'RPT3'!$J914)</f>
        <v>22362.40249484724</v>
      </c>
      <c r="N914" s="29">
        <f>IF('RPT4'!$J914="","",'RPT4'!$J914)</f>
        <v>22361.074956567471</v>
      </c>
    </row>
    <row r="915" spans="1:14" x14ac:dyDescent="0.35">
      <c r="A915" s="16" t="s">
        <v>890</v>
      </c>
      <c r="B915" s="2"/>
      <c r="C915" s="28">
        <f t="shared" si="52"/>
        <v>28017.795252527212</v>
      </c>
      <c r="D915" s="2"/>
      <c r="E915" s="4"/>
      <c r="F915" s="2"/>
      <c r="G915" s="28">
        <f t="shared" si="53"/>
        <v>28017.795252527212</v>
      </c>
      <c r="H915" s="2"/>
      <c r="I915" s="4"/>
      <c r="J915" s="2"/>
      <c r="K915" s="29">
        <f>IF('RPT1'!$J915="","",'RPT1'!$J915)</f>
        <v>0</v>
      </c>
      <c r="L915" s="29">
        <f>IF('RPT2'!$J915="","",'RPT2'!$J915)</f>
        <v>0</v>
      </c>
      <c r="M915" s="29">
        <f>IF('RPT3'!$J915="","",'RPT3'!$J915)</f>
        <v>14010.90941025372</v>
      </c>
      <c r="N915" s="29">
        <f>IF('RPT4'!$J915="","",'RPT4'!$J915)</f>
        <v>14006.88584227349</v>
      </c>
    </row>
    <row r="916" spans="1:14" x14ac:dyDescent="0.35">
      <c r="A916" s="16" t="s">
        <v>891</v>
      </c>
      <c r="B916" s="2"/>
      <c r="C916" s="28">
        <f t="shared" si="52"/>
        <v>6876.0675618449313</v>
      </c>
      <c r="D916" s="2"/>
      <c r="E916" s="4"/>
      <c r="F916" s="2"/>
      <c r="G916" s="28">
        <f t="shared" si="53"/>
        <v>6876.0675618449313</v>
      </c>
      <c r="H916" s="2"/>
      <c r="I916" s="4"/>
      <c r="J916" s="2"/>
      <c r="K916" s="29">
        <f>IF('RPT1'!$J916="","",'RPT1'!$J916)</f>
        <v>0</v>
      </c>
      <c r="L916" s="29">
        <f>IF('RPT2'!$J916="","",'RPT2'!$J916)</f>
        <v>0</v>
      </c>
      <c r="M916" s="29">
        <f>IF('RPT3'!$J916="","",'RPT3'!$J916)</f>
        <v>3438.609363879224</v>
      </c>
      <c r="N916" s="29">
        <f>IF('RPT4'!$J916="","",'RPT4'!$J916)</f>
        <v>3437.4581979657069</v>
      </c>
    </row>
    <row r="917" spans="1:14" x14ac:dyDescent="0.35">
      <c r="A917" s="16" t="s">
        <v>892</v>
      </c>
      <c r="B917" s="2"/>
      <c r="C917" s="28">
        <f t="shared" si="52"/>
        <v>4614.0641834664821</v>
      </c>
      <c r="D917" s="2"/>
      <c r="E917" s="4"/>
      <c r="F917" s="2"/>
      <c r="G917" s="28">
        <f t="shared" si="53"/>
        <v>4614.0641834664821</v>
      </c>
      <c r="H917" s="2"/>
      <c r="I917" s="4"/>
      <c r="J917" s="2"/>
      <c r="K917" s="29">
        <f>IF('RPT1'!$J917="","",'RPT1'!$J917)</f>
        <v>0</v>
      </c>
      <c r="L917" s="29">
        <f>IF('RPT2'!$J917="","",'RPT2'!$J917)</f>
        <v>0</v>
      </c>
      <c r="M917" s="29">
        <f>IF('RPT3'!$J917="","",'RPT3'!$J917)</f>
        <v>2307.4884345994501</v>
      </c>
      <c r="N917" s="29">
        <f>IF('RPT4'!$J917="","",'RPT4'!$J917)</f>
        <v>2306.575748867032</v>
      </c>
    </row>
    <row r="918" spans="1:14" x14ac:dyDescent="0.35">
      <c r="A918" s="16" t="s">
        <v>893</v>
      </c>
      <c r="B918" s="2"/>
      <c r="C918" s="28">
        <f t="shared" si="52"/>
        <v>4692.6205443322724</v>
      </c>
      <c r="D918" s="2"/>
      <c r="E918" s="4"/>
      <c r="F918" s="2"/>
      <c r="G918" s="28">
        <f t="shared" si="53"/>
        <v>4692.6205443322724</v>
      </c>
      <c r="H918" s="2"/>
      <c r="I918" s="4"/>
      <c r="J918" s="2"/>
      <c r="K918" s="29">
        <f>IF('RPT1'!$J918="","",'RPT1'!$J918)</f>
        <v>0</v>
      </c>
      <c r="L918" s="29">
        <f>IF('RPT2'!$J918="","",'RPT2'!$J918)</f>
        <v>0</v>
      </c>
      <c r="M918" s="29">
        <f>IF('RPT3'!$J918="","",'RPT3'!$J918)</f>
        <v>2346.9966652866328</v>
      </c>
      <c r="N918" s="29">
        <f>IF('RPT4'!$J918="","",'RPT4'!$J918)</f>
        <v>2345.62387904564</v>
      </c>
    </row>
    <row r="919" spans="1:14" x14ac:dyDescent="0.35">
      <c r="A919" s="16" t="s">
        <v>894</v>
      </c>
      <c r="B919" s="2"/>
      <c r="C919" s="28">
        <f t="shared" si="52"/>
        <v>0</v>
      </c>
      <c r="D919" s="2"/>
      <c r="E919" s="4"/>
      <c r="F919" s="2"/>
      <c r="G919" s="28">
        <f t="shared" si="53"/>
        <v>0</v>
      </c>
      <c r="H919" s="2"/>
      <c r="I919" s="4"/>
      <c r="J919" s="2"/>
      <c r="K919" s="29">
        <f>IF('RPT1'!$J919="","",'RPT1'!$J919)</f>
        <v>0</v>
      </c>
      <c r="L919" s="29">
        <f>IF('RPT2'!$J919="","",'RPT2'!$J919)</f>
        <v>0</v>
      </c>
      <c r="M919" s="29">
        <f>IF('RPT3'!$J919="","",'RPT3'!$J919)</f>
        <v>0</v>
      </c>
      <c r="N919" s="29">
        <f>IF('RPT4'!$J919="","",'RPT4'!$J919)</f>
        <v>0</v>
      </c>
    </row>
    <row r="920" spans="1:14" x14ac:dyDescent="0.35">
      <c r="A920" s="16" t="s">
        <v>895</v>
      </c>
      <c r="B920" s="2"/>
      <c r="C920" s="28">
        <f t="shared" si="52"/>
        <v>0</v>
      </c>
      <c r="D920" s="2"/>
      <c r="E920" s="4"/>
      <c r="F920" s="2"/>
      <c r="G920" s="28">
        <f t="shared" si="53"/>
        <v>0</v>
      </c>
      <c r="H920" s="2"/>
      <c r="I920" s="4"/>
      <c r="J920" s="2"/>
      <c r="K920" s="29">
        <f>IF('RPT1'!$J920="","",'RPT1'!$J920)</f>
        <v>0</v>
      </c>
      <c r="L920" s="29">
        <f>IF('RPT2'!$J920="","",'RPT2'!$J920)</f>
        <v>0</v>
      </c>
      <c r="M920" s="29">
        <f>IF('RPT3'!$J920="","",'RPT3'!$J920)</f>
        <v>0</v>
      </c>
      <c r="N920" s="29">
        <f>IF('RPT4'!$J920="","",'RPT4'!$J920)</f>
        <v>0</v>
      </c>
    </row>
    <row r="921" spans="1:14" x14ac:dyDescent="0.35">
      <c r="A921" s="16" t="s">
        <v>896</v>
      </c>
      <c r="B921" s="2"/>
      <c r="C921" s="28">
        <f t="shared" si="52"/>
        <v>0</v>
      </c>
      <c r="D921" s="2"/>
      <c r="E921" s="4"/>
      <c r="F921" s="2"/>
      <c r="G921" s="28">
        <f t="shared" si="53"/>
        <v>0</v>
      </c>
      <c r="H921" s="2"/>
      <c r="I921" s="4"/>
      <c r="J921" s="2"/>
      <c r="K921" s="29">
        <f>IF('RPT1'!$J921="","",'RPT1'!$J921)</f>
        <v>0</v>
      </c>
      <c r="L921" s="29">
        <f>IF('RPT2'!$J921="","",'RPT2'!$J921)</f>
        <v>0</v>
      </c>
      <c r="M921" s="29">
        <f>IF('RPT3'!$J921="","",'RPT3'!$J921)</f>
        <v>0</v>
      </c>
      <c r="N921" s="29">
        <f>IF('RPT4'!$J921="","",'RPT4'!$J921)</f>
        <v>0</v>
      </c>
    </row>
    <row r="922" spans="1:14" x14ac:dyDescent="0.35">
      <c r="A922" s="16" t="s">
        <v>897</v>
      </c>
      <c r="B922" s="2"/>
      <c r="C922" s="28">
        <f t="shared" si="52"/>
        <v>0</v>
      </c>
      <c r="D922" s="2"/>
      <c r="E922" s="4"/>
      <c r="F922" s="2"/>
      <c r="G922" s="28">
        <f t="shared" si="53"/>
        <v>0</v>
      </c>
      <c r="H922" s="2"/>
      <c r="I922" s="4"/>
      <c r="J922" s="2"/>
      <c r="K922" s="29">
        <f>IF('RPT1'!$J922="","",'RPT1'!$J922)</f>
        <v>0</v>
      </c>
      <c r="L922" s="29">
        <f>IF('RPT2'!$J922="","",'RPT2'!$J922)</f>
        <v>0</v>
      </c>
      <c r="M922" s="29">
        <f>IF('RPT3'!$J922="","",'RPT3'!$J922)</f>
        <v>0</v>
      </c>
      <c r="N922" s="29">
        <f>IF('RPT4'!$J922="","",'RPT4'!$J922)</f>
        <v>0</v>
      </c>
    </row>
    <row r="923" spans="1:14" x14ac:dyDescent="0.35">
      <c r="A923" s="16" t="s">
        <v>898</v>
      </c>
      <c r="B923" s="2"/>
      <c r="C923" s="28">
        <f t="shared" si="52"/>
        <v>0</v>
      </c>
      <c r="D923" s="2"/>
      <c r="E923" s="4"/>
      <c r="F923" s="2"/>
      <c r="G923" s="28">
        <f t="shared" si="53"/>
        <v>0</v>
      </c>
      <c r="H923" s="2"/>
      <c r="I923" s="4"/>
      <c r="J923" s="2"/>
      <c r="K923" s="29">
        <f>IF('RPT1'!$J923="","",'RPT1'!$J923)</f>
        <v>0</v>
      </c>
      <c r="L923" s="29">
        <f>IF('RPT2'!$J923="","",'RPT2'!$J923)</f>
        <v>0</v>
      </c>
      <c r="M923" s="29">
        <f>IF('RPT3'!$J923="","",'RPT3'!$J923)</f>
        <v>0</v>
      </c>
      <c r="N923" s="29">
        <f>IF('RPT4'!$J923="","",'RPT4'!$J923)</f>
        <v>0</v>
      </c>
    </row>
    <row r="924" spans="1:14" x14ac:dyDescent="0.35">
      <c r="A924" s="16" t="s">
        <v>899</v>
      </c>
      <c r="B924" s="2"/>
      <c r="C924" s="28">
        <f t="shared" si="52"/>
        <v>78681.575380890383</v>
      </c>
      <c r="D924" s="2"/>
      <c r="E924" s="4"/>
      <c r="F924" s="2"/>
      <c r="G924" s="28">
        <f t="shared" si="53"/>
        <v>78681.575380890383</v>
      </c>
      <c r="H924" s="2"/>
      <c r="I924" s="4"/>
      <c r="J924" s="2"/>
      <c r="K924" s="29">
        <f>IF('RPT1'!$J924="","",'RPT1'!$J924)</f>
        <v>0</v>
      </c>
      <c r="L924" s="29">
        <f>IF('RPT2'!$J924="","",'RPT2'!$J924)</f>
        <v>0</v>
      </c>
      <c r="M924" s="29">
        <f>IF('RPT3'!$J924="","",'RPT3'!$J924)</f>
        <v>39344.919721647282</v>
      </c>
      <c r="N924" s="29">
        <f>IF('RPT4'!$J924="","",'RPT4'!$J924)</f>
        <v>39336.655659243101</v>
      </c>
    </row>
    <row r="925" spans="1:14" x14ac:dyDescent="0.35">
      <c r="A925" s="16" t="s">
        <v>900</v>
      </c>
      <c r="B925" s="2"/>
      <c r="C925" s="28">
        <f t="shared" si="52"/>
        <v>45223.11330349309</v>
      </c>
      <c r="D925" s="2"/>
      <c r="E925" s="4"/>
      <c r="F925" s="2"/>
      <c r="G925" s="28">
        <f t="shared" si="53"/>
        <v>45223.11330349309</v>
      </c>
      <c r="H925" s="2"/>
      <c r="I925" s="4"/>
      <c r="J925" s="2"/>
      <c r="K925" s="29">
        <f>IF('RPT1'!$J925="","",'RPT1'!$J925)</f>
        <v>0</v>
      </c>
      <c r="L925" s="29">
        <f>IF('RPT2'!$J925="","",'RPT2'!$J925)</f>
        <v>0</v>
      </c>
      <c r="M925" s="29">
        <f>IF('RPT3'!$J925="","",'RPT3'!$J925)</f>
        <v>22617.12592717569</v>
      </c>
      <c r="N925" s="29">
        <f>IF('RPT4'!$J925="","",'RPT4'!$J925)</f>
        <v>22605.9873763174</v>
      </c>
    </row>
    <row r="926" spans="1:14" x14ac:dyDescent="0.35">
      <c r="A926" s="16" t="s">
        <v>901</v>
      </c>
      <c r="B926" s="2"/>
      <c r="C926" s="28">
        <f t="shared" si="52"/>
        <v>21482.699457876639</v>
      </c>
      <c r="D926" s="2"/>
      <c r="E926" s="4"/>
      <c r="F926" s="2"/>
      <c r="G926" s="28">
        <f t="shared" si="53"/>
        <v>21482.699457876639</v>
      </c>
      <c r="H926" s="2"/>
      <c r="I926" s="4"/>
      <c r="J926" s="2"/>
      <c r="K926" s="29">
        <f>IF('RPT1'!$J926="","",'RPT1'!$J926)</f>
        <v>0</v>
      </c>
      <c r="L926" s="29">
        <f>IF('RPT2'!$J926="","",'RPT2'!$J926)</f>
        <v>0</v>
      </c>
      <c r="M926" s="29">
        <f>IF('RPT3'!$J926="","",'RPT3'!$J926)</f>
        <v>10744.586625568219</v>
      </c>
      <c r="N926" s="29">
        <f>IF('RPT4'!$J926="","",'RPT4'!$J926)</f>
        <v>10738.112832308419</v>
      </c>
    </row>
    <row r="927" spans="1:14" x14ac:dyDescent="0.35">
      <c r="A927" s="16" t="s">
        <v>902</v>
      </c>
      <c r="B927" s="2"/>
      <c r="C927" s="28">
        <f t="shared" si="52"/>
        <v>20535.456149964069</v>
      </c>
      <c r="D927" s="2"/>
      <c r="E927" s="4"/>
      <c r="F927" s="2"/>
      <c r="G927" s="28">
        <f t="shared" si="53"/>
        <v>20535.456149964069</v>
      </c>
      <c r="H927" s="2"/>
      <c r="I927" s="4"/>
      <c r="J927" s="2"/>
      <c r="K927" s="29">
        <f>IF('RPT1'!$J927="","",'RPT1'!$J927)</f>
        <v>0</v>
      </c>
      <c r="L927" s="29">
        <f>IF('RPT2'!$J927="","",'RPT2'!$J927)</f>
        <v>0</v>
      </c>
      <c r="M927" s="29">
        <f>IF('RPT3'!$J927="","",'RPT3'!$J927)</f>
        <v>10271.5303851795</v>
      </c>
      <c r="N927" s="29">
        <f>IF('RPT4'!$J927="","",'RPT4'!$J927)</f>
        <v>10263.92576478457</v>
      </c>
    </row>
    <row r="928" spans="1:14" x14ac:dyDescent="0.35">
      <c r="A928" s="16" t="s">
        <v>903</v>
      </c>
      <c r="B928" s="2"/>
      <c r="C928" s="28">
        <f t="shared" si="52"/>
        <v>21231.995479242927</v>
      </c>
      <c r="D928" s="2"/>
      <c r="E928" s="4"/>
      <c r="F928" s="2"/>
      <c r="G928" s="28">
        <f t="shared" si="53"/>
        <v>21231.995479242927</v>
      </c>
      <c r="H928" s="2"/>
      <c r="I928" s="4"/>
      <c r="J928" s="2"/>
      <c r="K928" s="29">
        <f>IF('RPT1'!$J928="","",'RPT1'!$J928)</f>
        <v>0</v>
      </c>
      <c r="L928" s="29">
        <f>IF('RPT2'!$J928="","",'RPT2'!$J928)</f>
        <v>0</v>
      </c>
      <c r="M928" s="29">
        <f>IF('RPT3'!$J928="","",'RPT3'!$J928)</f>
        <v>10621.207539168799</v>
      </c>
      <c r="N928" s="29">
        <f>IF('RPT4'!$J928="","",'RPT4'!$J928)</f>
        <v>10610.787940074129</v>
      </c>
    </row>
    <row r="929" spans="1:14" x14ac:dyDescent="0.35">
      <c r="A929" s="16" t="s">
        <v>904</v>
      </c>
      <c r="B929" s="2"/>
      <c r="C929" s="28">
        <f t="shared" si="52"/>
        <v>0</v>
      </c>
      <c r="D929" s="2"/>
      <c r="E929" s="4"/>
      <c r="F929" s="2"/>
      <c r="G929" s="28">
        <f t="shared" si="53"/>
        <v>0</v>
      </c>
      <c r="H929" s="2"/>
      <c r="I929" s="4"/>
      <c r="J929" s="2"/>
      <c r="K929" s="29">
        <f>IF('RPT1'!$J929="","",'RPT1'!$J929)</f>
        <v>0</v>
      </c>
      <c r="L929" s="29">
        <f>IF('RPT2'!$J929="","",'RPT2'!$J929)</f>
        <v>0</v>
      </c>
      <c r="M929" s="29">
        <f>IF('RPT3'!$J929="","",'RPT3'!$J929)</f>
        <v>0</v>
      </c>
      <c r="N929" s="29">
        <f>IF('RPT4'!$J929="","",'RPT4'!$J929)</f>
        <v>0</v>
      </c>
    </row>
    <row r="930" spans="1:14" x14ac:dyDescent="0.35">
      <c r="A930" s="16" t="s">
        <v>905</v>
      </c>
      <c r="B930" s="2"/>
      <c r="C930" s="28">
        <f t="shared" si="52"/>
        <v>0</v>
      </c>
      <c r="D930" s="2"/>
      <c r="E930" s="4"/>
      <c r="F930" s="2"/>
      <c r="G930" s="28">
        <f t="shared" si="53"/>
        <v>0</v>
      </c>
      <c r="H930" s="2"/>
      <c r="I930" s="4"/>
      <c r="J930" s="2"/>
      <c r="K930" s="29">
        <f>IF('RPT1'!$J930="","",'RPT1'!$J930)</f>
        <v>0</v>
      </c>
      <c r="L930" s="29">
        <f>IF('RPT2'!$J930="","",'RPT2'!$J930)</f>
        <v>0</v>
      </c>
      <c r="M930" s="29">
        <f>IF('RPT3'!$J930="","",'RPT3'!$J930)</f>
        <v>0</v>
      </c>
      <c r="N930" s="29">
        <f>IF('RPT4'!$J930="","",'RPT4'!$J930)</f>
        <v>0</v>
      </c>
    </row>
    <row r="931" spans="1:14" x14ac:dyDescent="0.35">
      <c r="A931" s="16" t="s">
        <v>906</v>
      </c>
      <c r="B931" s="2"/>
      <c r="C931" s="28">
        <f t="shared" si="52"/>
        <v>0</v>
      </c>
      <c r="D931" s="2"/>
      <c r="E931" s="4"/>
      <c r="F931" s="2"/>
      <c r="G931" s="28">
        <f t="shared" si="53"/>
        <v>0</v>
      </c>
      <c r="H931" s="2"/>
      <c r="I931" s="4"/>
      <c r="J931" s="2"/>
      <c r="K931" s="29">
        <f>IF('RPT1'!$J931="","",'RPT1'!$J931)</f>
        <v>0</v>
      </c>
      <c r="L931" s="29">
        <f>IF('RPT2'!$J931="","",'RPT2'!$J931)</f>
        <v>0</v>
      </c>
      <c r="M931" s="29">
        <f>IF('RPT3'!$J931="","",'RPT3'!$J931)</f>
        <v>0</v>
      </c>
      <c r="N931" s="29">
        <f>IF('RPT4'!$J931="","",'RPT4'!$J931)</f>
        <v>0</v>
      </c>
    </row>
    <row r="932" spans="1:14" x14ac:dyDescent="0.35">
      <c r="A932" s="16" t="s">
        <v>907</v>
      </c>
      <c r="B932" s="2"/>
      <c r="C932" s="28">
        <f t="shared" si="52"/>
        <v>0</v>
      </c>
      <c r="D932" s="2"/>
      <c r="E932" s="4"/>
      <c r="F932" s="2"/>
      <c r="G932" s="28">
        <f t="shared" si="53"/>
        <v>0</v>
      </c>
      <c r="H932" s="2"/>
      <c r="I932" s="4"/>
      <c r="J932" s="2"/>
      <c r="K932" s="29">
        <f>IF('RPT1'!$J932="","",'RPT1'!$J932)</f>
        <v>0</v>
      </c>
      <c r="L932" s="29">
        <f>IF('RPT2'!$J932="","",'RPT2'!$J932)</f>
        <v>0</v>
      </c>
      <c r="M932" s="29">
        <f>IF('RPT3'!$J932="","",'RPT3'!$J932)</f>
        <v>0</v>
      </c>
      <c r="N932" s="29">
        <f>IF('RPT4'!$J932="","",'RPT4'!$J932)</f>
        <v>0</v>
      </c>
    </row>
    <row r="933" spans="1:14" x14ac:dyDescent="0.35">
      <c r="A933" s="16" t="s">
        <v>908</v>
      </c>
      <c r="B933" s="2"/>
      <c r="C933" s="28">
        <f t="shared" si="52"/>
        <v>0</v>
      </c>
      <c r="D933" s="2"/>
      <c r="E933" s="4"/>
      <c r="F933" s="2"/>
      <c r="G933" s="28">
        <f t="shared" si="53"/>
        <v>0</v>
      </c>
      <c r="H933" s="2"/>
      <c r="I933" s="4"/>
      <c r="J933" s="2"/>
      <c r="K933" s="29">
        <f>IF('RPT1'!$J933="","",'RPT1'!$J933)</f>
        <v>0</v>
      </c>
      <c r="L933" s="29">
        <f>IF('RPT2'!$J933="","",'RPT2'!$J933)</f>
        <v>0</v>
      </c>
      <c r="M933" s="29">
        <f>IF('RPT3'!$J933="","",'RPT3'!$J933)</f>
        <v>0</v>
      </c>
      <c r="N933" s="29">
        <f>IF('RPT4'!$J933="","",'RPT4'!$J933)</f>
        <v>0</v>
      </c>
    </row>
    <row r="934" spans="1:14" x14ac:dyDescent="0.35">
      <c r="A934" s="16" t="s">
        <v>909</v>
      </c>
      <c r="B934" s="2"/>
      <c r="C934" s="28">
        <f t="shared" si="52"/>
        <v>39108.003803848238</v>
      </c>
      <c r="D934" s="2"/>
      <c r="E934" s="4"/>
      <c r="F934" s="2"/>
      <c r="G934" s="28">
        <f t="shared" si="53"/>
        <v>39108.003803848238</v>
      </c>
      <c r="H934" s="2"/>
      <c r="I934" s="4"/>
      <c r="J934" s="2"/>
      <c r="K934" s="29">
        <f>IF('RPT1'!$J934="","",'RPT1'!$J934)</f>
        <v>0</v>
      </c>
      <c r="L934" s="29">
        <f>IF('RPT2'!$J934="","",'RPT2'!$J934)</f>
        <v>0</v>
      </c>
      <c r="M934" s="29">
        <f>IF('RPT3'!$J934="","",'RPT3'!$J934)</f>
        <v>19556.855351383008</v>
      </c>
      <c r="N934" s="29">
        <f>IF('RPT4'!$J934="","",'RPT4'!$J934)</f>
        <v>19551.14845246523</v>
      </c>
    </row>
    <row r="935" spans="1:14" x14ac:dyDescent="0.35">
      <c r="A935" s="16" t="s">
        <v>910</v>
      </c>
      <c r="B935" s="2"/>
      <c r="C935" s="28">
        <f t="shared" si="52"/>
        <v>42418.802229231631</v>
      </c>
      <c r="D935" s="2"/>
      <c r="E935" s="4"/>
      <c r="F935" s="2"/>
      <c r="G935" s="28">
        <f t="shared" si="53"/>
        <v>42418.802229231631</v>
      </c>
      <c r="H935" s="2"/>
      <c r="I935" s="4"/>
      <c r="J935" s="2"/>
      <c r="K935" s="29">
        <f>IF('RPT1'!$J935="","",'RPT1'!$J935)</f>
        <v>0</v>
      </c>
      <c r="L935" s="29">
        <f>IF('RPT2'!$J935="","",'RPT2'!$J935)</f>
        <v>0</v>
      </c>
      <c r="M935" s="29">
        <f>IF('RPT3'!$J935="","",'RPT3'!$J935)</f>
        <v>21216.68027141827</v>
      </c>
      <c r="N935" s="29">
        <f>IF('RPT4'!$J935="","",'RPT4'!$J935)</f>
        <v>21202.12195781336</v>
      </c>
    </row>
    <row r="936" spans="1:14" x14ac:dyDescent="0.35">
      <c r="A936" s="16" t="s">
        <v>911</v>
      </c>
      <c r="B936" s="2"/>
      <c r="C936" s="28">
        <f t="shared" si="52"/>
        <v>46483.470744196049</v>
      </c>
      <c r="D936" s="2"/>
      <c r="E936" s="4"/>
      <c r="F936" s="2"/>
      <c r="G936" s="28">
        <f t="shared" si="53"/>
        <v>46483.470744196049</v>
      </c>
      <c r="H936" s="2"/>
      <c r="I936" s="4"/>
      <c r="J936" s="2"/>
      <c r="K936" s="29">
        <f>IF('RPT1'!$J936="","",'RPT1'!$J936)</f>
        <v>0</v>
      </c>
      <c r="L936" s="29">
        <f>IF('RPT2'!$J936="","",'RPT2'!$J936)</f>
        <v>0</v>
      </c>
      <c r="M936" s="29">
        <f>IF('RPT3'!$J936="","",'RPT3'!$J936)</f>
        <v>23264.244540605989</v>
      </c>
      <c r="N936" s="29">
        <f>IF('RPT4'!$J936="","",'RPT4'!$J936)</f>
        <v>23219.22620359006</v>
      </c>
    </row>
    <row r="937" spans="1:14" x14ac:dyDescent="0.35">
      <c r="A937" s="16" t="s">
        <v>912</v>
      </c>
      <c r="B937" s="2"/>
      <c r="C937" s="28">
        <f t="shared" si="52"/>
        <v>50030.536349034883</v>
      </c>
      <c r="D937" s="2"/>
      <c r="E937" s="4"/>
      <c r="F937" s="2"/>
      <c r="G937" s="28">
        <f t="shared" si="53"/>
        <v>50030.536349034883</v>
      </c>
      <c r="H937" s="2"/>
      <c r="I937" s="4"/>
      <c r="J937" s="2"/>
      <c r="K937" s="29">
        <f>IF('RPT1'!$J937="","",'RPT1'!$J937)</f>
        <v>0</v>
      </c>
      <c r="L937" s="29">
        <f>IF('RPT2'!$J937="","",'RPT2'!$J937)</f>
        <v>0</v>
      </c>
      <c r="M937" s="29">
        <f>IF('RPT3'!$J937="","",'RPT3'!$J937)</f>
        <v>25046.492724702261</v>
      </c>
      <c r="N937" s="29">
        <f>IF('RPT4'!$J937="","",'RPT4'!$J937)</f>
        <v>24984.043624332618</v>
      </c>
    </row>
    <row r="938" spans="1:14" x14ac:dyDescent="0.35">
      <c r="A938" s="16" t="s">
        <v>913</v>
      </c>
      <c r="B938" s="2"/>
      <c r="C938" s="28">
        <f t="shared" si="52"/>
        <v>53663.62704991005</v>
      </c>
      <c r="D938" s="2"/>
      <c r="E938" s="4"/>
      <c r="F938" s="2"/>
      <c r="G938" s="28">
        <f t="shared" si="53"/>
        <v>53663.62704991005</v>
      </c>
      <c r="H938" s="2"/>
      <c r="I938" s="4"/>
      <c r="J938" s="2"/>
      <c r="K938" s="29">
        <f>IF('RPT1'!$J938="","",'RPT1'!$J938)</f>
        <v>0</v>
      </c>
      <c r="L938" s="29">
        <f>IF('RPT2'!$J938="","",'RPT2'!$J938)</f>
        <v>0</v>
      </c>
      <c r="M938" s="29">
        <f>IF('RPT3'!$J938="","",'RPT3'!$J938)</f>
        <v>26870.971733787621</v>
      </c>
      <c r="N938" s="29">
        <f>IF('RPT4'!$J938="","",'RPT4'!$J938)</f>
        <v>26792.655316122429</v>
      </c>
    </row>
    <row r="939" spans="1:14" x14ac:dyDescent="0.35">
      <c r="A939" s="16" t="s">
        <v>914</v>
      </c>
      <c r="B939" s="2"/>
      <c r="C939" s="28">
        <f t="shared" si="52"/>
        <v>0</v>
      </c>
      <c r="D939" s="2"/>
      <c r="E939" s="4"/>
      <c r="F939" s="2"/>
      <c r="G939" s="28">
        <f t="shared" si="53"/>
        <v>0</v>
      </c>
      <c r="H939" s="2"/>
      <c r="I939" s="4"/>
      <c r="J939" s="2"/>
      <c r="K939" s="29">
        <f>IF('RPT1'!$J939="","",'RPT1'!$J939)</f>
        <v>0</v>
      </c>
      <c r="L939" s="29">
        <f>IF('RPT2'!$J939="","",'RPT2'!$J939)</f>
        <v>0</v>
      </c>
      <c r="M939" s="29">
        <f>IF('RPT3'!$J939="","",'RPT3'!$J939)</f>
        <v>0</v>
      </c>
      <c r="N939" s="29">
        <f>IF('RPT4'!$J939="","",'RPT4'!$J939)</f>
        <v>0</v>
      </c>
    </row>
    <row r="940" spans="1:14" x14ac:dyDescent="0.35">
      <c r="A940" s="16" t="s">
        <v>915</v>
      </c>
      <c r="B940" s="2"/>
      <c r="C940" s="28">
        <f t="shared" si="52"/>
        <v>0</v>
      </c>
      <c r="D940" s="2"/>
      <c r="E940" s="4"/>
      <c r="F940" s="2"/>
      <c r="G940" s="28">
        <f t="shared" si="53"/>
        <v>0</v>
      </c>
      <c r="H940" s="2"/>
      <c r="I940" s="4"/>
      <c r="J940" s="2"/>
      <c r="K940" s="29">
        <f>IF('RPT1'!$J940="","",'RPT1'!$J940)</f>
        <v>0</v>
      </c>
      <c r="L940" s="29">
        <f>IF('RPT2'!$J940="","",'RPT2'!$J940)</f>
        <v>0</v>
      </c>
      <c r="M940" s="29">
        <f>IF('RPT3'!$J940="","",'RPT3'!$J940)</f>
        <v>0</v>
      </c>
      <c r="N940" s="29">
        <f>IF('RPT4'!$J940="","",'RPT4'!$J940)</f>
        <v>0</v>
      </c>
    </row>
    <row r="941" spans="1:14" x14ac:dyDescent="0.35">
      <c r="A941" s="16" t="s">
        <v>916</v>
      </c>
      <c r="B941" s="2"/>
      <c r="C941" s="28">
        <f t="shared" si="52"/>
        <v>0</v>
      </c>
      <c r="D941" s="2"/>
      <c r="E941" s="4"/>
      <c r="F941" s="2"/>
      <c r="G941" s="28">
        <f t="shared" si="53"/>
        <v>0</v>
      </c>
      <c r="H941" s="2"/>
      <c r="I941" s="4"/>
      <c r="J941" s="2"/>
      <c r="K941" s="29">
        <f>IF('RPT1'!$J941="","",'RPT1'!$J941)</f>
        <v>0</v>
      </c>
      <c r="L941" s="29">
        <f>IF('RPT2'!$J941="","",'RPT2'!$J941)</f>
        <v>0</v>
      </c>
      <c r="M941" s="29">
        <f>IF('RPT3'!$J941="","",'RPT3'!$J941)</f>
        <v>0</v>
      </c>
      <c r="N941" s="29">
        <f>IF('RPT4'!$J941="","",'RPT4'!$J941)</f>
        <v>0</v>
      </c>
    </row>
    <row r="942" spans="1:14" x14ac:dyDescent="0.35">
      <c r="A942" s="16" t="s">
        <v>917</v>
      </c>
      <c r="B942" s="2"/>
      <c r="C942" s="28">
        <f t="shared" si="52"/>
        <v>0</v>
      </c>
      <c r="D942" s="2"/>
      <c r="E942" s="4"/>
      <c r="F942" s="2"/>
      <c r="G942" s="28">
        <f t="shared" si="53"/>
        <v>0</v>
      </c>
      <c r="H942" s="2"/>
      <c r="I942" s="4"/>
      <c r="J942" s="2"/>
      <c r="K942" s="29">
        <f>IF('RPT1'!$J942="","",'RPT1'!$J942)</f>
        <v>0</v>
      </c>
      <c r="L942" s="29">
        <f>IF('RPT2'!$J942="","",'RPT2'!$J942)</f>
        <v>0</v>
      </c>
      <c r="M942" s="29">
        <f>IF('RPT3'!$J942="","",'RPT3'!$J942)</f>
        <v>0</v>
      </c>
      <c r="N942" s="29">
        <f>IF('RPT4'!$J942="","",'RPT4'!$J942)</f>
        <v>0</v>
      </c>
    </row>
    <row r="943" spans="1:14" x14ac:dyDescent="0.35">
      <c r="A943" s="16" t="s">
        <v>918</v>
      </c>
      <c r="B943" s="2"/>
      <c r="C943" s="35">
        <f t="shared" si="52"/>
        <v>0</v>
      </c>
      <c r="D943" s="2"/>
      <c r="E943" s="4"/>
      <c r="F943" s="2"/>
      <c r="G943" s="28">
        <f t="shared" si="53"/>
        <v>0</v>
      </c>
      <c r="H943" s="2"/>
      <c r="I943" s="4"/>
      <c r="J943" s="2"/>
      <c r="K943" s="29">
        <f>IF('RPT1'!$J943="","",'RPT1'!$J943)</f>
        <v>0</v>
      </c>
      <c r="L943" s="29">
        <f>IF('RPT2'!$J943="","",'RPT2'!$J943)</f>
        <v>0</v>
      </c>
      <c r="M943" s="29">
        <f>IF('RPT3'!$J943="","",'RPT3'!$J943)</f>
        <v>0</v>
      </c>
      <c r="N943" s="29">
        <f>IF('RPT4'!$J943="","",'RPT4'!$J943)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t="s">
        <v>919</v>
      </c>
    </row>
    <row r="2" spans="1:1" x14ac:dyDescent="0.35">
      <c r="A2" t="s">
        <v>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"/>
  <sheetViews>
    <sheetView workbookViewId="0"/>
  </sheetViews>
  <sheetFormatPr defaultRowHeight="14.5" x14ac:dyDescent="0.35"/>
  <sheetData>
    <row r="5" spans="2:2" x14ac:dyDescent="0.35">
      <c r="B5" s="36">
        <v>46276.471163157803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8:J943"/>
  <sheetViews>
    <sheetView workbookViewId="0"/>
  </sheetViews>
  <sheetFormatPr defaultRowHeight="14.5" x14ac:dyDescent="0.35"/>
  <sheetData>
    <row r="8" spans="10:10" x14ac:dyDescent="0.35">
      <c r="J8" t="s">
        <v>920</v>
      </c>
    </row>
    <row r="9" spans="10:10" x14ac:dyDescent="0.35">
      <c r="J9" t="s">
        <v>921</v>
      </c>
    </row>
    <row r="10" spans="10:10" x14ac:dyDescent="0.35">
      <c r="J10" t="s">
        <v>922</v>
      </c>
    </row>
    <row r="11" spans="10:10" x14ac:dyDescent="0.35">
      <c r="J11" t="s">
        <v>923</v>
      </c>
    </row>
    <row r="12" spans="10:10" x14ac:dyDescent="0.35">
      <c r="J12" t="s">
        <v>924</v>
      </c>
    </row>
    <row r="13" spans="10:10" x14ac:dyDescent="0.35">
      <c r="J13" t="s">
        <v>925</v>
      </c>
    </row>
    <row r="14" spans="10:10" x14ac:dyDescent="0.35">
      <c r="J14" t="s">
        <v>926</v>
      </c>
    </row>
    <row r="15" spans="10:10" x14ac:dyDescent="0.35">
      <c r="J15" t="s">
        <v>927</v>
      </c>
    </row>
    <row r="16" spans="10:10" x14ac:dyDescent="0.35">
      <c r="J16" t="s">
        <v>928</v>
      </c>
    </row>
    <row r="17" spans="10:10" x14ac:dyDescent="0.35">
      <c r="J17" t="s">
        <v>929</v>
      </c>
    </row>
    <row r="18" spans="10:10" x14ac:dyDescent="0.35">
      <c r="J18" t="s">
        <v>930</v>
      </c>
    </row>
    <row r="19" spans="10:10" x14ac:dyDescent="0.35">
      <c r="J19" t="s">
        <v>931</v>
      </c>
    </row>
    <row r="20" spans="10:10" x14ac:dyDescent="0.35">
      <c r="J20" t="s">
        <v>932</v>
      </c>
    </row>
    <row r="21" spans="10:10" x14ac:dyDescent="0.35">
      <c r="J21" t="s">
        <v>933</v>
      </c>
    </row>
    <row r="22" spans="10:10" x14ac:dyDescent="0.35">
      <c r="J22" t="s">
        <v>934</v>
      </c>
    </row>
    <row r="23" spans="10:10" x14ac:dyDescent="0.35">
      <c r="J23" t="s">
        <v>934</v>
      </c>
    </row>
    <row r="24" spans="10:10" x14ac:dyDescent="0.35">
      <c r="J24" t="s">
        <v>934</v>
      </c>
    </row>
    <row r="25" spans="10:10" x14ac:dyDescent="0.35">
      <c r="J25" t="s">
        <v>934</v>
      </c>
    </row>
    <row r="26" spans="10:10" x14ac:dyDescent="0.35">
      <c r="J26" t="s">
        <v>934</v>
      </c>
    </row>
    <row r="27" spans="10:10" x14ac:dyDescent="0.35">
      <c r="J27" t="s">
        <v>934</v>
      </c>
    </row>
    <row r="28" spans="10:10" x14ac:dyDescent="0.35">
      <c r="J28" t="s">
        <v>934</v>
      </c>
    </row>
    <row r="29" spans="10:10" x14ac:dyDescent="0.35">
      <c r="J29" t="s">
        <v>934</v>
      </c>
    </row>
    <row r="30" spans="10:10" x14ac:dyDescent="0.35">
      <c r="J30" t="s">
        <v>934</v>
      </c>
    </row>
    <row r="31" spans="10:10" x14ac:dyDescent="0.35">
      <c r="J31" t="s">
        <v>934</v>
      </c>
    </row>
    <row r="32" spans="10:10" x14ac:dyDescent="0.35">
      <c r="J32" t="s">
        <v>934</v>
      </c>
    </row>
    <row r="33" spans="10:10" x14ac:dyDescent="0.35">
      <c r="J33" t="s">
        <v>934</v>
      </c>
    </row>
    <row r="34" spans="10:10" x14ac:dyDescent="0.35">
      <c r="J34" t="s">
        <v>934</v>
      </c>
    </row>
    <row r="35" spans="10:10" x14ac:dyDescent="0.35">
      <c r="J35" t="s">
        <v>934</v>
      </c>
    </row>
    <row r="36" spans="10:10" x14ac:dyDescent="0.35">
      <c r="J36" t="s">
        <v>934</v>
      </c>
    </row>
    <row r="37" spans="10:10" x14ac:dyDescent="0.35">
      <c r="J37" t="s">
        <v>934</v>
      </c>
    </row>
    <row r="38" spans="10:10" x14ac:dyDescent="0.35">
      <c r="J38" t="s">
        <v>922</v>
      </c>
    </row>
    <row r="39" spans="10:10" x14ac:dyDescent="0.35">
      <c r="J39" t="s">
        <v>922</v>
      </c>
    </row>
    <row r="40" spans="10:10" x14ac:dyDescent="0.35">
      <c r="J40" t="s">
        <v>935</v>
      </c>
    </row>
    <row r="41" spans="10:10" x14ac:dyDescent="0.35">
      <c r="J41" t="s">
        <v>936</v>
      </c>
    </row>
    <row r="42" spans="10:10" x14ac:dyDescent="0.35">
      <c r="J42" t="s">
        <v>936</v>
      </c>
    </row>
    <row r="43" spans="10:10" x14ac:dyDescent="0.35">
      <c r="J43" t="s">
        <v>937</v>
      </c>
    </row>
    <row r="44" spans="10:10" x14ac:dyDescent="0.35">
      <c r="J44" t="s">
        <v>937</v>
      </c>
    </row>
    <row r="45" spans="10:10" x14ac:dyDescent="0.35">
      <c r="J45" t="s">
        <v>937</v>
      </c>
    </row>
    <row r="46" spans="10:10" x14ac:dyDescent="0.35">
      <c r="J46" t="s">
        <v>936</v>
      </c>
    </row>
    <row r="47" spans="10:10" x14ac:dyDescent="0.35">
      <c r="J47" t="s">
        <v>936</v>
      </c>
    </row>
    <row r="50" spans="10:10" x14ac:dyDescent="0.35">
      <c r="J50" t="s">
        <v>922</v>
      </c>
    </row>
    <row r="51" spans="10:10" x14ac:dyDescent="0.35">
      <c r="J51" t="s">
        <v>922</v>
      </c>
    </row>
    <row r="52" spans="10:10" x14ac:dyDescent="0.35">
      <c r="J52">
        <v>0</v>
      </c>
    </row>
    <row r="53" spans="10:10" x14ac:dyDescent="0.35">
      <c r="J53">
        <v>0</v>
      </c>
    </row>
    <row r="54" spans="10:10" x14ac:dyDescent="0.35">
      <c r="J54" t="s">
        <v>938</v>
      </c>
    </row>
    <row r="55" spans="10:10" x14ac:dyDescent="0.35">
      <c r="J55" t="s">
        <v>922</v>
      </c>
    </row>
    <row r="58" spans="10:10" x14ac:dyDescent="0.35">
      <c r="J58" t="s">
        <v>939</v>
      </c>
    </row>
    <row r="59" spans="10:10" x14ac:dyDescent="0.35">
      <c r="J59" t="s">
        <v>939</v>
      </c>
    </row>
    <row r="60" spans="10:10" x14ac:dyDescent="0.35">
      <c r="J60" t="s">
        <v>940</v>
      </c>
    </row>
    <row r="61" spans="10:10" x14ac:dyDescent="0.35">
      <c r="J61" t="s">
        <v>941</v>
      </c>
    </row>
    <row r="62" spans="10:10" x14ac:dyDescent="0.35">
      <c r="J62" t="s">
        <v>939</v>
      </c>
    </row>
    <row r="63" spans="10:10" x14ac:dyDescent="0.35">
      <c r="J63" t="s">
        <v>941</v>
      </c>
    </row>
    <row r="64" spans="10:10" x14ac:dyDescent="0.35">
      <c r="J64" t="s">
        <v>941</v>
      </c>
    </row>
    <row r="65" spans="10:10" x14ac:dyDescent="0.35">
      <c r="J65">
        <v>6</v>
      </c>
    </row>
    <row r="66" spans="10:10" x14ac:dyDescent="0.35">
      <c r="J66" t="s">
        <v>941</v>
      </c>
    </row>
    <row r="67" spans="10:10" x14ac:dyDescent="0.35">
      <c r="J67">
        <v>3</v>
      </c>
    </row>
    <row r="68" spans="10:10" x14ac:dyDescent="0.35">
      <c r="J68" t="s">
        <v>942</v>
      </c>
    </row>
    <row r="69" spans="10:10" x14ac:dyDescent="0.35">
      <c r="J69" t="s">
        <v>942</v>
      </c>
    </row>
    <row r="70" spans="10:10" x14ac:dyDescent="0.35">
      <c r="J70" t="s">
        <v>942</v>
      </c>
    </row>
    <row r="71" spans="10:10" x14ac:dyDescent="0.35">
      <c r="J71" t="s">
        <v>942</v>
      </c>
    </row>
    <row r="72" spans="10:10" x14ac:dyDescent="0.35">
      <c r="J72" t="s">
        <v>942</v>
      </c>
    </row>
    <row r="73" spans="10:10" x14ac:dyDescent="0.35">
      <c r="J73" t="s">
        <v>943</v>
      </c>
    </row>
    <row r="74" spans="10:10" x14ac:dyDescent="0.35">
      <c r="J74" t="s">
        <v>944</v>
      </c>
    </row>
    <row r="75" spans="10:10" x14ac:dyDescent="0.35">
      <c r="J75" t="s">
        <v>945</v>
      </c>
    </row>
    <row r="76" spans="10:10" x14ac:dyDescent="0.35">
      <c r="J76" t="s">
        <v>942</v>
      </c>
    </row>
    <row r="77" spans="10:10" x14ac:dyDescent="0.35">
      <c r="J77" t="s">
        <v>922</v>
      </c>
    </row>
    <row r="80" spans="10:10" x14ac:dyDescent="0.35">
      <c r="J80">
        <v>162.0522391983645</v>
      </c>
    </row>
    <row r="81" spans="10:10" x14ac:dyDescent="0.35">
      <c r="J81">
        <v>166.62674038257501</v>
      </c>
    </row>
    <row r="82" spans="10:10" x14ac:dyDescent="0.35">
      <c r="J82">
        <v>168.11825631363121</v>
      </c>
    </row>
    <row r="83" spans="10:10" x14ac:dyDescent="0.35">
      <c r="J83">
        <v>165.8053738212962</v>
      </c>
    </row>
    <row r="84" spans="10:10" x14ac:dyDescent="0.35">
      <c r="J84">
        <v>166.86124816832049</v>
      </c>
    </row>
    <row r="85" spans="10:10" x14ac:dyDescent="0.35">
      <c r="J85">
        <v>16.189462431266509</v>
      </c>
    </row>
    <row r="86" spans="10:10" x14ac:dyDescent="0.35">
      <c r="J86">
        <v>28.022212317690329</v>
      </c>
    </row>
    <row r="87" spans="10:10" x14ac:dyDescent="0.35">
      <c r="J87">
        <v>43.472036806513181</v>
      </c>
    </row>
    <row r="88" spans="10:10" x14ac:dyDescent="0.35">
      <c r="J88">
        <v>55.956752024358188</v>
      </c>
    </row>
    <row r="89" spans="10:10" x14ac:dyDescent="0.35">
      <c r="J89">
        <v>66.911007464142301</v>
      </c>
    </row>
    <row r="90" spans="10:10" x14ac:dyDescent="0.35">
      <c r="J90">
        <v>175.24708663785549</v>
      </c>
    </row>
    <row r="91" spans="10:10" x14ac:dyDescent="0.35">
      <c r="J91">
        <v>163.82883227403821</v>
      </c>
    </row>
    <row r="92" spans="10:10" x14ac:dyDescent="0.35">
      <c r="J92">
        <v>155.50374510817829</v>
      </c>
    </row>
    <row r="93" spans="10:10" x14ac:dyDescent="0.35">
      <c r="J93">
        <v>145.5935215337328</v>
      </c>
    </row>
    <row r="94" spans="10:10" x14ac:dyDescent="0.35">
      <c r="J94">
        <v>136.78731052981911</v>
      </c>
    </row>
    <row r="95" spans="10:10" x14ac:dyDescent="0.35">
      <c r="J95">
        <v>15.425673467044399</v>
      </c>
    </row>
    <row r="96" spans="10:10" x14ac:dyDescent="0.35">
      <c r="J96">
        <v>53.805427761373259</v>
      </c>
    </row>
    <row r="97" spans="10:10" x14ac:dyDescent="0.35">
      <c r="J97">
        <v>96.76650519272296</v>
      </c>
    </row>
    <row r="98" spans="10:10" x14ac:dyDescent="0.35">
      <c r="J98">
        <v>113.3343160610238</v>
      </c>
    </row>
    <row r="99" spans="10:10" x14ac:dyDescent="0.35">
      <c r="J99">
        <v>126.91924339003771</v>
      </c>
    </row>
    <row r="100" spans="10:10" x14ac:dyDescent="0.35">
      <c r="J100">
        <v>93.7359833517325</v>
      </c>
    </row>
    <row r="101" spans="10:10" x14ac:dyDescent="0.35">
      <c r="J101">
        <v>91.468943065692201</v>
      </c>
    </row>
    <row r="102" spans="10:10" x14ac:dyDescent="0.35">
      <c r="J102">
        <v>90.74861518399193</v>
      </c>
    </row>
    <row r="103" spans="10:10" x14ac:dyDescent="0.35">
      <c r="J103">
        <v>89.7537419030038</v>
      </c>
    </row>
    <row r="104" spans="10:10" x14ac:dyDescent="0.35">
      <c r="J104">
        <v>89.297410935111742</v>
      </c>
    </row>
    <row r="105" spans="10:10" x14ac:dyDescent="0.35">
      <c r="J105">
        <v>26.866693656889389</v>
      </c>
    </row>
    <row r="106" spans="10:10" x14ac:dyDescent="0.35">
      <c r="J106">
        <v>49.160663196950267</v>
      </c>
    </row>
    <row r="107" spans="10:10" x14ac:dyDescent="0.35">
      <c r="J107">
        <v>67.201584714750197</v>
      </c>
    </row>
    <row r="108" spans="10:10" x14ac:dyDescent="0.35">
      <c r="J108">
        <v>73.654500181584268</v>
      </c>
    </row>
    <row r="109" spans="10:10" x14ac:dyDescent="0.35">
      <c r="J109">
        <v>78.82682160093151</v>
      </c>
    </row>
    <row r="110" spans="10:10" x14ac:dyDescent="0.35">
      <c r="J110">
        <v>27.779876697843051</v>
      </c>
    </row>
    <row r="111" spans="10:10" x14ac:dyDescent="0.35">
      <c r="J111">
        <v>27.147007739632581</v>
      </c>
    </row>
    <row r="112" spans="10:10" x14ac:dyDescent="0.35">
      <c r="J112">
        <v>21.708675807938441</v>
      </c>
    </row>
    <row r="113" spans="10:10" x14ac:dyDescent="0.35">
      <c r="J113">
        <v>19.172145805199001</v>
      </c>
    </row>
    <row r="114" spans="10:10" x14ac:dyDescent="0.35">
      <c r="J114">
        <v>19.513156123186601</v>
      </c>
    </row>
    <row r="115" spans="10:10" x14ac:dyDescent="0.35">
      <c r="J115">
        <v>5.3810210812372672</v>
      </c>
    </row>
    <row r="116" spans="10:10" x14ac:dyDescent="0.35">
      <c r="J116">
        <v>6.9130782708436183</v>
      </c>
    </row>
    <row r="117" spans="10:10" x14ac:dyDescent="0.35">
      <c r="J117">
        <v>13.451748263923889</v>
      </c>
    </row>
    <row r="118" spans="10:10" x14ac:dyDescent="0.35">
      <c r="J118">
        <v>16.935264214576161</v>
      </c>
    </row>
    <row r="119" spans="10:10" x14ac:dyDescent="0.35">
      <c r="J119">
        <v>17.642379036595269</v>
      </c>
    </row>
    <row r="122" spans="10:10" x14ac:dyDescent="0.35">
      <c r="J122">
        <v>161.973404550769</v>
      </c>
    </row>
    <row r="123" spans="10:10" x14ac:dyDescent="0.35">
      <c r="J123">
        <v>166.54721882731161</v>
      </c>
    </row>
    <row r="124" spans="10:10" x14ac:dyDescent="0.35">
      <c r="J124">
        <v>168.03874860618711</v>
      </c>
    </row>
    <row r="125" spans="10:10" x14ac:dyDescent="0.35">
      <c r="J125">
        <v>165.72544263126619</v>
      </c>
    </row>
    <row r="126" spans="10:10" x14ac:dyDescent="0.35">
      <c r="J126">
        <v>166.78155738901069</v>
      </c>
    </row>
    <row r="127" spans="10:10" x14ac:dyDescent="0.35">
      <c r="J127">
        <v>16.189462431266509</v>
      </c>
    </row>
    <row r="128" spans="10:10" x14ac:dyDescent="0.35">
      <c r="J128">
        <v>28.022212317690329</v>
      </c>
    </row>
    <row r="129" spans="10:10" x14ac:dyDescent="0.35">
      <c r="J129">
        <v>43.472036806513181</v>
      </c>
    </row>
    <row r="130" spans="10:10" x14ac:dyDescent="0.35">
      <c r="J130">
        <v>55.956752024358188</v>
      </c>
    </row>
    <row r="131" spans="10:10" x14ac:dyDescent="0.35">
      <c r="J131">
        <v>66.911007464142301</v>
      </c>
    </row>
    <row r="132" spans="10:10" x14ac:dyDescent="0.35">
      <c r="J132">
        <v>174.59356294542829</v>
      </c>
    </row>
    <row r="133" spans="10:10" x14ac:dyDescent="0.35">
      <c r="J133">
        <v>163.24573080312311</v>
      </c>
    </row>
    <row r="134" spans="10:10" x14ac:dyDescent="0.35">
      <c r="J134">
        <v>154.9285002131497</v>
      </c>
    </row>
    <row r="135" spans="10:10" x14ac:dyDescent="0.35">
      <c r="J135">
        <v>145.03652964861811</v>
      </c>
    </row>
    <row r="136" spans="10:10" x14ac:dyDescent="0.35">
      <c r="J136">
        <v>136.2478741530322</v>
      </c>
    </row>
    <row r="137" spans="10:10" x14ac:dyDescent="0.35">
      <c r="J137">
        <v>15.425673467044399</v>
      </c>
    </row>
    <row r="138" spans="10:10" x14ac:dyDescent="0.35">
      <c r="J138">
        <v>53.805427761373259</v>
      </c>
    </row>
    <row r="139" spans="10:10" x14ac:dyDescent="0.35">
      <c r="J139">
        <v>96.76650519272296</v>
      </c>
    </row>
    <row r="140" spans="10:10" x14ac:dyDescent="0.35">
      <c r="J140">
        <v>113.3343160610238</v>
      </c>
    </row>
    <row r="141" spans="10:10" x14ac:dyDescent="0.35">
      <c r="J141">
        <v>126.91924339003771</v>
      </c>
    </row>
    <row r="142" spans="10:10" x14ac:dyDescent="0.35">
      <c r="J142">
        <v>93.632014386976678</v>
      </c>
    </row>
    <row r="143" spans="10:10" x14ac:dyDescent="0.35">
      <c r="J143">
        <v>91.381001975983168</v>
      </c>
    </row>
    <row r="144" spans="10:10" x14ac:dyDescent="0.35">
      <c r="J144">
        <v>90.660108144168262</v>
      </c>
    </row>
    <row r="145" spans="10:10" x14ac:dyDescent="0.35">
      <c r="J145">
        <v>89.66581719648299</v>
      </c>
    </row>
    <row r="146" spans="10:10" x14ac:dyDescent="0.35">
      <c r="J146">
        <v>89.221021341647813</v>
      </c>
    </row>
    <row r="147" spans="10:10" x14ac:dyDescent="0.35">
      <c r="J147">
        <v>26.866693656889389</v>
      </c>
    </row>
    <row r="148" spans="10:10" x14ac:dyDescent="0.35">
      <c r="J148">
        <v>49.160663196950267</v>
      </c>
    </row>
    <row r="149" spans="10:10" x14ac:dyDescent="0.35">
      <c r="J149">
        <v>67.201584714750197</v>
      </c>
    </row>
    <row r="150" spans="10:10" x14ac:dyDescent="0.35">
      <c r="J150">
        <v>73.654500181584268</v>
      </c>
    </row>
    <row r="151" spans="10:10" x14ac:dyDescent="0.35">
      <c r="J151">
        <v>78.82682160093151</v>
      </c>
    </row>
    <row r="152" spans="10:10" x14ac:dyDescent="0.35">
      <c r="J152">
        <v>27.767378497462811</v>
      </c>
    </row>
    <row r="153" spans="10:10" x14ac:dyDescent="0.35">
      <c r="J153">
        <v>27.134167117871112</v>
      </c>
    </row>
    <row r="154" spans="10:10" x14ac:dyDescent="0.35">
      <c r="J154">
        <v>21.695408808566359</v>
      </c>
    </row>
    <row r="155" spans="10:10" x14ac:dyDescent="0.35">
      <c r="J155">
        <v>19.158569603577739</v>
      </c>
    </row>
    <row r="156" spans="10:10" x14ac:dyDescent="0.35">
      <c r="J156">
        <v>19.499276459042349</v>
      </c>
    </row>
    <row r="157" spans="10:10" x14ac:dyDescent="0.35">
      <c r="J157">
        <v>5.3810210812372672</v>
      </c>
    </row>
    <row r="158" spans="10:10" x14ac:dyDescent="0.35">
      <c r="J158">
        <v>6.9130782708436183</v>
      </c>
    </row>
    <row r="159" spans="10:10" x14ac:dyDescent="0.35">
      <c r="J159">
        <v>13.451748263923889</v>
      </c>
    </row>
    <row r="160" spans="10:10" x14ac:dyDescent="0.35">
      <c r="J160">
        <v>16.935264214576161</v>
      </c>
    </row>
    <row r="161" spans="10:10" x14ac:dyDescent="0.35">
      <c r="J161">
        <v>17.642379036595269</v>
      </c>
    </row>
    <row r="164" spans="10:10" x14ac:dyDescent="0.35">
      <c r="J164">
        <v>1142.258780966868</v>
      </c>
    </row>
    <row r="165" spans="10:10" x14ac:dyDescent="0.35">
      <c r="J165">
        <v>1260.202312807553</v>
      </c>
    </row>
    <row r="166" spans="10:10" x14ac:dyDescent="0.35">
      <c r="J166">
        <v>1393.3715987279829</v>
      </c>
    </row>
    <row r="167" spans="10:10" x14ac:dyDescent="0.35">
      <c r="J167">
        <v>1573.5443240034019</v>
      </c>
    </row>
    <row r="168" spans="10:10" x14ac:dyDescent="0.35">
      <c r="J168">
        <v>1710.0301917894069</v>
      </c>
    </row>
    <row r="169" spans="10:10" x14ac:dyDescent="0.35">
      <c r="J169">
        <v>1641.4338307438461</v>
      </c>
    </row>
    <row r="170" spans="10:10" x14ac:dyDescent="0.35">
      <c r="J170">
        <v>1741.5715035000071</v>
      </c>
    </row>
    <row r="171" spans="10:10" x14ac:dyDescent="0.35">
      <c r="J171">
        <v>1681.2776035570771</v>
      </c>
    </row>
    <row r="172" spans="10:10" x14ac:dyDescent="0.35">
      <c r="J172">
        <v>1555.1807368526461</v>
      </c>
    </row>
    <row r="173" spans="10:10" x14ac:dyDescent="0.35">
      <c r="J173">
        <v>1643.589276722247</v>
      </c>
    </row>
    <row r="174" spans="10:10" x14ac:dyDescent="0.35">
      <c r="J174">
        <v>654.23585148319739</v>
      </c>
    </row>
    <row r="175" spans="10:10" x14ac:dyDescent="0.35">
      <c r="J175">
        <v>693.99322280199135</v>
      </c>
    </row>
    <row r="176" spans="10:10" x14ac:dyDescent="0.35">
      <c r="J176">
        <v>741.20954989883899</v>
      </c>
    </row>
    <row r="177" spans="10:10" x14ac:dyDescent="0.35">
      <c r="J177">
        <v>766.52080445336958</v>
      </c>
    </row>
    <row r="178" spans="10:10" x14ac:dyDescent="0.35">
      <c r="J178">
        <v>804.30804355294526</v>
      </c>
    </row>
    <row r="179" spans="10:10" x14ac:dyDescent="0.35">
      <c r="J179">
        <v>588.37462685936771</v>
      </c>
    </row>
    <row r="180" spans="10:10" x14ac:dyDescent="0.35">
      <c r="J180">
        <v>633.75468942277928</v>
      </c>
    </row>
    <row r="181" spans="10:10" x14ac:dyDescent="0.35">
      <c r="J181">
        <v>637.74857056454766</v>
      </c>
    </row>
    <row r="182" spans="10:10" x14ac:dyDescent="0.35">
      <c r="J182">
        <v>672.99993857016716</v>
      </c>
    </row>
    <row r="183" spans="10:10" x14ac:dyDescent="0.35">
      <c r="J183">
        <v>697.11632773592612</v>
      </c>
    </row>
    <row r="184" spans="10:10" x14ac:dyDescent="0.35">
      <c r="J184">
        <v>1713.2257833791989</v>
      </c>
    </row>
    <row r="185" spans="10:10" x14ac:dyDescent="0.35">
      <c r="J185">
        <v>1804.555331151822</v>
      </c>
    </row>
    <row r="186" spans="10:10" x14ac:dyDescent="0.35">
      <c r="J186">
        <v>1896.2056580419739</v>
      </c>
    </row>
    <row r="187" spans="10:10" x14ac:dyDescent="0.35">
      <c r="J187">
        <v>1998.5806931215529</v>
      </c>
    </row>
    <row r="188" spans="10:10" x14ac:dyDescent="0.35">
      <c r="J188">
        <v>2107.8918156060431</v>
      </c>
    </row>
    <row r="189" spans="10:10" x14ac:dyDescent="0.35">
      <c r="J189">
        <v>1635.517697833116</v>
      </c>
    </row>
    <row r="190" spans="10:10" x14ac:dyDescent="0.35">
      <c r="J190">
        <v>1816.502530221657</v>
      </c>
    </row>
    <row r="191" spans="10:10" x14ac:dyDescent="0.35">
      <c r="J191">
        <v>1896.257077346366</v>
      </c>
    </row>
    <row r="192" spans="10:10" x14ac:dyDescent="0.35">
      <c r="J192">
        <v>1944.2703893991811</v>
      </c>
    </row>
    <row r="193" spans="10:10" x14ac:dyDescent="0.35">
      <c r="J193">
        <v>1996.685743610652</v>
      </c>
    </row>
    <row r="194" spans="10:10" x14ac:dyDescent="0.35">
      <c r="J194">
        <v>21698.11674868604</v>
      </c>
    </row>
    <row r="195" spans="10:10" x14ac:dyDescent="0.35">
      <c r="J195">
        <v>20623.105003301462</v>
      </c>
    </row>
    <row r="196" spans="10:10" x14ac:dyDescent="0.35">
      <c r="J196">
        <v>21253.57349776127</v>
      </c>
    </row>
    <row r="197" spans="10:10" x14ac:dyDescent="0.35">
      <c r="J197">
        <v>21664.522293526341</v>
      </c>
    </row>
    <row r="198" spans="10:10" x14ac:dyDescent="0.35">
      <c r="J198">
        <v>22421.74947277438</v>
      </c>
    </row>
    <row r="199" spans="10:10" x14ac:dyDescent="0.35">
      <c r="J199">
        <v>18128.807941329</v>
      </c>
    </row>
    <row r="200" spans="10:10" x14ac:dyDescent="0.35">
      <c r="J200">
        <v>26075.569528425069</v>
      </c>
    </row>
    <row r="201" spans="10:10" x14ac:dyDescent="0.35">
      <c r="J201">
        <v>23846.44159897526</v>
      </c>
    </row>
    <row r="202" spans="10:10" x14ac:dyDescent="0.35">
      <c r="J202">
        <v>24329.209905621301</v>
      </c>
    </row>
    <row r="203" spans="10:10" x14ac:dyDescent="0.35">
      <c r="J203">
        <v>25263.265456074882</v>
      </c>
    </row>
    <row r="206" spans="10:10" x14ac:dyDescent="0.35">
      <c r="J206">
        <v>1142.258780966868</v>
      </c>
    </row>
    <row r="207" spans="10:10" x14ac:dyDescent="0.35">
      <c r="J207">
        <v>1260.202312807553</v>
      </c>
    </row>
    <row r="208" spans="10:10" x14ac:dyDescent="0.35">
      <c r="J208">
        <v>1393.3715987279829</v>
      </c>
    </row>
    <row r="209" spans="10:10" x14ac:dyDescent="0.35">
      <c r="J209">
        <v>1573.5443240034019</v>
      </c>
    </row>
    <row r="210" spans="10:10" x14ac:dyDescent="0.35">
      <c r="J210">
        <v>1710.030191789408</v>
      </c>
    </row>
    <row r="211" spans="10:10" x14ac:dyDescent="0.35">
      <c r="J211">
        <v>1641.4338307438461</v>
      </c>
    </row>
    <row r="212" spans="10:10" x14ac:dyDescent="0.35">
      <c r="J212">
        <v>1741.5715035000071</v>
      </c>
    </row>
    <row r="213" spans="10:10" x14ac:dyDescent="0.35">
      <c r="J213">
        <v>1681.2776035570771</v>
      </c>
    </row>
    <row r="214" spans="10:10" x14ac:dyDescent="0.35">
      <c r="J214">
        <v>1555.1807368526461</v>
      </c>
    </row>
    <row r="215" spans="10:10" x14ac:dyDescent="0.35">
      <c r="J215">
        <v>1643.589276722247</v>
      </c>
    </row>
    <row r="216" spans="10:10" x14ac:dyDescent="0.35">
      <c r="J216">
        <v>654.23585148319739</v>
      </c>
    </row>
    <row r="217" spans="10:10" x14ac:dyDescent="0.35">
      <c r="J217">
        <v>693.99322280199135</v>
      </c>
    </row>
    <row r="218" spans="10:10" x14ac:dyDescent="0.35">
      <c r="J218">
        <v>741.20954989883887</v>
      </c>
    </row>
    <row r="219" spans="10:10" x14ac:dyDescent="0.35">
      <c r="J219">
        <v>766.52080445336958</v>
      </c>
    </row>
    <row r="220" spans="10:10" x14ac:dyDescent="0.35">
      <c r="J220">
        <v>804.30804355294538</v>
      </c>
    </row>
    <row r="221" spans="10:10" x14ac:dyDescent="0.35">
      <c r="J221">
        <v>588.37462685936771</v>
      </c>
    </row>
    <row r="222" spans="10:10" x14ac:dyDescent="0.35">
      <c r="J222">
        <v>633.75468942277928</v>
      </c>
    </row>
    <row r="223" spans="10:10" x14ac:dyDescent="0.35">
      <c r="J223">
        <v>637.74857056454766</v>
      </c>
    </row>
    <row r="224" spans="10:10" x14ac:dyDescent="0.35">
      <c r="J224">
        <v>672.99993857016716</v>
      </c>
    </row>
    <row r="225" spans="10:10" x14ac:dyDescent="0.35">
      <c r="J225">
        <v>697.11632773592612</v>
      </c>
    </row>
    <row r="226" spans="10:10" x14ac:dyDescent="0.35">
      <c r="J226">
        <v>1713.2257833791989</v>
      </c>
    </row>
    <row r="227" spans="10:10" x14ac:dyDescent="0.35">
      <c r="J227">
        <v>1804.555331151822</v>
      </c>
    </row>
    <row r="228" spans="10:10" x14ac:dyDescent="0.35">
      <c r="J228">
        <v>1896.2056580419739</v>
      </c>
    </row>
    <row r="229" spans="10:10" x14ac:dyDescent="0.35">
      <c r="J229">
        <v>1998.5806931215529</v>
      </c>
    </row>
    <row r="230" spans="10:10" x14ac:dyDescent="0.35">
      <c r="J230">
        <v>2107.8918156060431</v>
      </c>
    </row>
    <row r="231" spans="10:10" x14ac:dyDescent="0.35">
      <c r="J231">
        <v>1635.517697833116</v>
      </c>
    </row>
    <row r="232" spans="10:10" x14ac:dyDescent="0.35">
      <c r="J232">
        <v>1816.502530221657</v>
      </c>
    </row>
    <row r="233" spans="10:10" x14ac:dyDescent="0.35">
      <c r="J233">
        <v>1896.257077346366</v>
      </c>
    </row>
    <row r="234" spans="10:10" x14ac:dyDescent="0.35">
      <c r="J234">
        <v>1944.2703893991811</v>
      </c>
    </row>
    <row r="235" spans="10:10" x14ac:dyDescent="0.35">
      <c r="J235">
        <v>1996.685743610652</v>
      </c>
    </row>
    <row r="236" spans="10:10" x14ac:dyDescent="0.35">
      <c r="J236">
        <v>21698.11674868604</v>
      </c>
    </row>
    <row r="237" spans="10:10" x14ac:dyDescent="0.35">
      <c r="J237">
        <v>20623.105003301469</v>
      </c>
    </row>
    <row r="238" spans="10:10" x14ac:dyDescent="0.35">
      <c r="J238">
        <v>21253.57349776127</v>
      </c>
    </row>
    <row r="239" spans="10:10" x14ac:dyDescent="0.35">
      <c r="J239">
        <v>21664.522293526348</v>
      </c>
    </row>
    <row r="240" spans="10:10" x14ac:dyDescent="0.35">
      <c r="J240">
        <v>22421.74947277438</v>
      </c>
    </row>
    <row r="241" spans="10:10" x14ac:dyDescent="0.35">
      <c r="J241">
        <v>18128.807941329</v>
      </c>
    </row>
    <row r="242" spans="10:10" x14ac:dyDescent="0.35">
      <c r="J242">
        <v>26075.569528425069</v>
      </c>
    </row>
    <row r="243" spans="10:10" x14ac:dyDescent="0.35">
      <c r="J243">
        <v>23846.44159897526</v>
      </c>
    </row>
    <row r="244" spans="10:10" x14ac:dyDescent="0.35">
      <c r="J244">
        <v>24329.209905621301</v>
      </c>
    </row>
    <row r="245" spans="10:10" x14ac:dyDescent="0.35">
      <c r="J245">
        <v>25263.265456074882</v>
      </c>
    </row>
    <row r="248" spans="10:10" x14ac:dyDescent="0.35">
      <c r="J248">
        <v>173</v>
      </c>
    </row>
    <row r="249" spans="10:10" x14ac:dyDescent="0.35">
      <c r="J249">
        <v>0</v>
      </c>
    </row>
    <row r="250" spans="10:10" x14ac:dyDescent="0.35">
      <c r="J250">
        <v>192</v>
      </c>
    </row>
    <row r="251" spans="10:10" x14ac:dyDescent="0.35">
      <c r="J251">
        <v>0</v>
      </c>
    </row>
    <row r="252" spans="10:10" x14ac:dyDescent="0.35">
      <c r="J252">
        <v>146</v>
      </c>
    </row>
    <row r="253" spans="10:10" x14ac:dyDescent="0.35">
      <c r="J253">
        <v>0</v>
      </c>
    </row>
    <row r="254" spans="10:10" x14ac:dyDescent="0.35">
      <c r="J254">
        <v>14</v>
      </c>
    </row>
    <row r="255" spans="10:10" x14ac:dyDescent="0.35">
      <c r="J255">
        <v>0</v>
      </c>
    </row>
    <row r="256" spans="10:10" x14ac:dyDescent="0.35">
      <c r="J256">
        <v>20</v>
      </c>
    </row>
    <row r="257" spans="10:10" x14ac:dyDescent="0.35">
      <c r="J257">
        <v>0</v>
      </c>
    </row>
    <row r="258" spans="10:10" x14ac:dyDescent="0.35">
      <c r="J258">
        <v>64</v>
      </c>
    </row>
    <row r="259" spans="10:10" x14ac:dyDescent="0.35">
      <c r="J259">
        <v>0</v>
      </c>
    </row>
    <row r="260" spans="10:10" x14ac:dyDescent="0.35">
      <c r="J260">
        <v>12</v>
      </c>
    </row>
    <row r="261" spans="10:10" x14ac:dyDescent="0.35">
      <c r="J261">
        <v>0</v>
      </c>
    </row>
    <row r="262" spans="10:10" x14ac:dyDescent="0.35">
      <c r="J262">
        <v>20</v>
      </c>
    </row>
    <row r="263" spans="10:10" x14ac:dyDescent="0.35">
      <c r="J263">
        <v>0</v>
      </c>
    </row>
    <row r="264" spans="10:10" x14ac:dyDescent="0.35">
      <c r="J264">
        <v>193</v>
      </c>
    </row>
    <row r="265" spans="10:10" x14ac:dyDescent="0.35">
      <c r="J265">
        <v>0</v>
      </c>
    </row>
    <row r="266" spans="10:10" x14ac:dyDescent="0.35">
      <c r="J266">
        <v>256</v>
      </c>
    </row>
    <row r="267" spans="10:10" x14ac:dyDescent="0.35">
      <c r="J267">
        <v>0</v>
      </c>
    </row>
    <row r="268" spans="10:10" x14ac:dyDescent="0.35">
      <c r="J268">
        <v>158</v>
      </c>
    </row>
    <row r="269" spans="10:10" x14ac:dyDescent="0.35">
      <c r="J269">
        <v>0</v>
      </c>
    </row>
    <row r="270" spans="10:10" x14ac:dyDescent="0.35">
      <c r="J270">
        <v>34</v>
      </c>
    </row>
    <row r="271" spans="10:10" x14ac:dyDescent="0.35">
      <c r="J271">
        <v>0</v>
      </c>
    </row>
    <row r="274" spans="10:10" x14ac:dyDescent="0.35">
      <c r="J274">
        <v>173</v>
      </c>
    </row>
    <row r="275" spans="10:10" x14ac:dyDescent="0.35">
      <c r="J275">
        <v>0</v>
      </c>
    </row>
    <row r="276" spans="10:10" x14ac:dyDescent="0.35">
      <c r="J276">
        <v>192</v>
      </c>
    </row>
    <row r="277" spans="10:10" x14ac:dyDescent="0.35">
      <c r="J277">
        <v>0</v>
      </c>
    </row>
    <row r="278" spans="10:10" x14ac:dyDescent="0.35">
      <c r="J278">
        <v>146</v>
      </c>
    </row>
    <row r="279" spans="10:10" x14ac:dyDescent="0.35">
      <c r="J279">
        <v>0</v>
      </c>
    </row>
    <row r="280" spans="10:10" x14ac:dyDescent="0.35">
      <c r="J280">
        <v>14</v>
      </c>
    </row>
    <row r="281" spans="10:10" x14ac:dyDescent="0.35">
      <c r="J281">
        <v>0</v>
      </c>
    </row>
    <row r="282" spans="10:10" x14ac:dyDescent="0.35">
      <c r="J282">
        <v>20</v>
      </c>
    </row>
    <row r="283" spans="10:10" x14ac:dyDescent="0.35">
      <c r="J283">
        <v>0</v>
      </c>
    </row>
    <row r="284" spans="10:10" x14ac:dyDescent="0.35">
      <c r="J284">
        <v>64</v>
      </c>
    </row>
    <row r="285" spans="10:10" x14ac:dyDescent="0.35">
      <c r="J285">
        <v>0</v>
      </c>
    </row>
    <row r="286" spans="10:10" x14ac:dyDescent="0.35">
      <c r="J286">
        <v>12</v>
      </c>
    </row>
    <row r="287" spans="10:10" x14ac:dyDescent="0.35">
      <c r="J287">
        <v>0</v>
      </c>
    </row>
    <row r="288" spans="10:10" x14ac:dyDescent="0.35">
      <c r="J288">
        <v>20</v>
      </c>
    </row>
    <row r="289" spans="10:10" x14ac:dyDescent="0.35">
      <c r="J289">
        <v>0</v>
      </c>
    </row>
    <row r="290" spans="10:10" x14ac:dyDescent="0.35">
      <c r="J290">
        <v>193</v>
      </c>
    </row>
    <row r="291" spans="10:10" x14ac:dyDescent="0.35">
      <c r="J291">
        <v>0</v>
      </c>
    </row>
    <row r="292" spans="10:10" x14ac:dyDescent="0.35">
      <c r="J292">
        <v>256</v>
      </c>
    </row>
    <row r="293" spans="10:10" x14ac:dyDescent="0.35">
      <c r="J293">
        <v>0</v>
      </c>
    </row>
    <row r="294" spans="10:10" x14ac:dyDescent="0.35">
      <c r="J294">
        <v>158</v>
      </c>
    </row>
    <row r="295" spans="10:10" x14ac:dyDescent="0.35">
      <c r="J295">
        <v>0</v>
      </c>
    </row>
    <row r="296" spans="10:10" x14ac:dyDescent="0.35">
      <c r="J296">
        <v>34</v>
      </c>
    </row>
    <row r="297" spans="10:10" x14ac:dyDescent="0.35">
      <c r="J297">
        <v>0</v>
      </c>
    </row>
    <row r="300" spans="10:10" x14ac:dyDescent="0.35">
      <c r="J300">
        <v>1203.2979933898571</v>
      </c>
    </row>
    <row r="301" spans="10:10" x14ac:dyDescent="0.35">
      <c r="J301">
        <v>0</v>
      </c>
    </row>
    <row r="302" spans="10:10" x14ac:dyDescent="0.35">
      <c r="J302">
        <v>623.59754614035285</v>
      </c>
    </row>
    <row r="303" spans="10:10" x14ac:dyDescent="0.35">
      <c r="J303">
        <v>0</v>
      </c>
    </row>
    <row r="304" spans="10:10" x14ac:dyDescent="0.35">
      <c r="J304">
        <v>1870.0006196008969</v>
      </c>
    </row>
    <row r="305" spans="10:10" x14ac:dyDescent="0.35">
      <c r="J305">
        <v>0</v>
      </c>
    </row>
    <row r="306" spans="10:10" x14ac:dyDescent="0.35">
      <c r="J306">
        <v>13215.92278180804</v>
      </c>
    </row>
    <row r="307" spans="10:10" x14ac:dyDescent="0.35">
      <c r="J307">
        <v>0</v>
      </c>
    </row>
    <row r="308" spans="10:10" x14ac:dyDescent="0.35">
      <c r="J308">
        <v>737.4659804344177</v>
      </c>
    </row>
    <row r="309" spans="10:10" x14ac:dyDescent="0.35">
      <c r="J309">
        <v>0</v>
      </c>
    </row>
    <row r="310" spans="10:10" x14ac:dyDescent="0.35">
      <c r="J310">
        <v>665.04691880941391</v>
      </c>
    </row>
    <row r="311" spans="10:10" x14ac:dyDescent="0.35">
      <c r="J311">
        <v>0</v>
      </c>
    </row>
    <row r="312" spans="10:10" x14ac:dyDescent="0.35">
      <c r="J312">
        <v>1052.840006510417</v>
      </c>
    </row>
    <row r="313" spans="10:10" x14ac:dyDescent="0.35">
      <c r="J313">
        <v>0</v>
      </c>
    </row>
    <row r="314" spans="10:10" x14ac:dyDescent="0.35">
      <c r="J314">
        <v>26030.743847656249</v>
      </c>
    </row>
    <row r="315" spans="10:10" x14ac:dyDescent="0.35">
      <c r="J315">
        <v>0</v>
      </c>
    </row>
    <row r="316" spans="10:10" x14ac:dyDescent="0.35">
      <c r="J316">
        <v>1155.0252459333351</v>
      </c>
    </row>
    <row r="317" spans="10:10" x14ac:dyDescent="0.35">
      <c r="J317">
        <v>0</v>
      </c>
    </row>
    <row r="318" spans="10:10" x14ac:dyDescent="0.35">
      <c r="J318">
        <v>633.95988930761814</v>
      </c>
    </row>
    <row r="319" spans="10:10" x14ac:dyDescent="0.35">
      <c r="J319">
        <v>0</v>
      </c>
    </row>
    <row r="320" spans="10:10" x14ac:dyDescent="0.35">
      <c r="J320">
        <v>1807.9377882269359</v>
      </c>
    </row>
    <row r="321" spans="10:10" x14ac:dyDescent="0.35">
      <c r="J321">
        <v>0</v>
      </c>
    </row>
    <row r="322" spans="10:10" x14ac:dyDescent="0.35">
      <c r="J322">
        <v>20754.052820542282</v>
      </c>
    </row>
    <row r="323" spans="10:10" x14ac:dyDescent="0.35">
      <c r="J323">
        <v>0</v>
      </c>
    </row>
    <row r="326" spans="10:10" x14ac:dyDescent="0.35">
      <c r="J326">
        <v>1203.2979933898571</v>
      </c>
    </row>
    <row r="327" spans="10:10" x14ac:dyDescent="0.35">
      <c r="J327">
        <v>0</v>
      </c>
    </row>
    <row r="328" spans="10:10" x14ac:dyDescent="0.35">
      <c r="J328">
        <v>623.59754614035285</v>
      </c>
    </row>
    <row r="329" spans="10:10" x14ac:dyDescent="0.35">
      <c r="J329">
        <v>0</v>
      </c>
    </row>
    <row r="330" spans="10:10" x14ac:dyDescent="0.35">
      <c r="J330">
        <v>1870.0006196008969</v>
      </c>
    </row>
    <row r="331" spans="10:10" x14ac:dyDescent="0.35">
      <c r="J331">
        <v>0</v>
      </c>
    </row>
    <row r="332" spans="10:10" x14ac:dyDescent="0.35">
      <c r="J332">
        <v>13215.92278180804</v>
      </c>
    </row>
    <row r="333" spans="10:10" x14ac:dyDescent="0.35">
      <c r="J333">
        <v>0</v>
      </c>
    </row>
    <row r="334" spans="10:10" x14ac:dyDescent="0.35">
      <c r="J334">
        <v>737.4659804344177</v>
      </c>
    </row>
    <row r="335" spans="10:10" x14ac:dyDescent="0.35">
      <c r="J335">
        <v>0</v>
      </c>
    </row>
    <row r="336" spans="10:10" x14ac:dyDescent="0.35">
      <c r="J336">
        <v>665.04691880941391</v>
      </c>
    </row>
    <row r="337" spans="10:10" x14ac:dyDescent="0.35">
      <c r="J337">
        <v>0</v>
      </c>
    </row>
    <row r="338" spans="10:10" x14ac:dyDescent="0.35">
      <c r="J338">
        <v>1052.840006510417</v>
      </c>
    </row>
    <row r="339" spans="10:10" x14ac:dyDescent="0.35">
      <c r="J339">
        <v>0</v>
      </c>
    </row>
    <row r="340" spans="10:10" x14ac:dyDescent="0.35">
      <c r="J340">
        <v>26030.743847656249</v>
      </c>
    </row>
    <row r="341" spans="10:10" x14ac:dyDescent="0.35">
      <c r="J341">
        <v>0</v>
      </c>
    </row>
    <row r="342" spans="10:10" x14ac:dyDescent="0.35">
      <c r="J342">
        <v>1155.0252459333351</v>
      </c>
    </row>
    <row r="343" spans="10:10" x14ac:dyDescent="0.35">
      <c r="J343">
        <v>0</v>
      </c>
    </row>
    <row r="344" spans="10:10" x14ac:dyDescent="0.35">
      <c r="J344">
        <v>633.95988930761814</v>
      </c>
    </row>
    <row r="345" spans="10:10" x14ac:dyDescent="0.35">
      <c r="J345">
        <v>0</v>
      </c>
    </row>
    <row r="346" spans="10:10" x14ac:dyDescent="0.35">
      <c r="J346">
        <v>1807.9377882269359</v>
      </c>
    </row>
    <row r="347" spans="10:10" x14ac:dyDescent="0.35">
      <c r="J347">
        <v>0</v>
      </c>
    </row>
    <row r="348" spans="10:10" x14ac:dyDescent="0.35">
      <c r="J348">
        <v>20754.052820542282</v>
      </c>
    </row>
    <row r="349" spans="10:10" x14ac:dyDescent="0.35">
      <c r="J349">
        <v>0</v>
      </c>
    </row>
    <row r="352" spans="10:10" x14ac:dyDescent="0.35">
      <c r="J352">
        <v>347.28111220946101</v>
      </c>
    </row>
    <row r="353" spans="10:10" x14ac:dyDescent="0.35">
      <c r="J353">
        <v>407.4268914110944</v>
      </c>
    </row>
    <row r="354" spans="10:10" x14ac:dyDescent="0.35">
      <c r="J354">
        <v>476.52946584488632</v>
      </c>
    </row>
    <row r="355" spans="10:10" x14ac:dyDescent="0.35">
      <c r="J355">
        <v>575.70892357339733</v>
      </c>
    </row>
    <row r="356" spans="10:10" x14ac:dyDescent="0.35">
      <c r="J356">
        <v>612.97092299064445</v>
      </c>
    </row>
    <row r="357" spans="10:10" x14ac:dyDescent="0.35">
      <c r="J357">
        <v>161.36310046761221</v>
      </c>
    </row>
    <row r="358" spans="10:10" x14ac:dyDescent="0.35">
      <c r="J358">
        <v>170.48095360977311</v>
      </c>
    </row>
    <row r="359" spans="10:10" x14ac:dyDescent="0.35">
      <c r="J359">
        <v>180.53128708284041</v>
      </c>
    </row>
    <row r="360" spans="10:10" x14ac:dyDescent="0.35">
      <c r="J360">
        <v>179.34964678517659</v>
      </c>
    </row>
    <row r="361" spans="10:10" x14ac:dyDescent="0.35">
      <c r="J361">
        <v>191.6550315059859</v>
      </c>
    </row>
    <row r="362" spans="10:10" x14ac:dyDescent="0.35">
      <c r="J362">
        <v>279.730825164875</v>
      </c>
    </row>
    <row r="363" spans="10:10" x14ac:dyDescent="0.35">
      <c r="J363">
        <v>303.67040507988889</v>
      </c>
    </row>
    <row r="364" spans="10:10" x14ac:dyDescent="0.35">
      <c r="J364">
        <v>331.73780811560221</v>
      </c>
    </row>
    <row r="365" spans="10:10" x14ac:dyDescent="0.35">
      <c r="J365">
        <v>364.86820299936159</v>
      </c>
    </row>
    <row r="366" spans="10:10" x14ac:dyDescent="0.35">
      <c r="J366">
        <v>395.70421425842022</v>
      </c>
    </row>
    <row r="367" spans="10:10" x14ac:dyDescent="0.35">
      <c r="J367">
        <v>50.112925651299889</v>
      </c>
    </row>
    <row r="368" spans="10:10" x14ac:dyDescent="0.35">
      <c r="J368">
        <v>57.882742188697932</v>
      </c>
    </row>
    <row r="369" spans="10:10" x14ac:dyDescent="0.35">
      <c r="J369">
        <v>82.274890418071578</v>
      </c>
    </row>
    <row r="370" spans="10:10" x14ac:dyDescent="0.35">
      <c r="J370">
        <v>103.567248326723</v>
      </c>
    </row>
    <row r="371" spans="10:10" x14ac:dyDescent="0.35">
      <c r="J371">
        <v>112.59610307715541</v>
      </c>
    </row>
    <row r="374" spans="10:10" x14ac:dyDescent="0.35">
      <c r="J374">
        <v>0</v>
      </c>
    </row>
    <row r="375" spans="10:10" x14ac:dyDescent="0.35">
      <c r="J375">
        <v>0</v>
      </c>
    </row>
    <row r="376" spans="10:10" x14ac:dyDescent="0.35">
      <c r="J376">
        <v>0</v>
      </c>
    </row>
    <row r="377" spans="10:10" x14ac:dyDescent="0.35">
      <c r="J377">
        <v>0</v>
      </c>
    </row>
    <row r="378" spans="10:10" x14ac:dyDescent="0.35">
      <c r="J378">
        <v>0</v>
      </c>
    </row>
    <row r="379" spans="10:10" x14ac:dyDescent="0.35">
      <c r="J379">
        <v>0</v>
      </c>
    </row>
    <row r="380" spans="10:10" x14ac:dyDescent="0.35">
      <c r="J380">
        <v>0</v>
      </c>
    </row>
    <row r="381" spans="10:10" x14ac:dyDescent="0.35">
      <c r="J381">
        <v>0</v>
      </c>
    </row>
    <row r="382" spans="10:10" x14ac:dyDescent="0.35">
      <c r="J382">
        <v>0</v>
      </c>
    </row>
    <row r="383" spans="10:10" x14ac:dyDescent="0.35">
      <c r="J383">
        <v>0</v>
      </c>
    </row>
    <row r="384" spans="10:10" x14ac:dyDescent="0.35">
      <c r="J384">
        <v>0</v>
      </c>
    </row>
    <row r="385" spans="10:10" x14ac:dyDescent="0.35">
      <c r="J385">
        <v>0</v>
      </c>
    </row>
    <row r="386" spans="10:10" x14ac:dyDescent="0.35">
      <c r="J386">
        <v>0</v>
      </c>
    </row>
    <row r="387" spans="10:10" x14ac:dyDescent="0.35">
      <c r="J387">
        <v>0</v>
      </c>
    </row>
    <row r="388" spans="10:10" x14ac:dyDescent="0.35">
      <c r="J388">
        <v>0</v>
      </c>
    </row>
    <row r="389" spans="10:10" x14ac:dyDescent="0.35">
      <c r="J389">
        <v>0</v>
      </c>
    </row>
    <row r="390" spans="10:10" x14ac:dyDescent="0.35">
      <c r="J390">
        <v>0</v>
      </c>
    </row>
    <row r="391" spans="10:10" x14ac:dyDescent="0.35">
      <c r="J391">
        <v>0</v>
      </c>
    </row>
    <row r="392" spans="10:10" x14ac:dyDescent="0.35">
      <c r="J392">
        <v>0</v>
      </c>
    </row>
    <row r="393" spans="10:10" x14ac:dyDescent="0.35">
      <c r="J393">
        <v>0</v>
      </c>
    </row>
    <row r="396" spans="10:10" x14ac:dyDescent="0.35">
      <c r="J396">
        <v>0</v>
      </c>
    </row>
    <row r="397" spans="10:10" x14ac:dyDescent="0.35">
      <c r="J397">
        <v>0</v>
      </c>
    </row>
    <row r="398" spans="10:10" x14ac:dyDescent="0.35">
      <c r="J398">
        <v>0</v>
      </c>
    </row>
    <row r="399" spans="10:10" x14ac:dyDescent="0.35">
      <c r="J399">
        <v>0</v>
      </c>
    </row>
    <row r="400" spans="10:10" x14ac:dyDescent="0.35">
      <c r="J400">
        <v>0</v>
      </c>
    </row>
    <row r="401" spans="10:10" x14ac:dyDescent="0.35">
      <c r="J401">
        <v>0.1219209200936166</v>
      </c>
    </row>
    <row r="402" spans="10:10" x14ac:dyDescent="0.35">
      <c r="J402">
        <v>1.6019827868733721E-2</v>
      </c>
    </row>
    <row r="403" spans="10:10" x14ac:dyDescent="0.35">
      <c r="J403">
        <v>0</v>
      </c>
    </row>
    <row r="404" spans="10:10" x14ac:dyDescent="0.35">
      <c r="J404">
        <v>0</v>
      </c>
    </row>
    <row r="405" spans="10:10" x14ac:dyDescent="0.35">
      <c r="J405">
        <v>0</v>
      </c>
    </row>
    <row r="406" spans="10:10" x14ac:dyDescent="0.35">
      <c r="J406">
        <v>1.7147853472681669</v>
      </c>
    </row>
    <row r="407" spans="10:10" x14ac:dyDescent="0.35">
      <c r="J407">
        <v>0.25492847431620302</v>
      </c>
    </row>
    <row r="408" spans="10:10" x14ac:dyDescent="0.35">
      <c r="J408">
        <v>0</v>
      </c>
    </row>
    <row r="409" spans="10:10" x14ac:dyDescent="0.35">
      <c r="J409">
        <v>0</v>
      </c>
    </row>
    <row r="410" spans="10:10" x14ac:dyDescent="0.35">
      <c r="J410">
        <v>0</v>
      </c>
    </row>
    <row r="411" spans="10:10" x14ac:dyDescent="0.35">
      <c r="J411">
        <v>0</v>
      </c>
    </row>
    <row r="412" spans="10:10" x14ac:dyDescent="0.35">
      <c r="J412">
        <v>0</v>
      </c>
    </row>
    <row r="413" spans="10:10" x14ac:dyDescent="0.35">
      <c r="J413">
        <v>0</v>
      </c>
    </row>
    <row r="414" spans="10:10" x14ac:dyDescent="0.35">
      <c r="J414">
        <v>0</v>
      </c>
    </row>
    <row r="415" spans="10:10" x14ac:dyDescent="0.35">
      <c r="J415">
        <v>0</v>
      </c>
    </row>
    <row r="418" spans="10:10" x14ac:dyDescent="0.35">
      <c r="J418">
        <v>0.31887779559906337</v>
      </c>
    </row>
    <row r="419" spans="10:10" x14ac:dyDescent="0.35">
      <c r="J419">
        <v>0.45707349429898331</v>
      </c>
    </row>
    <row r="420" spans="10:10" x14ac:dyDescent="0.35">
      <c r="J420">
        <v>0.6651396649041259</v>
      </c>
    </row>
    <row r="421" spans="10:10" x14ac:dyDescent="0.35">
      <c r="J421">
        <v>1.166870893206402</v>
      </c>
    </row>
    <row r="422" spans="10:10" x14ac:dyDescent="0.35">
      <c r="J422">
        <v>2.0938467700056318</v>
      </c>
    </row>
    <row r="423" spans="10:10" x14ac:dyDescent="0.35">
      <c r="J423">
        <v>0.74254271018258911</v>
      </c>
    </row>
    <row r="424" spans="10:10" x14ac:dyDescent="0.35">
      <c r="J424">
        <v>0.43984766978648038</v>
      </c>
    </row>
    <row r="425" spans="10:10" x14ac:dyDescent="0.35">
      <c r="J425">
        <v>0.21444905366790301</v>
      </c>
    </row>
    <row r="426" spans="10:10" x14ac:dyDescent="0.35">
      <c r="J426">
        <v>0.1018936831192044</v>
      </c>
    </row>
    <row r="427" spans="10:10" x14ac:dyDescent="0.35">
      <c r="J427">
        <v>0.1182595481632141</v>
      </c>
    </row>
    <row r="428" spans="10:10" x14ac:dyDescent="0.35">
      <c r="J428">
        <v>1.3447849964715901</v>
      </c>
    </row>
    <row r="429" spans="10:10" x14ac:dyDescent="0.35">
      <c r="J429">
        <v>0.74594514542061952</v>
      </c>
    </row>
    <row r="430" spans="10:10" x14ac:dyDescent="0.35">
      <c r="J430">
        <v>0.85297760920518262</v>
      </c>
    </row>
    <row r="431" spans="10:10" x14ac:dyDescent="0.35">
      <c r="J431">
        <v>0.94214092706632135</v>
      </c>
    </row>
    <row r="432" spans="10:10" x14ac:dyDescent="0.35">
      <c r="J432">
        <v>1.0387817030135129</v>
      </c>
    </row>
    <row r="433" spans="10:10" x14ac:dyDescent="0.35">
      <c r="J433">
        <v>7.388816343967088</v>
      </c>
    </row>
    <row r="434" spans="10:10" x14ac:dyDescent="0.35">
      <c r="J434">
        <v>9.6378478654597544</v>
      </c>
    </row>
    <row r="435" spans="10:10" x14ac:dyDescent="0.35">
      <c r="J435">
        <v>14.83200902828165</v>
      </c>
    </row>
    <row r="436" spans="10:10" x14ac:dyDescent="0.35">
      <c r="J436">
        <v>19.954116956276309</v>
      </c>
    </row>
    <row r="437" spans="10:10" x14ac:dyDescent="0.35">
      <c r="J437">
        <v>23.07856926694047</v>
      </c>
    </row>
    <row r="440" spans="10:10" x14ac:dyDescent="0.35">
      <c r="J440">
        <v>347.59999000506002</v>
      </c>
    </row>
    <row r="441" spans="10:10" x14ac:dyDescent="0.35">
      <c r="J441">
        <v>407.88396490539338</v>
      </c>
    </row>
    <row r="442" spans="10:10" x14ac:dyDescent="0.35">
      <c r="J442">
        <v>477.19460550979039</v>
      </c>
    </row>
    <row r="443" spans="10:10" x14ac:dyDescent="0.35">
      <c r="J443">
        <v>576.87579446660368</v>
      </c>
    </row>
    <row r="444" spans="10:10" x14ac:dyDescent="0.35">
      <c r="J444">
        <v>615.06476976065005</v>
      </c>
    </row>
    <row r="445" spans="10:10" x14ac:dyDescent="0.35">
      <c r="J445">
        <v>162.2275640978884</v>
      </c>
    </row>
    <row r="446" spans="10:10" x14ac:dyDescent="0.35">
      <c r="J446">
        <v>170.9368211074283</v>
      </c>
    </row>
    <row r="447" spans="10:10" x14ac:dyDescent="0.35">
      <c r="J447">
        <v>180.7457361365083</v>
      </c>
    </row>
    <row r="448" spans="10:10" x14ac:dyDescent="0.35">
      <c r="J448">
        <v>179.4515404682958</v>
      </c>
    </row>
    <row r="449" spans="10:10" x14ac:dyDescent="0.35">
      <c r="J449">
        <v>191.77329105414921</v>
      </c>
    </row>
    <row r="450" spans="10:10" x14ac:dyDescent="0.35">
      <c r="J450">
        <v>282.79039550861478</v>
      </c>
    </row>
    <row r="451" spans="10:10" x14ac:dyDescent="0.35">
      <c r="J451">
        <v>304.6712786996257</v>
      </c>
    </row>
    <row r="452" spans="10:10" x14ac:dyDescent="0.35">
      <c r="J452">
        <v>332.5907857248074</v>
      </c>
    </row>
    <row r="453" spans="10:10" x14ac:dyDescent="0.35">
      <c r="J453">
        <v>365.81034392642789</v>
      </c>
    </row>
    <row r="454" spans="10:10" x14ac:dyDescent="0.35">
      <c r="J454">
        <v>396.74299596143368</v>
      </c>
    </row>
    <row r="455" spans="10:10" x14ac:dyDescent="0.35">
      <c r="J455">
        <v>57.501741995266983</v>
      </c>
    </row>
    <row r="456" spans="10:10" x14ac:dyDescent="0.35">
      <c r="J456">
        <v>67.52059005415768</v>
      </c>
    </row>
    <row r="457" spans="10:10" x14ac:dyDescent="0.35">
      <c r="J457">
        <v>97.106899446353225</v>
      </c>
    </row>
    <row r="458" spans="10:10" x14ac:dyDescent="0.35">
      <c r="J458">
        <v>123.5213652829994</v>
      </c>
    </row>
    <row r="459" spans="10:10" x14ac:dyDescent="0.35">
      <c r="J459">
        <v>135.67467234409591</v>
      </c>
    </row>
    <row r="462" spans="10:10" x14ac:dyDescent="0.35">
      <c r="J462">
        <v>0</v>
      </c>
    </row>
    <row r="463" spans="10:10" x14ac:dyDescent="0.35">
      <c r="J463">
        <v>0</v>
      </c>
    </row>
    <row r="464" spans="10:10" x14ac:dyDescent="0.35">
      <c r="J464">
        <v>0</v>
      </c>
    </row>
    <row r="465" spans="10:10" x14ac:dyDescent="0.35">
      <c r="J465">
        <v>0</v>
      </c>
    </row>
    <row r="466" spans="10:10" x14ac:dyDescent="0.35">
      <c r="J466">
        <v>0</v>
      </c>
    </row>
    <row r="467" spans="10:10" x14ac:dyDescent="0.35">
      <c r="J467">
        <v>0</v>
      </c>
    </row>
    <row r="468" spans="10:10" x14ac:dyDescent="0.35">
      <c r="J468">
        <v>0</v>
      </c>
    </row>
    <row r="469" spans="10:10" x14ac:dyDescent="0.35">
      <c r="J469">
        <v>0</v>
      </c>
    </row>
    <row r="470" spans="10:10" x14ac:dyDescent="0.35">
      <c r="J470">
        <v>0</v>
      </c>
    </row>
    <row r="471" spans="10:10" x14ac:dyDescent="0.35">
      <c r="J471">
        <v>0</v>
      </c>
    </row>
    <row r="472" spans="10:10" x14ac:dyDescent="0.35">
      <c r="J472">
        <v>0</v>
      </c>
    </row>
    <row r="473" spans="10:10" x14ac:dyDescent="0.35">
      <c r="J473">
        <v>0</v>
      </c>
    </row>
    <row r="474" spans="10:10" x14ac:dyDescent="0.35">
      <c r="J474">
        <v>0</v>
      </c>
    </row>
    <row r="475" spans="10:10" x14ac:dyDescent="0.35">
      <c r="J475">
        <v>0</v>
      </c>
    </row>
    <row r="476" spans="10:10" x14ac:dyDescent="0.35">
      <c r="J476">
        <v>0</v>
      </c>
    </row>
    <row r="477" spans="10:10" x14ac:dyDescent="0.35">
      <c r="J477">
        <v>0</v>
      </c>
    </row>
    <row r="478" spans="10:10" x14ac:dyDescent="0.35">
      <c r="J478">
        <v>0</v>
      </c>
    </row>
    <row r="479" spans="10:10" x14ac:dyDescent="0.35">
      <c r="J479">
        <v>0</v>
      </c>
    </row>
    <row r="480" spans="10:10" x14ac:dyDescent="0.35">
      <c r="J480">
        <v>0</v>
      </c>
    </row>
    <row r="481" spans="10:10" x14ac:dyDescent="0.35">
      <c r="J481">
        <v>0</v>
      </c>
    </row>
    <row r="484" spans="10:10" x14ac:dyDescent="0.35">
      <c r="J484">
        <v>109488.77845728039</v>
      </c>
    </row>
    <row r="485" spans="10:10" x14ac:dyDescent="0.35">
      <c r="J485">
        <v>129045.0622594872</v>
      </c>
    </row>
    <row r="486" spans="10:10" x14ac:dyDescent="0.35">
      <c r="J486">
        <v>149886.30351645179</v>
      </c>
    </row>
    <row r="487" spans="10:10" x14ac:dyDescent="0.35">
      <c r="J487">
        <v>175314.9590303241</v>
      </c>
    </row>
    <row r="488" spans="10:10" x14ac:dyDescent="0.35">
      <c r="J488">
        <v>192843.345762351</v>
      </c>
    </row>
    <row r="489" spans="10:10" x14ac:dyDescent="0.35">
      <c r="J489">
        <v>56738.055866976152</v>
      </c>
    </row>
    <row r="490" spans="10:10" x14ac:dyDescent="0.35">
      <c r="J490">
        <v>53208.587847304072</v>
      </c>
    </row>
    <row r="491" spans="10:10" x14ac:dyDescent="0.35">
      <c r="J491">
        <v>54438.845830350911</v>
      </c>
    </row>
    <row r="492" spans="10:10" x14ac:dyDescent="0.35">
      <c r="J492">
        <v>50062.960036859731</v>
      </c>
    </row>
    <row r="493" spans="10:10" x14ac:dyDescent="0.35">
      <c r="J493">
        <v>47725.227449525803</v>
      </c>
    </row>
    <row r="494" spans="10:10" x14ac:dyDescent="0.35">
      <c r="J494">
        <v>49382.983546869909</v>
      </c>
    </row>
    <row r="495" spans="10:10" x14ac:dyDescent="0.35">
      <c r="J495">
        <v>48403.240159570261</v>
      </c>
    </row>
    <row r="496" spans="10:10" x14ac:dyDescent="0.35">
      <c r="J496">
        <v>51460.303297689577</v>
      </c>
    </row>
    <row r="497" spans="10:10" x14ac:dyDescent="0.35">
      <c r="J497">
        <v>53384.38482933199</v>
      </c>
    </row>
    <row r="498" spans="10:10" x14ac:dyDescent="0.35">
      <c r="J498">
        <v>57546.627371202652</v>
      </c>
    </row>
    <row r="499" spans="10:10" x14ac:dyDescent="0.35">
      <c r="J499">
        <v>8919.020625605006</v>
      </c>
    </row>
    <row r="500" spans="10:10" x14ac:dyDescent="0.35">
      <c r="J500">
        <v>9671.5246680466171</v>
      </c>
    </row>
    <row r="501" spans="10:10" x14ac:dyDescent="0.35">
      <c r="J501">
        <v>10540.97659433757</v>
      </c>
    </row>
    <row r="502" spans="10:10" x14ac:dyDescent="0.35">
      <c r="J502">
        <v>11372.829695132499</v>
      </c>
    </row>
    <row r="503" spans="10:10" x14ac:dyDescent="0.35">
      <c r="J503">
        <v>12259.474549770801</v>
      </c>
    </row>
    <row r="506" spans="10:10" x14ac:dyDescent="0.35">
      <c r="J506">
        <v>0</v>
      </c>
    </row>
    <row r="507" spans="10:10" x14ac:dyDescent="0.35">
      <c r="J507">
        <v>0</v>
      </c>
    </row>
    <row r="508" spans="10:10" x14ac:dyDescent="0.35">
      <c r="J508">
        <v>0</v>
      </c>
    </row>
    <row r="509" spans="10:10" x14ac:dyDescent="0.35">
      <c r="J509">
        <v>0</v>
      </c>
    </row>
    <row r="510" spans="10:10" x14ac:dyDescent="0.35">
      <c r="J510">
        <v>0</v>
      </c>
    </row>
    <row r="511" spans="10:10" x14ac:dyDescent="0.35">
      <c r="J511">
        <v>0</v>
      </c>
    </row>
    <row r="512" spans="10:10" x14ac:dyDescent="0.35">
      <c r="J512">
        <v>0</v>
      </c>
    </row>
    <row r="513" spans="10:10" x14ac:dyDescent="0.35">
      <c r="J513">
        <v>0</v>
      </c>
    </row>
    <row r="514" spans="10:10" x14ac:dyDescent="0.35">
      <c r="J514">
        <v>0</v>
      </c>
    </row>
    <row r="515" spans="10:10" x14ac:dyDescent="0.35">
      <c r="J515">
        <v>0</v>
      </c>
    </row>
    <row r="516" spans="10:10" x14ac:dyDescent="0.35">
      <c r="J516">
        <v>0</v>
      </c>
    </row>
    <row r="517" spans="10:10" x14ac:dyDescent="0.35">
      <c r="J517">
        <v>0</v>
      </c>
    </row>
    <row r="518" spans="10:10" x14ac:dyDescent="0.35">
      <c r="J518">
        <v>0</v>
      </c>
    </row>
    <row r="519" spans="10:10" x14ac:dyDescent="0.35">
      <c r="J519">
        <v>0</v>
      </c>
    </row>
    <row r="520" spans="10:10" x14ac:dyDescent="0.35">
      <c r="J520">
        <v>0</v>
      </c>
    </row>
    <row r="521" spans="10:10" x14ac:dyDescent="0.35">
      <c r="J521">
        <v>0</v>
      </c>
    </row>
    <row r="522" spans="10:10" x14ac:dyDescent="0.35">
      <c r="J522">
        <v>0</v>
      </c>
    </row>
    <row r="523" spans="10:10" x14ac:dyDescent="0.35">
      <c r="J523">
        <v>0</v>
      </c>
    </row>
    <row r="524" spans="10:10" x14ac:dyDescent="0.35">
      <c r="J524">
        <v>0</v>
      </c>
    </row>
    <row r="525" spans="10:10" x14ac:dyDescent="0.35">
      <c r="J525">
        <v>0</v>
      </c>
    </row>
    <row r="526" spans="10:10" x14ac:dyDescent="0.35">
      <c r="J526">
        <v>0</v>
      </c>
    </row>
    <row r="527" spans="10:10" x14ac:dyDescent="0.35">
      <c r="J527">
        <v>0</v>
      </c>
    </row>
    <row r="528" spans="10:10" x14ac:dyDescent="0.35">
      <c r="J528">
        <v>0</v>
      </c>
    </row>
    <row r="529" spans="10:10" x14ac:dyDescent="0.35">
      <c r="J529">
        <v>0</v>
      </c>
    </row>
    <row r="530" spans="10:10" x14ac:dyDescent="0.35">
      <c r="J530">
        <v>0</v>
      </c>
    </row>
    <row r="531" spans="10:10" x14ac:dyDescent="0.35">
      <c r="J531">
        <v>0</v>
      </c>
    </row>
    <row r="532" spans="10:10" x14ac:dyDescent="0.35">
      <c r="J532">
        <v>0</v>
      </c>
    </row>
    <row r="533" spans="10:10" x14ac:dyDescent="0.35">
      <c r="J533">
        <v>0</v>
      </c>
    </row>
    <row r="534" spans="10:10" x14ac:dyDescent="0.35">
      <c r="J534">
        <v>0</v>
      </c>
    </row>
    <row r="535" spans="10:10" x14ac:dyDescent="0.35">
      <c r="J535">
        <v>0</v>
      </c>
    </row>
    <row r="536" spans="10:10" x14ac:dyDescent="0.35">
      <c r="J536">
        <v>0</v>
      </c>
    </row>
    <row r="537" spans="10:10" x14ac:dyDescent="0.35">
      <c r="J537">
        <v>0</v>
      </c>
    </row>
    <row r="538" spans="10:10" x14ac:dyDescent="0.35">
      <c r="J538">
        <v>0</v>
      </c>
    </row>
    <row r="539" spans="10:10" x14ac:dyDescent="0.35">
      <c r="J539">
        <v>0</v>
      </c>
    </row>
    <row r="540" spans="10:10" x14ac:dyDescent="0.35">
      <c r="J540">
        <v>0</v>
      </c>
    </row>
    <row r="541" spans="10:10" x14ac:dyDescent="0.35">
      <c r="J541">
        <v>0</v>
      </c>
    </row>
    <row r="542" spans="10:10" x14ac:dyDescent="0.35">
      <c r="J542">
        <v>0</v>
      </c>
    </row>
    <row r="543" spans="10:10" x14ac:dyDescent="0.35">
      <c r="J543">
        <v>0</v>
      </c>
    </row>
    <row r="544" spans="10:10" x14ac:dyDescent="0.35">
      <c r="J544">
        <v>0</v>
      </c>
    </row>
    <row r="545" spans="10:10" x14ac:dyDescent="0.35">
      <c r="J545">
        <v>0</v>
      </c>
    </row>
    <row r="548" spans="10:10" x14ac:dyDescent="0.35">
      <c r="J548">
        <v>0</v>
      </c>
    </row>
    <row r="549" spans="10:10" x14ac:dyDescent="0.35">
      <c r="J549">
        <v>0</v>
      </c>
    </row>
    <row r="550" spans="10:10" x14ac:dyDescent="0.35">
      <c r="J550">
        <v>0</v>
      </c>
    </row>
    <row r="551" spans="10:10" x14ac:dyDescent="0.35">
      <c r="J551">
        <v>0</v>
      </c>
    </row>
    <row r="552" spans="10:10" x14ac:dyDescent="0.35">
      <c r="J552">
        <v>0</v>
      </c>
    </row>
    <row r="553" spans="10:10" x14ac:dyDescent="0.35">
      <c r="J553">
        <v>0</v>
      </c>
    </row>
    <row r="554" spans="10:10" x14ac:dyDescent="0.35">
      <c r="J554">
        <v>0</v>
      </c>
    </row>
    <row r="555" spans="10:10" x14ac:dyDescent="0.35">
      <c r="J555">
        <v>0</v>
      </c>
    </row>
    <row r="556" spans="10:10" x14ac:dyDescent="0.35">
      <c r="J556">
        <v>0</v>
      </c>
    </row>
    <row r="557" spans="10:10" x14ac:dyDescent="0.35">
      <c r="J557">
        <v>0</v>
      </c>
    </row>
    <row r="558" spans="10:10" x14ac:dyDescent="0.35">
      <c r="J558">
        <v>0</v>
      </c>
    </row>
    <row r="559" spans="10:10" x14ac:dyDescent="0.35">
      <c r="J559">
        <v>0</v>
      </c>
    </row>
    <row r="560" spans="10:10" x14ac:dyDescent="0.35">
      <c r="J560">
        <v>0</v>
      </c>
    </row>
    <row r="561" spans="10:10" x14ac:dyDescent="0.35">
      <c r="J561">
        <v>0</v>
      </c>
    </row>
    <row r="562" spans="10:10" x14ac:dyDescent="0.35">
      <c r="J562">
        <v>0</v>
      </c>
    </row>
    <row r="563" spans="10:10" x14ac:dyDescent="0.35">
      <c r="J563">
        <v>0</v>
      </c>
    </row>
    <row r="564" spans="10:10" x14ac:dyDescent="0.35">
      <c r="J564">
        <v>0</v>
      </c>
    </row>
    <row r="565" spans="10:10" x14ac:dyDescent="0.35">
      <c r="J565">
        <v>0</v>
      </c>
    </row>
    <row r="566" spans="10:10" x14ac:dyDescent="0.35">
      <c r="J566">
        <v>0</v>
      </c>
    </row>
    <row r="567" spans="10:10" x14ac:dyDescent="0.35">
      <c r="J567">
        <v>0</v>
      </c>
    </row>
    <row r="568" spans="10:10" x14ac:dyDescent="0.35">
      <c r="J568">
        <v>0</v>
      </c>
    </row>
    <row r="569" spans="10:10" x14ac:dyDescent="0.35">
      <c r="J569">
        <v>0</v>
      </c>
    </row>
    <row r="570" spans="10:10" x14ac:dyDescent="0.35">
      <c r="J570">
        <v>0</v>
      </c>
    </row>
    <row r="571" spans="10:10" x14ac:dyDescent="0.35">
      <c r="J571">
        <v>0</v>
      </c>
    </row>
    <row r="572" spans="10:10" x14ac:dyDescent="0.35">
      <c r="J572">
        <v>0</v>
      </c>
    </row>
    <row r="573" spans="10:10" x14ac:dyDescent="0.35">
      <c r="J573">
        <v>0</v>
      </c>
    </row>
    <row r="574" spans="10:10" x14ac:dyDescent="0.35">
      <c r="J574">
        <v>0</v>
      </c>
    </row>
    <row r="575" spans="10:10" x14ac:dyDescent="0.35">
      <c r="J575">
        <v>0</v>
      </c>
    </row>
    <row r="576" spans="10:10" x14ac:dyDescent="0.35">
      <c r="J576">
        <v>0</v>
      </c>
    </row>
    <row r="577" spans="10:10" x14ac:dyDescent="0.35">
      <c r="J577">
        <v>0</v>
      </c>
    </row>
    <row r="578" spans="10:10" x14ac:dyDescent="0.35">
      <c r="J578">
        <v>0</v>
      </c>
    </row>
    <row r="579" spans="10:10" x14ac:dyDescent="0.35">
      <c r="J579">
        <v>0</v>
      </c>
    </row>
    <row r="580" spans="10:10" x14ac:dyDescent="0.35">
      <c r="J580">
        <v>0</v>
      </c>
    </row>
    <row r="581" spans="10:10" x14ac:dyDescent="0.35">
      <c r="J581">
        <v>0</v>
      </c>
    </row>
    <row r="582" spans="10:10" x14ac:dyDescent="0.35">
      <c r="J582">
        <v>0</v>
      </c>
    </row>
    <row r="583" spans="10:10" x14ac:dyDescent="0.35">
      <c r="J583">
        <v>0</v>
      </c>
    </row>
    <row r="584" spans="10:10" x14ac:dyDescent="0.35">
      <c r="J584">
        <v>0</v>
      </c>
    </row>
    <row r="585" spans="10:10" x14ac:dyDescent="0.35">
      <c r="J585">
        <v>0</v>
      </c>
    </row>
    <row r="586" spans="10:10" x14ac:dyDescent="0.35">
      <c r="J586">
        <v>0</v>
      </c>
    </row>
    <row r="587" spans="10:10" x14ac:dyDescent="0.35">
      <c r="J587">
        <v>0</v>
      </c>
    </row>
    <row r="590" spans="10:10" x14ac:dyDescent="0.35">
      <c r="J590">
        <v>0</v>
      </c>
    </row>
    <row r="591" spans="10:10" x14ac:dyDescent="0.35">
      <c r="J591">
        <v>0</v>
      </c>
    </row>
    <row r="592" spans="10:10" x14ac:dyDescent="0.35">
      <c r="J592">
        <v>0</v>
      </c>
    </row>
    <row r="593" spans="10:10" x14ac:dyDescent="0.35">
      <c r="J593">
        <v>0</v>
      </c>
    </row>
    <row r="594" spans="10:10" x14ac:dyDescent="0.35">
      <c r="J594">
        <v>0</v>
      </c>
    </row>
    <row r="595" spans="10:10" x14ac:dyDescent="0.35">
      <c r="J595">
        <v>0</v>
      </c>
    </row>
    <row r="596" spans="10:10" x14ac:dyDescent="0.35">
      <c r="J596">
        <v>0</v>
      </c>
    </row>
    <row r="597" spans="10:10" x14ac:dyDescent="0.35">
      <c r="J597">
        <v>0</v>
      </c>
    </row>
    <row r="598" spans="10:10" x14ac:dyDescent="0.35">
      <c r="J598">
        <v>0</v>
      </c>
    </row>
    <row r="599" spans="10:10" x14ac:dyDescent="0.35">
      <c r="J599">
        <v>0</v>
      </c>
    </row>
    <row r="600" spans="10:10" x14ac:dyDescent="0.35">
      <c r="J600">
        <v>0</v>
      </c>
    </row>
    <row r="601" spans="10:10" x14ac:dyDescent="0.35">
      <c r="J601">
        <v>0</v>
      </c>
    </row>
    <row r="602" spans="10:10" x14ac:dyDescent="0.35">
      <c r="J602">
        <v>0</v>
      </c>
    </row>
    <row r="603" spans="10:10" x14ac:dyDescent="0.35">
      <c r="J603">
        <v>0</v>
      </c>
    </row>
    <row r="604" spans="10:10" x14ac:dyDescent="0.35">
      <c r="J604">
        <v>0</v>
      </c>
    </row>
    <row r="605" spans="10:10" x14ac:dyDescent="0.35">
      <c r="J605">
        <v>0</v>
      </c>
    </row>
    <row r="606" spans="10:10" x14ac:dyDescent="0.35">
      <c r="J606">
        <v>0</v>
      </c>
    </row>
    <row r="607" spans="10:10" x14ac:dyDescent="0.35">
      <c r="J607">
        <v>0</v>
      </c>
    </row>
    <row r="608" spans="10:10" x14ac:dyDescent="0.35">
      <c r="J608">
        <v>0</v>
      </c>
    </row>
    <row r="609" spans="10:10" x14ac:dyDescent="0.35">
      <c r="J609">
        <v>0</v>
      </c>
    </row>
    <row r="610" spans="10:10" x14ac:dyDescent="0.35">
      <c r="J610">
        <v>0</v>
      </c>
    </row>
    <row r="611" spans="10:10" x14ac:dyDescent="0.35">
      <c r="J611">
        <v>0</v>
      </c>
    </row>
    <row r="612" spans="10:10" x14ac:dyDescent="0.35">
      <c r="J612">
        <v>0</v>
      </c>
    </row>
    <row r="613" spans="10:10" x14ac:dyDescent="0.35">
      <c r="J613">
        <v>0</v>
      </c>
    </row>
    <row r="614" spans="10:10" x14ac:dyDescent="0.35">
      <c r="J614">
        <v>0</v>
      </c>
    </row>
    <row r="615" spans="10:10" x14ac:dyDescent="0.35">
      <c r="J615">
        <v>0</v>
      </c>
    </row>
    <row r="616" spans="10:10" x14ac:dyDescent="0.35">
      <c r="J616">
        <v>0</v>
      </c>
    </row>
    <row r="617" spans="10:10" x14ac:dyDescent="0.35">
      <c r="J617">
        <v>0</v>
      </c>
    </row>
    <row r="618" spans="10:10" x14ac:dyDescent="0.35">
      <c r="J618">
        <v>0</v>
      </c>
    </row>
    <row r="619" spans="10:10" x14ac:dyDescent="0.35">
      <c r="J619">
        <v>0</v>
      </c>
    </row>
    <row r="620" spans="10:10" x14ac:dyDescent="0.35">
      <c r="J620">
        <v>0</v>
      </c>
    </row>
    <row r="621" spans="10:10" x14ac:dyDescent="0.35">
      <c r="J621">
        <v>0</v>
      </c>
    </row>
    <row r="622" spans="10:10" x14ac:dyDescent="0.35">
      <c r="J622">
        <v>0</v>
      </c>
    </row>
    <row r="623" spans="10:10" x14ac:dyDescent="0.35">
      <c r="J623">
        <v>0</v>
      </c>
    </row>
    <row r="624" spans="10:10" x14ac:dyDescent="0.35">
      <c r="J624">
        <v>0</v>
      </c>
    </row>
    <row r="625" spans="10:10" x14ac:dyDescent="0.35">
      <c r="J625">
        <v>0</v>
      </c>
    </row>
    <row r="626" spans="10:10" x14ac:dyDescent="0.35">
      <c r="J626">
        <v>0</v>
      </c>
    </row>
    <row r="627" spans="10:10" x14ac:dyDescent="0.35">
      <c r="J627">
        <v>0</v>
      </c>
    </row>
    <row r="628" spans="10:10" x14ac:dyDescent="0.35">
      <c r="J628">
        <v>0</v>
      </c>
    </row>
    <row r="629" spans="10:10" x14ac:dyDescent="0.35">
      <c r="J629">
        <v>0</v>
      </c>
    </row>
    <row r="632" spans="10:10" x14ac:dyDescent="0.35">
      <c r="J632">
        <v>0</v>
      </c>
    </row>
    <row r="633" spans="10:10" x14ac:dyDescent="0.35">
      <c r="J633">
        <v>0</v>
      </c>
    </row>
    <row r="634" spans="10:10" x14ac:dyDescent="0.35">
      <c r="J634">
        <v>0</v>
      </c>
    </row>
    <row r="635" spans="10:10" x14ac:dyDescent="0.35">
      <c r="J635">
        <v>0</v>
      </c>
    </row>
    <row r="636" spans="10:10" x14ac:dyDescent="0.35">
      <c r="J636">
        <v>0</v>
      </c>
    </row>
    <row r="637" spans="10:10" x14ac:dyDescent="0.35">
      <c r="J637">
        <v>0</v>
      </c>
    </row>
    <row r="638" spans="10:10" x14ac:dyDescent="0.35">
      <c r="J638">
        <v>0</v>
      </c>
    </row>
    <row r="639" spans="10:10" x14ac:dyDescent="0.35">
      <c r="J639">
        <v>0</v>
      </c>
    </row>
    <row r="640" spans="10:10" x14ac:dyDescent="0.35">
      <c r="J640">
        <v>0</v>
      </c>
    </row>
    <row r="641" spans="10:10" x14ac:dyDescent="0.35">
      <c r="J641">
        <v>0</v>
      </c>
    </row>
    <row r="642" spans="10:10" x14ac:dyDescent="0.35">
      <c r="J642">
        <v>0</v>
      </c>
    </row>
    <row r="643" spans="10:10" x14ac:dyDescent="0.35">
      <c r="J643">
        <v>0</v>
      </c>
    </row>
    <row r="644" spans="10:10" x14ac:dyDescent="0.35">
      <c r="J644">
        <v>0</v>
      </c>
    </row>
    <row r="645" spans="10:10" x14ac:dyDescent="0.35">
      <c r="J645">
        <v>0</v>
      </c>
    </row>
    <row r="646" spans="10:10" x14ac:dyDescent="0.35">
      <c r="J646">
        <v>0</v>
      </c>
    </row>
    <row r="647" spans="10:10" x14ac:dyDescent="0.35">
      <c r="J647">
        <v>0</v>
      </c>
    </row>
    <row r="648" spans="10:10" x14ac:dyDescent="0.35">
      <c r="J648">
        <v>0</v>
      </c>
    </row>
    <row r="649" spans="10:10" x14ac:dyDescent="0.35">
      <c r="J649">
        <v>0</v>
      </c>
    </row>
    <row r="650" spans="10:10" x14ac:dyDescent="0.35">
      <c r="J650">
        <v>0</v>
      </c>
    </row>
    <row r="651" spans="10:10" x14ac:dyDescent="0.35">
      <c r="J651">
        <v>0</v>
      </c>
    </row>
    <row r="652" spans="10:10" x14ac:dyDescent="0.35">
      <c r="J652">
        <v>0</v>
      </c>
    </row>
    <row r="653" spans="10:10" x14ac:dyDescent="0.35">
      <c r="J653">
        <v>0</v>
      </c>
    </row>
    <row r="654" spans="10:10" x14ac:dyDescent="0.35">
      <c r="J654">
        <v>0</v>
      </c>
    </row>
    <row r="655" spans="10:10" x14ac:dyDescent="0.35">
      <c r="J655">
        <v>0</v>
      </c>
    </row>
    <row r="656" spans="10:10" x14ac:dyDescent="0.35">
      <c r="J656">
        <v>0</v>
      </c>
    </row>
    <row r="657" spans="10:10" x14ac:dyDescent="0.35">
      <c r="J657">
        <v>0</v>
      </c>
    </row>
    <row r="658" spans="10:10" x14ac:dyDescent="0.35">
      <c r="J658">
        <v>0</v>
      </c>
    </row>
    <row r="659" spans="10:10" x14ac:dyDescent="0.35">
      <c r="J659">
        <v>0</v>
      </c>
    </row>
    <row r="660" spans="10:10" x14ac:dyDescent="0.35">
      <c r="J660">
        <v>0</v>
      </c>
    </row>
    <row r="661" spans="10:10" x14ac:dyDescent="0.35">
      <c r="J661">
        <v>0</v>
      </c>
    </row>
    <row r="662" spans="10:10" x14ac:dyDescent="0.35">
      <c r="J662">
        <v>0</v>
      </c>
    </row>
    <row r="663" spans="10:10" x14ac:dyDescent="0.35">
      <c r="J663">
        <v>0</v>
      </c>
    </row>
    <row r="664" spans="10:10" x14ac:dyDescent="0.35">
      <c r="J664">
        <v>0</v>
      </c>
    </row>
    <row r="665" spans="10:10" x14ac:dyDescent="0.35">
      <c r="J665">
        <v>0</v>
      </c>
    </row>
    <row r="666" spans="10:10" x14ac:dyDescent="0.35">
      <c r="J666">
        <v>0</v>
      </c>
    </row>
    <row r="667" spans="10:10" x14ac:dyDescent="0.35">
      <c r="J667">
        <v>0</v>
      </c>
    </row>
    <row r="668" spans="10:10" x14ac:dyDescent="0.35">
      <c r="J668">
        <v>0</v>
      </c>
    </row>
    <row r="669" spans="10:10" x14ac:dyDescent="0.35">
      <c r="J669">
        <v>0</v>
      </c>
    </row>
    <row r="670" spans="10:10" x14ac:dyDescent="0.35">
      <c r="J670">
        <v>0</v>
      </c>
    </row>
    <row r="671" spans="10:10" x14ac:dyDescent="0.35">
      <c r="J671">
        <v>0</v>
      </c>
    </row>
    <row r="674" spans="10:10" x14ac:dyDescent="0.35">
      <c r="J674">
        <v>0</v>
      </c>
    </row>
    <row r="675" spans="10:10" x14ac:dyDescent="0.35">
      <c r="J675">
        <v>0</v>
      </c>
    </row>
    <row r="676" spans="10:10" x14ac:dyDescent="0.35">
      <c r="J676">
        <v>0</v>
      </c>
    </row>
    <row r="677" spans="10:10" x14ac:dyDescent="0.35">
      <c r="J677">
        <v>0</v>
      </c>
    </row>
    <row r="678" spans="10:10" x14ac:dyDescent="0.35">
      <c r="J678">
        <v>0</v>
      </c>
    </row>
    <row r="679" spans="10:10" x14ac:dyDescent="0.35">
      <c r="J679">
        <v>0</v>
      </c>
    </row>
    <row r="680" spans="10:10" x14ac:dyDescent="0.35">
      <c r="J680">
        <v>0</v>
      </c>
    </row>
    <row r="681" spans="10:10" x14ac:dyDescent="0.35">
      <c r="J681">
        <v>0</v>
      </c>
    </row>
    <row r="682" spans="10:10" x14ac:dyDescent="0.35">
      <c r="J682">
        <v>0</v>
      </c>
    </row>
    <row r="683" spans="10:10" x14ac:dyDescent="0.35">
      <c r="J683">
        <v>0</v>
      </c>
    </row>
    <row r="684" spans="10:10" x14ac:dyDescent="0.35">
      <c r="J684">
        <v>0</v>
      </c>
    </row>
    <row r="685" spans="10:10" x14ac:dyDescent="0.35">
      <c r="J685">
        <v>0</v>
      </c>
    </row>
    <row r="686" spans="10:10" x14ac:dyDescent="0.35">
      <c r="J686">
        <v>0</v>
      </c>
    </row>
    <row r="687" spans="10:10" x14ac:dyDescent="0.35">
      <c r="J687">
        <v>0</v>
      </c>
    </row>
    <row r="688" spans="10:10" x14ac:dyDescent="0.35">
      <c r="J688">
        <v>0</v>
      </c>
    </row>
    <row r="689" spans="10:10" x14ac:dyDescent="0.35">
      <c r="J689">
        <v>0</v>
      </c>
    </row>
    <row r="690" spans="10:10" x14ac:dyDescent="0.35">
      <c r="J690">
        <v>0</v>
      </c>
    </row>
    <row r="691" spans="10:10" x14ac:dyDescent="0.35">
      <c r="J691">
        <v>0</v>
      </c>
    </row>
    <row r="692" spans="10:10" x14ac:dyDescent="0.35">
      <c r="J692">
        <v>0</v>
      </c>
    </row>
    <row r="693" spans="10:10" x14ac:dyDescent="0.35">
      <c r="J693">
        <v>0</v>
      </c>
    </row>
    <row r="694" spans="10:10" x14ac:dyDescent="0.35">
      <c r="J694">
        <v>0</v>
      </c>
    </row>
    <row r="695" spans="10:10" x14ac:dyDescent="0.35">
      <c r="J695">
        <v>0</v>
      </c>
    </row>
    <row r="696" spans="10:10" x14ac:dyDescent="0.35">
      <c r="J696">
        <v>0</v>
      </c>
    </row>
    <row r="697" spans="10:10" x14ac:dyDescent="0.35">
      <c r="J697">
        <v>0</v>
      </c>
    </row>
    <row r="700" spans="10:10" x14ac:dyDescent="0.35">
      <c r="J700">
        <v>0</v>
      </c>
    </row>
    <row r="701" spans="10:10" x14ac:dyDescent="0.35">
      <c r="J701">
        <v>0</v>
      </c>
    </row>
    <row r="702" spans="10:10" x14ac:dyDescent="0.35">
      <c r="J702">
        <v>0</v>
      </c>
    </row>
    <row r="703" spans="10:10" x14ac:dyDescent="0.35">
      <c r="J703">
        <v>0</v>
      </c>
    </row>
    <row r="704" spans="10:10" x14ac:dyDescent="0.35">
      <c r="J704">
        <v>0</v>
      </c>
    </row>
    <row r="705" spans="10:10" x14ac:dyDescent="0.35">
      <c r="J705">
        <v>0</v>
      </c>
    </row>
    <row r="706" spans="10:10" x14ac:dyDescent="0.35">
      <c r="J706">
        <v>0</v>
      </c>
    </row>
    <row r="707" spans="10:10" x14ac:dyDescent="0.35">
      <c r="J707">
        <v>0</v>
      </c>
    </row>
    <row r="708" spans="10:10" x14ac:dyDescent="0.35">
      <c r="J708">
        <v>0</v>
      </c>
    </row>
    <row r="709" spans="10:10" x14ac:dyDescent="0.35">
      <c r="J709">
        <v>0</v>
      </c>
    </row>
    <row r="710" spans="10:10" x14ac:dyDescent="0.35">
      <c r="J710">
        <v>0</v>
      </c>
    </row>
    <row r="711" spans="10:10" x14ac:dyDescent="0.35">
      <c r="J711">
        <v>0</v>
      </c>
    </row>
    <row r="712" spans="10:10" x14ac:dyDescent="0.35">
      <c r="J712">
        <v>0</v>
      </c>
    </row>
    <row r="713" spans="10:10" x14ac:dyDescent="0.35">
      <c r="J713">
        <v>0</v>
      </c>
    </row>
    <row r="714" spans="10:10" x14ac:dyDescent="0.35">
      <c r="J714">
        <v>0</v>
      </c>
    </row>
    <row r="715" spans="10:10" x14ac:dyDescent="0.35">
      <c r="J715">
        <v>0</v>
      </c>
    </row>
    <row r="716" spans="10:10" x14ac:dyDescent="0.35">
      <c r="J716">
        <v>0</v>
      </c>
    </row>
    <row r="717" spans="10:10" x14ac:dyDescent="0.35">
      <c r="J717">
        <v>0</v>
      </c>
    </row>
    <row r="718" spans="10:10" x14ac:dyDescent="0.35">
      <c r="J718">
        <v>0</v>
      </c>
    </row>
    <row r="719" spans="10:10" x14ac:dyDescent="0.35">
      <c r="J719">
        <v>0</v>
      </c>
    </row>
    <row r="720" spans="10:10" x14ac:dyDescent="0.35">
      <c r="J720">
        <v>0</v>
      </c>
    </row>
    <row r="721" spans="10:10" x14ac:dyDescent="0.35">
      <c r="J721">
        <v>0</v>
      </c>
    </row>
    <row r="722" spans="10:10" x14ac:dyDescent="0.35">
      <c r="J722">
        <v>0</v>
      </c>
    </row>
    <row r="723" spans="10:10" x14ac:dyDescent="0.35">
      <c r="J723">
        <v>0</v>
      </c>
    </row>
    <row r="726" spans="10:10" x14ac:dyDescent="0.35">
      <c r="J726">
        <v>0</v>
      </c>
    </row>
    <row r="727" spans="10:10" x14ac:dyDescent="0.35">
      <c r="J727">
        <v>0</v>
      </c>
    </row>
    <row r="728" spans="10:10" x14ac:dyDescent="0.35">
      <c r="J728">
        <v>0</v>
      </c>
    </row>
    <row r="729" spans="10:10" x14ac:dyDescent="0.35">
      <c r="J729">
        <v>0</v>
      </c>
    </row>
    <row r="730" spans="10:10" x14ac:dyDescent="0.35">
      <c r="J730">
        <v>0</v>
      </c>
    </row>
    <row r="731" spans="10:10" x14ac:dyDescent="0.35">
      <c r="J731">
        <v>0</v>
      </c>
    </row>
    <row r="732" spans="10:10" x14ac:dyDescent="0.35">
      <c r="J732">
        <v>0</v>
      </c>
    </row>
    <row r="733" spans="10:10" x14ac:dyDescent="0.35">
      <c r="J733">
        <v>0</v>
      </c>
    </row>
    <row r="734" spans="10:10" x14ac:dyDescent="0.35">
      <c r="J734">
        <v>0</v>
      </c>
    </row>
    <row r="735" spans="10:10" x14ac:dyDescent="0.35">
      <c r="J735">
        <v>0</v>
      </c>
    </row>
    <row r="736" spans="10:10" x14ac:dyDescent="0.35">
      <c r="J736">
        <v>0</v>
      </c>
    </row>
    <row r="737" spans="10:10" x14ac:dyDescent="0.35">
      <c r="J737">
        <v>0</v>
      </c>
    </row>
    <row r="738" spans="10:10" x14ac:dyDescent="0.35">
      <c r="J738">
        <v>0</v>
      </c>
    </row>
    <row r="739" spans="10:10" x14ac:dyDescent="0.35">
      <c r="J739">
        <v>0</v>
      </c>
    </row>
    <row r="740" spans="10:10" x14ac:dyDescent="0.35">
      <c r="J740">
        <v>0</v>
      </c>
    </row>
    <row r="741" spans="10:10" x14ac:dyDescent="0.35">
      <c r="J741">
        <v>0</v>
      </c>
    </row>
    <row r="742" spans="10:10" x14ac:dyDescent="0.35">
      <c r="J742">
        <v>0</v>
      </c>
    </row>
    <row r="743" spans="10:10" x14ac:dyDescent="0.35">
      <c r="J743">
        <v>0</v>
      </c>
    </row>
    <row r="744" spans="10:10" x14ac:dyDescent="0.35">
      <c r="J744">
        <v>0</v>
      </c>
    </row>
    <row r="745" spans="10:10" x14ac:dyDescent="0.35">
      <c r="J745">
        <v>0</v>
      </c>
    </row>
    <row r="746" spans="10:10" x14ac:dyDescent="0.35">
      <c r="J746">
        <v>0</v>
      </c>
    </row>
    <row r="747" spans="10:10" x14ac:dyDescent="0.35">
      <c r="J747">
        <v>0</v>
      </c>
    </row>
    <row r="748" spans="10:10" x14ac:dyDescent="0.35">
      <c r="J748">
        <v>0</v>
      </c>
    </row>
    <row r="749" spans="10:10" x14ac:dyDescent="0.35">
      <c r="J749">
        <v>0</v>
      </c>
    </row>
    <row r="752" spans="10:10" x14ac:dyDescent="0.35">
      <c r="J752">
        <v>0</v>
      </c>
    </row>
    <row r="753" spans="10:10" x14ac:dyDescent="0.35">
      <c r="J753">
        <v>0</v>
      </c>
    </row>
    <row r="754" spans="10:10" x14ac:dyDescent="0.35">
      <c r="J754">
        <v>0</v>
      </c>
    </row>
    <row r="755" spans="10:10" x14ac:dyDescent="0.35">
      <c r="J755">
        <v>0</v>
      </c>
    </row>
    <row r="756" spans="10:10" x14ac:dyDescent="0.35">
      <c r="J756">
        <v>0</v>
      </c>
    </row>
    <row r="757" spans="10:10" x14ac:dyDescent="0.35">
      <c r="J757">
        <v>0</v>
      </c>
    </row>
    <row r="758" spans="10:10" x14ac:dyDescent="0.35">
      <c r="J758">
        <v>0</v>
      </c>
    </row>
    <row r="759" spans="10:10" x14ac:dyDescent="0.35">
      <c r="J759">
        <v>0</v>
      </c>
    </row>
    <row r="760" spans="10:10" x14ac:dyDescent="0.35">
      <c r="J760">
        <v>0</v>
      </c>
    </row>
    <row r="761" spans="10:10" x14ac:dyDescent="0.35">
      <c r="J761">
        <v>0</v>
      </c>
    </row>
    <row r="762" spans="10:10" x14ac:dyDescent="0.35">
      <c r="J762">
        <v>0</v>
      </c>
    </row>
    <row r="763" spans="10:10" x14ac:dyDescent="0.35">
      <c r="J763">
        <v>0</v>
      </c>
    </row>
    <row r="764" spans="10:10" x14ac:dyDescent="0.35">
      <c r="J764">
        <v>0</v>
      </c>
    </row>
    <row r="765" spans="10:10" x14ac:dyDescent="0.35">
      <c r="J765">
        <v>0</v>
      </c>
    </row>
    <row r="766" spans="10:10" x14ac:dyDescent="0.35">
      <c r="J766">
        <v>0</v>
      </c>
    </row>
    <row r="767" spans="10:10" x14ac:dyDescent="0.35">
      <c r="J767">
        <v>0</v>
      </c>
    </row>
    <row r="768" spans="10:10" x14ac:dyDescent="0.35">
      <c r="J768">
        <v>0</v>
      </c>
    </row>
    <row r="769" spans="10:10" x14ac:dyDescent="0.35">
      <c r="J769">
        <v>0</v>
      </c>
    </row>
    <row r="770" spans="10:10" x14ac:dyDescent="0.35">
      <c r="J770">
        <v>0</v>
      </c>
    </row>
    <row r="771" spans="10:10" x14ac:dyDescent="0.35">
      <c r="J771">
        <v>0</v>
      </c>
    </row>
    <row r="772" spans="10:10" x14ac:dyDescent="0.35">
      <c r="J772">
        <v>0</v>
      </c>
    </row>
    <row r="773" spans="10:10" x14ac:dyDescent="0.35">
      <c r="J773">
        <v>0</v>
      </c>
    </row>
    <row r="774" spans="10:10" x14ac:dyDescent="0.35">
      <c r="J774">
        <v>0</v>
      </c>
    </row>
    <row r="775" spans="10:10" x14ac:dyDescent="0.35">
      <c r="J775">
        <v>0</v>
      </c>
    </row>
    <row r="778" spans="10:10" x14ac:dyDescent="0.35">
      <c r="J778">
        <v>0</v>
      </c>
    </row>
    <row r="779" spans="10:10" x14ac:dyDescent="0.35">
      <c r="J779">
        <v>0</v>
      </c>
    </row>
    <row r="780" spans="10:10" x14ac:dyDescent="0.35">
      <c r="J780">
        <v>0</v>
      </c>
    </row>
    <row r="781" spans="10:10" x14ac:dyDescent="0.35">
      <c r="J781">
        <v>0</v>
      </c>
    </row>
    <row r="782" spans="10:10" x14ac:dyDescent="0.35">
      <c r="J782">
        <v>0</v>
      </c>
    </row>
    <row r="783" spans="10:10" x14ac:dyDescent="0.35">
      <c r="J783">
        <v>0</v>
      </c>
    </row>
    <row r="784" spans="10:10" x14ac:dyDescent="0.35">
      <c r="J784">
        <v>0</v>
      </c>
    </row>
    <row r="785" spans="10:10" x14ac:dyDescent="0.35">
      <c r="J785">
        <v>0</v>
      </c>
    </row>
    <row r="786" spans="10:10" x14ac:dyDescent="0.35">
      <c r="J786">
        <v>0</v>
      </c>
    </row>
    <row r="787" spans="10:10" x14ac:dyDescent="0.35">
      <c r="J787">
        <v>0</v>
      </c>
    </row>
    <row r="788" spans="10:10" x14ac:dyDescent="0.35">
      <c r="J788">
        <v>0</v>
      </c>
    </row>
    <row r="789" spans="10:10" x14ac:dyDescent="0.35">
      <c r="J789">
        <v>0</v>
      </c>
    </row>
    <row r="790" spans="10:10" x14ac:dyDescent="0.35">
      <c r="J790">
        <v>0</v>
      </c>
    </row>
    <row r="791" spans="10:10" x14ac:dyDescent="0.35">
      <c r="J791">
        <v>0</v>
      </c>
    </row>
    <row r="792" spans="10:10" x14ac:dyDescent="0.35">
      <c r="J792">
        <v>0</v>
      </c>
    </row>
    <row r="793" spans="10:10" x14ac:dyDescent="0.35">
      <c r="J793">
        <v>0</v>
      </c>
    </row>
    <row r="794" spans="10:10" x14ac:dyDescent="0.35">
      <c r="J794">
        <v>0</v>
      </c>
    </row>
    <row r="795" spans="10:10" x14ac:dyDescent="0.35">
      <c r="J795">
        <v>0</v>
      </c>
    </row>
    <row r="796" spans="10:10" x14ac:dyDescent="0.35">
      <c r="J796">
        <v>0</v>
      </c>
    </row>
    <row r="797" spans="10:10" x14ac:dyDescent="0.35">
      <c r="J797">
        <v>0</v>
      </c>
    </row>
    <row r="798" spans="10:10" x14ac:dyDescent="0.35">
      <c r="J798">
        <v>0</v>
      </c>
    </row>
    <row r="799" spans="10:10" x14ac:dyDescent="0.35">
      <c r="J799">
        <v>0</v>
      </c>
    </row>
    <row r="800" spans="10:10" x14ac:dyDescent="0.35">
      <c r="J800">
        <v>0</v>
      </c>
    </row>
    <row r="801" spans="10:10" x14ac:dyDescent="0.35">
      <c r="J801">
        <v>0</v>
      </c>
    </row>
    <row r="802" spans="10:10" x14ac:dyDescent="0.35">
      <c r="J802">
        <v>0</v>
      </c>
    </row>
    <row r="803" spans="10:10" x14ac:dyDescent="0.35">
      <c r="J803">
        <v>0</v>
      </c>
    </row>
    <row r="804" spans="10:10" x14ac:dyDescent="0.35">
      <c r="J804">
        <v>0</v>
      </c>
    </row>
    <row r="805" spans="10:10" x14ac:dyDescent="0.35">
      <c r="J805">
        <v>0</v>
      </c>
    </row>
    <row r="806" spans="10:10" x14ac:dyDescent="0.35">
      <c r="J806">
        <v>0</v>
      </c>
    </row>
    <row r="807" spans="10:10" x14ac:dyDescent="0.35">
      <c r="J807">
        <v>0</v>
      </c>
    </row>
    <row r="808" spans="10:10" x14ac:dyDescent="0.35">
      <c r="J808">
        <v>0</v>
      </c>
    </row>
    <row r="809" spans="10:10" x14ac:dyDescent="0.35">
      <c r="J809">
        <v>0</v>
      </c>
    </row>
    <row r="810" spans="10:10" x14ac:dyDescent="0.35">
      <c r="J810">
        <v>0</v>
      </c>
    </row>
    <row r="811" spans="10:10" x14ac:dyDescent="0.35">
      <c r="J811">
        <v>0</v>
      </c>
    </row>
    <row r="812" spans="10:10" x14ac:dyDescent="0.35">
      <c r="J812">
        <v>0</v>
      </c>
    </row>
    <row r="813" spans="10:10" x14ac:dyDescent="0.35">
      <c r="J813">
        <v>0</v>
      </c>
    </row>
    <row r="814" spans="10:10" x14ac:dyDescent="0.35">
      <c r="J814">
        <v>0</v>
      </c>
    </row>
    <row r="815" spans="10:10" x14ac:dyDescent="0.35">
      <c r="J815">
        <v>0</v>
      </c>
    </row>
    <row r="816" spans="10:10" x14ac:dyDescent="0.35">
      <c r="J816">
        <v>0</v>
      </c>
    </row>
    <row r="817" spans="10:10" x14ac:dyDescent="0.35">
      <c r="J817">
        <v>0</v>
      </c>
    </row>
    <row r="820" spans="10:10" x14ac:dyDescent="0.35">
      <c r="J820">
        <v>0</v>
      </c>
    </row>
    <row r="821" spans="10:10" x14ac:dyDescent="0.35">
      <c r="J821">
        <v>0</v>
      </c>
    </row>
    <row r="822" spans="10:10" x14ac:dyDescent="0.35">
      <c r="J822">
        <v>0</v>
      </c>
    </row>
    <row r="823" spans="10:10" x14ac:dyDescent="0.35">
      <c r="J823">
        <v>0</v>
      </c>
    </row>
    <row r="824" spans="10:10" x14ac:dyDescent="0.35">
      <c r="J824">
        <v>0</v>
      </c>
    </row>
    <row r="825" spans="10:10" x14ac:dyDescent="0.35">
      <c r="J825">
        <v>0</v>
      </c>
    </row>
    <row r="826" spans="10:10" x14ac:dyDescent="0.35">
      <c r="J826">
        <v>0</v>
      </c>
    </row>
    <row r="827" spans="10:10" x14ac:dyDescent="0.35">
      <c r="J827">
        <v>0</v>
      </c>
    </row>
    <row r="828" spans="10:10" x14ac:dyDescent="0.35">
      <c r="J828">
        <v>0</v>
      </c>
    </row>
    <row r="829" spans="10:10" x14ac:dyDescent="0.35">
      <c r="J829">
        <v>0</v>
      </c>
    </row>
    <row r="830" spans="10:10" x14ac:dyDescent="0.35">
      <c r="J830">
        <v>0</v>
      </c>
    </row>
    <row r="831" spans="10:10" x14ac:dyDescent="0.35">
      <c r="J831">
        <v>0</v>
      </c>
    </row>
    <row r="832" spans="10:10" x14ac:dyDescent="0.35">
      <c r="J832">
        <v>0</v>
      </c>
    </row>
    <row r="833" spans="10:10" x14ac:dyDescent="0.35">
      <c r="J833">
        <v>0</v>
      </c>
    </row>
    <row r="834" spans="10:10" x14ac:dyDescent="0.35">
      <c r="J834">
        <v>0</v>
      </c>
    </row>
    <row r="835" spans="10:10" x14ac:dyDescent="0.35">
      <c r="J835">
        <v>0</v>
      </c>
    </row>
    <row r="836" spans="10:10" x14ac:dyDescent="0.35">
      <c r="J836">
        <v>0</v>
      </c>
    </row>
    <row r="837" spans="10:10" x14ac:dyDescent="0.35">
      <c r="J837">
        <v>0</v>
      </c>
    </row>
    <row r="838" spans="10:10" x14ac:dyDescent="0.35">
      <c r="J838">
        <v>0</v>
      </c>
    </row>
    <row r="839" spans="10:10" x14ac:dyDescent="0.35">
      <c r="J839">
        <v>0</v>
      </c>
    </row>
    <row r="840" spans="10:10" x14ac:dyDescent="0.35">
      <c r="J840">
        <v>0</v>
      </c>
    </row>
    <row r="841" spans="10:10" x14ac:dyDescent="0.35">
      <c r="J841">
        <v>0</v>
      </c>
    </row>
    <row r="842" spans="10:10" x14ac:dyDescent="0.35">
      <c r="J842">
        <v>0</v>
      </c>
    </row>
    <row r="843" spans="10:10" x14ac:dyDescent="0.35">
      <c r="J843">
        <v>0</v>
      </c>
    </row>
    <row r="844" spans="10:10" x14ac:dyDescent="0.35">
      <c r="J844">
        <v>0</v>
      </c>
    </row>
    <row r="845" spans="10:10" x14ac:dyDescent="0.35">
      <c r="J845">
        <v>0</v>
      </c>
    </row>
    <row r="846" spans="10:10" x14ac:dyDescent="0.35">
      <c r="J846">
        <v>0</v>
      </c>
    </row>
    <row r="847" spans="10:10" x14ac:dyDescent="0.35">
      <c r="J847">
        <v>0</v>
      </c>
    </row>
    <row r="848" spans="10:10" x14ac:dyDescent="0.35">
      <c r="J848">
        <v>0</v>
      </c>
    </row>
    <row r="849" spans="10:10" x14ac:dyDescent="0.35">
      <c r="J849">
        <v>0</v>
      </c>
    </row>
    <row r="850" spans="10:10" x14ac:dyDescent="0.35">
      <c r="J850">
        <v>0</v>
      </c>
    </row>
    <row r="851" spans="10:10" x14ac:dyDescent="0.35">
      <c r="J851">
        <v>0</v>
      </c>
    </row>
    <row r="852" spans="10:10" x14ac:dyDescent="0.35">
      <c r="J852">
        <v>0</v>
      </c>
    </row>
    <row r="853" spans="10:10" x14ac:dyDescent="0.35">
      <c r="J853">
        <v>0</v>
      </c>
    </row>
    <row r="854" spans="10:10" x14ac:dyDescent="0.35">
      <c r="J854">
        <v>0</v>
      </c>
    </row>
    <row r="855" spans="10:10" x14ac:dyDescent="0.35">
      <c r="J855">
        <v>0</v>
      </c>
    </row>
    <row r="856" spans="10:10" x14ac:dyDescent="0.35">
      <c r="J856">
        <v>0</v>
      </c>
    </row>
    <row r="857" spans="10:10" x14ac:dyDescent="0.35">
      <c r="J857">
        <v>0</v>
      </c>
    </row>
    <row r="858" spans="10:10" x14ac:dyDescent="0.35">
      <c r="J858">
        <v>0</v>
      </c>
    </row>
    <row r="859" spans="10:10" x14ac:dyDescent="0.35">
      <c r="J859">
        <v>0</v>
      </c>
    </row>
    <row r="862" spans="10:10" x14ac:dyDescent="0.35">
      <c r="J862">
        <v>0</v>
      </c>
    </row>
    <row r="863" spans="10:10" x14ac:dyDescent="0.35">
      <c r="J863">
        <v>0</v>
      </c>
    </row>
    <row r="864" spans="10:10" x14ac:dyDescent="0.35">
      <c r="J864">
        <v>0</v>
      </c>
    </row>
    <row r="865" spans="10:10" x14ac:dyDescent="0.35">
      <c r="J865">
        <v>0</v>
      </c>
    </row>
    <row r="866" spans="10:10" x14ac:dyDescent="0.35">
      <c r="J866">
        <v>0</v>
      </c>
    </row>
    <row r="867" spans="10:10" x14ac:dyDescent="0.35">
      <c r="J867">
        <v>0</v>
      </c>
    </row>
    <row r="868" spans="10:10" x14ac:dyDescent="0.35">
      <c r="J868">
        <v>0</v>
      </c>
    </row>
    <row r="869" spans="10:10" x14ac:dyDescent="0.35">
      <c r="J869">
        <v>0</v>
      </c>
    </row>
    <row r="870" spans="10:10" x14ac:dyDescent="0.35">
      <c r="J870">
        <v>0</v>
      </c>
    </row>
    <row r="871" spans="10:10" x14ac:dyDescent="0.35">
      <c r="J871">
        <v>0</v>
      </c>
    </row>
    <row r="872" spans="10:10" x14ac:dyDescent="0.35">
      <c r="J872">
        <v>0</v>
      </c>
    </row>
    <row r="873" spans="10:10" x14ac:dyDescent="0.35">
      <c r="J873">
        <v>0</v>
      </c>
    </row>
    <row r="874" spans="10:10" x14ac:dyDescent="0.35">
      <c r="J874">
        <v>0</v>
      </c>
    </row>
    <row r="875" spans="10:10" x14ac:dyDescent="0.35">
      <c r="J875">
        <v>0</v>
      </c>
    </row>
    <row r="876" spans="10:10" x14ac:dyDescent="0.35">
      <c r="J876">
        <v>0</v>
      </c>
    </row>
    <row r="877" spans="10:10" x14ac:dyDescent="0.35">
      <c r="J877">
        <v>0</v>
      </c>
    </row>
    <row r="878" spans="10:10" x14ac:dyDescent="0.35">
      <c r="J878">
        <v>0</v>
      </c>
    </row>
    <row r="879" spans="10:10" x14ac:dyDescent="0.35">
      <c r="J879">
        <v>0</v>
      </c>
    </row>
    <row r="880" spans="10:10" x14ac:dyDescent="0.35">
      <c r="J880">
        <v>0</v>
      </c>
    </row>
    <row r="881" spans="10:10" x14ac:dyDescent="0.35">
      <c r="J881">
        <v>0</v>
      </c>
    </row>
    <row r="882" spans="10:10" x14ac:dyDescent="0.35">
      <c r="J882">
        <v>0</v>
      </c>
    </row>
    <row r="883" spans="10:10" x14ac:dyDescent="0.35">
      <c r="J883">
        <v>0</v>
      </c>
    </row>
    <row r="884" spans="10:10" x14ac:dyDescent="0.35">
      <c r="J884">
        <v>0</v>
      </c>
    </row>
    <row r="885" spans="10:10" x14ac:dyDescent="0.35">
      <c r="J885">
        <v>0</v>
      </c>
    </row>
    <row r="886" spans="10:10" x14ac:dyDescent="0.35">
      <c r="J886">
        <v>0</v>
      </c>
    </row>
    <row r="887" spans="10:10" x14ac:dyDescent="0.35">
      <c r="J887">
        <v>0</v>
      </c>
    </row>
    <row r="888" spans="10:10" x14ac:dyDescent="0.35">
      <c r="J888">
        <v>0</v>
      </c>
    </row>
    <row r="889" spans="10:10" x14ac:dyDescent="0.35">
      <c r="J889">
        <v>0</v>
      </c>
    </row>
    <row r="890" spans="10:10" x14ac:dyDescent="0.35">
      <c r="J890">
        <v>0</v>
      </c>
    </row>
    <row r="891" spans="10:10" x14ac:dyDescent="0.35">
      <c r="J891">
        <v>0</v>
      </c>
    </row>
    <row r="892" spans="10:10" x14ac:dyDescent="0.35">
      <c r="J892">
        <v>0</v>
      </c>
    </row>
    <row r="893" spans="10:10" x14ac:dyDescent="0.35">
      <c r="J893">
        <v>0</v>
      </c>
    </row>
    <row r="894" spans="10:10" x14ac:dyDescent="0.35">
      <c r="J894">
        <v>0</v>
      </c>
    </row>
    <row r="895" spans="10:10" x14ac:dyDescent="0.35">
      <c r="J895">
        <v>0</v>
      </c>
    </row>
    <row r="896" spans="10:10" x14ac:dyDescent="0.35">
      <c r="J896">
        <v>0</v>
      </c>
    </row>
    <row r="897" spans="10:10" x14ac:dyDescent="0.35">
      <c r="J897">
        <v>0</v>
      </c>
    </row>
    <row r="898" spans="10:10" x14ac:dyDescent="0.35">
      <c r="J898">
        <v>0</v>
      </c>
    </row>
    <row r="899" spans="10:10" x14ac:dyDescent="0.35">
      <c r="J899">
        <v>0</v>
      </c>
    </row>
    <row r="900" spans="10:10" x14ac:dyDescent="0.35">
      <c r="J900">
        <v>0</v>
      </c>
    </row>
    <row r="901" spans="10:10" x14ac:dyDescent="0.35">
      <c r="J901">
        <v>0</v>
      </c>
    </row>
    <row r="904" spans="10:10" x14ac:dyDescent="0.35">
      <c r="J904">
        <v>0</v>
      </c>
    </row>
    <row r="905" spans="10:10" x14ac:dyDescent="0.35">
      <c r="J905">
        <v>0</v>
      </c>
    </row>
    <row r="906" spans="10:10" x14ac:dyDescent="0.35">
      <c r="J906">
        <v>0</v>
      </c>
    </row>
    <row r="907" spans="10:10" x14ac:dyDescent="0.35">
      <c r="J907">
        <v>0</v>
      </c>
    </row>
    <row r="908" spans="10:10" x14ac:dyDescent="0.35">
      <c r="J908">
        <v>0</v>
      </c>
    </row>
    <row r="909" spans="10:10" x14ac:dyDescent="0.35">
      <c r="J909">
        <v>0</v>
      </c>
    </row>
    <row r="910" spans="10:10" x14ac:dyDescent="0.35">
      <c r="J910">
        <v>0</v>
      </c>
    </row>
    <row r="911" spans="10:10" x14ac:dyDescent="0.35">
      <c r="J911">
        <v>0</v>
      </c>
    </row>
    <row r="912" spans="10:10" x14ac:dyDescent="0.35">
      <c r="J912">
        <v>0</v>
      </c>
    </row>
    <row r="913" spans="10:10" x14ac:dyDescent="0.35">
      <c r="J913">
        <v>0</v>
      </c>
    </row>
    <row r="914" spans="10:10" x14ac:dyDescent="0.35">
      <c r="J914">
        <v>0</v>
      </c>
    </row>
    <row r="915" spans="10:10" x14ac:dyDescent="0.35">
      <c r="J915">
        <v>0</v>
      </c>
    </row>
    <row r="916" spans="10:10" x14ac:dyDescent="0.35">
      <c r="J916">
        <v>0</v>
      </c>
    </row>
    <row r="917" spans="10:10" x14ac:dyDescent="0.35">
      <c r="J917">
        <v>0</v>
      </c>
    </row>
    <row r="918" spans="10:10" x14ac:dyDescent="0.35">
      <c r="J918">
        <v>0</v>
      </c>
    </row>
    <row r="919" spans="10:10" x14ac:dyDescent="0.35">
      <c r="J919">
        <v>0</v>
      </c>
    </row>
    <row r="920" spans="10:10" x14ac:dyDescent="0.35">
      <c r="J920">
        <v>0</v>
      </c>
    </row>
    <row r="921" spans="10:10" x14ac:dyDescent="0.35">
      <c r="J921">
        <v>0</v>
      </c>
    </row>
    <row r="922" spans="10:10" x14ac:dyDescent="0.35">
      <c r="J922">
        <v>0</v>
      </c>
    </row>
    <row r="923" spans="10:10" x14ac:dyDescent="0.35">
      <c r="J923">
        <v>0</v>
      </c>
    </row>
    <row r="924" spans="10:10" x14ac:dyDescent="0.35">
      <c r="J924">
        <v>0</v>
      </c>
    </row>
    <row r="925" spans="10:10" x14ac:dyDescent="0.35">
      <c r="J925">
        <v>0</v>
      </c>
    </row>
    <row r="926" spans="10:10" x14ac:dyDescent="0.35">
      <c r="J926">
        <v>0</v>
      </c>
    </row>
    <row r="927" spans="10:10" x14ac:dyDescent="0.35">
      <c r="J927">
        <v>0</v>
      </c>
    </row>
    <row r="928" spans="10:10" x14ac:dyDescent="0.35">
      <c r="J928">
        <v>0</v>
      </c>
    </row>
    <row r="929" spans="10:10" x14ac:dyDescent="0.35">
      <c r="J929">
        <v>0</v>
      </c>
    </row>
    <row r="930" spans="10:10" x14ac:dyDescent="0.35">
      <c r="J930">
        <v>0</v>
      </c>
    </row>
    <row r="931" spans="10:10" x14ac:dyDescent="0.35">
      <c r="J931">
        <v>0</v>
      </c>
    </row>
    <row r="932" spans="10:10" x14ac:dyDescent="0.35">
      <c r="J932">
        <v>0</v>
      </c>
    </row>
    <row r="933" spans="10:10" x14ac:dyDescent="0.35">
      <c r="J933">
        <v>0</v>
      </c>
    </row>
    <row r="934" spans="10:10" x14ac:dyDescent="0.35">
      <c r="J934">
        <v>0</v>
      </c>
    </row>
    <row r="935" spans="10:10" x14ac:dyDescent="0.35">
      <c r="J935">
        <v>0</v>
      </c>
    </row>
    <row r="936" spans="10:10" x14ac:dyDescent="0.35">
      <c r="J936">
        <v>0</v>
      </c>
    </row>
    <row r="937" spans="10:10" x14ac:dyDescent="0.35">
      <c r="J937">
        <v>0</v>
      </c>
    </row>
    <row r="938" spans="10:10" x14ac:dyDescent="0.35">
      <c r="J938">
        <v>0</v>
      </c>
    </row>
    <row r="939" spans="10:10" x14ac:dyDescent="0.35">
      <c r="J939">
        <v>0</v>
      </c>
    </row>
    <row r="940" spans="10:10" x14ac:dyDescent="0.35">
      <c r="J940">
        <v>0</v>
      </c>
    </row>
    <row r="941" spans="10:10" x14ac:dyDescent="0.35">
      <c r="J941">
        <v>0</v>
      </c>
    </row>
    <row r="942" spans="10:10" x14ac:dyDescent="0.35">
      <c r="J942">
        <v>0</v>
      </c>
    </row>
    <row r="943" spans="10:10" x14ac:dyDescent="0.35">
      <c r="J94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J8:J943"/>
  <sheetViews>
    <sheetView workbookViewId="0"/>
  </sheetViews>
  <sheetFormatPr defaultRowHeight="14.5" x14ac:dyDescent="0.35"/>
  <sheetData>
    <row r="8" spans="10:10" x14ac:dyDescent="0.35">
      <c r="J8" t="s">
        <v>946</v>
      </c>
    </row>
    <row r="9" spans="10:10" x14ac:dyDescent="0.35">
      <c r="J9" t="s">
        <v>921</v>
      </c>
    </row>
    <row r="10" spans="10:10" x14ac:dyDescent="0.35">
      <c r="J10" t="s">
        <v>922</v>
      </c>
    </row>
    <row r="11" spans="10:10" x14ac:dyDescent="0.35">
      <c r="J11" t="s">
        <v>923</v>
      </c>
    </row>
    <row r="12" spans="10:10" x14ac:dyDescent="0.35">
      <c r="J12" t="s">
        <v>924</v>
      </c>
    </row>
    <row r="13" spans="10:10" x14ac:dyDescent="0.35">
      <c r="J13" t="s">
        <v>925</v>
      </c>
    </row>
    <row r="14" spans="10:10" x14ac:dyDescent="0.35">
      <c r="J14" t="s">
        <v>926</v>
      </c>
    </row>
    <row r="15" spans="10:10" x14ac:dyDescent="0.35">
      <c r="J15" t="s">
        <v>927</v>
      </c>
    </row>
    <row r="16" spans="10:10" x14ac:dyDescent="0.35">
      <c r="J16" t="s">
        <v>928</v>
      </c>
    </row>
    <row r="17" spans="10:10" x14ac:dyDescent="0.35">
      <c r="J17" t="s">
        <v>929</v>
      </c>
    </row>
    <row r="18" spans="10:10" x14ac:dyDescent="0.35">
      <c r="J18" t="s">
        <v>930</v>
      </c>
    </row>
    <row r="19" spans="10:10" x14ac:dyDescent="0.35">
      <c r="J19" t="s">
        <v>931</v>
      </c>
    </row>
    <row r="20" spans="10:10" x14ac:dyDescent="0.35">
      <c r="J20" t="s">
        <v>932</v>
      </c>
    </row>
    <row r="22" spans="10:10" x14ac:dyDescent="0.35">
      <c r="J22" t="s">
        <v>934</v>
      </c>
    </row>
    <row r="23" spans="10:10" x14ac:dyDescent="0.35">
      <c r="J23" t="s">
        <v>934</v>
      </c>
    </row>
    <row r="24" spans="10:10" x14ac:dyDescent="0.35">
      <c r="J24" t="s">
        <v>934</v>
      </c>
    </row>
    <row r="25" spans="10:10" x14ac:dyDescent="0.35">
      <c r="J25" t="s">
        <v>934</v>
      </c>
    </row>
    <row r="26" spans="10:10" x14ac:dyDescent="0.35">
      <c r="J26" t="s">
        <v>934</v>
      </c>
    </row>
    <row r="27" spans="10:10" x14ac:dyDescent="0.35">
      <c r="J27" t="s">
        <v>934</v>
      </c>
    </row>
    <row r="28" spans="10:10" x14ac:dyDescent="0.35">
      <c r="J28" t="s">
        <v>934</v>
      </c>
    </row>
    <row r="29" spans="10:10" x14ac:dyDescent="0.35">
      <c r="J29" t="s">
        <v>934</v>
      </c>
    </row>
    <row r="30" spans="10:10" x14ac:dyDescent="0.35">
      <c r="J30" t="s">
        <v>934</v>
      </c>
    </row>
    <row r="31" spans="10:10" x14ac:dyDescent="0.35">
      <c r="J31" t="s">
        <v>934</v>
      </c>
    </row>
    <row r="32" spans="10:10" x14ac:dyDescent="0.35">
      <c r="J32" t="s">
        <v>934</v>
      </c>
    </row>
    <row r="33" spans="10:10" x14ac:dyDescent="0.35">
      <c r="J33" t="s">
        <v>934</v>
      </c>
    </row>
    <row r="34" spans="10:10" x14ac:dyDescent="0.35">
      <c r="J34" t="s">
        <v>934</v>
      </c>
    </row>
    <row r="35" spans="10:10" x14ac:dyDescent="0.35">
      <c r="J35" t="s">
        <v>934</v>
      </c>
    </row>
    <row r="36" spans="10:10" x14ac:dyDescent="0.35">
      <c r="J36" t="s">
        <v>934</v>
      </c>
    </row>
    <row r="37" spans="10:10" x14ac:dyDescent="0.35">
      <c r="J37" t="s">
        <v>934</v>
      </c>
    </row>
    <row r="38" spans="10:10" x14ac:dyDescent="0.35">
      <c r="J38" t="s">
        <v>922</v>
      </c>
    </row>
    <row r="39" spans="10:10" x14ac:dyDescent="0.35">
      <c r="J39" t="s">
        <v>922</v>
      </c>
    </row>
    <row r="40" spans="10:10" x14ac:dyDescent="0.35">
      <c r="J40" t="s">
        <v>935</v>
      </c>
    </row>
    <row r="41" spans="10:10" x14ac:dyDescent="0.35">
      <c r="J41" t="s">
        <v>936</v>
      </c>
    </row>
    <row r="42" spans="10:10" x14ac:dyDescent="0.35">
      <c r="J42" t="s">
        <v>936</v>
      </c>
    </row>
    <row r="43" spans="10:10" x14ac:dyDescent="0.35">
      <c r="J43" t="s">
        <v>937</v>
      </c>
    </row>
    <row r="44" spans="10:10" x14ac:dyDescent="0.35">
      <c r="J44" t="s">
        <v>937</v>
      </c>
    </row>
    <row r="45" spans="10:10" x14ac:dyDescent="0.35">
      <c r="J45" t="s">
        <v>937</v>
      </c>
    </row>
    <row r="46" spans="10:10" x14ac:dyDescent="0.35">
      <c r="J46" t="s">
        <v>936</v>
      </c>
    </row>
    <row r="47" spans="10:10" x14ac:dyDescent="0.35">
      <c r="J47" t="s">
        <v>936</v>
      </c>
    </row>
    <row r="50" spans="10:10" x14ac:dyDescent="0.35">
      <c r="J50" t="s">
        <v>922</v>
      </c>
    </row>
    <row r="51" spans="10:10" x14ac:dyDescent="0.35">
      <c r="J51" t="s">
        <v>922</v>
      </c>
    </row>
    <row r="52" spans="10:10" x14ac:dyDescent="0.35">
      <c r="J52">
        <v>0</v>
      </c>
    </row>
    <row r="53" spans="10:10" x14ac:dyDescent="0.35">
      <c r="J53">
        <v>0</v>
      </c>
    </row>
    <row r="54" spans="10:10" x14ac:dyDescent="0.35">
      <c r="J54" t="s">
        <v>938</v>
      </c>
    </row>
    <row r="55" spans="10:10" x14ac:dyDescent="0.35">
      <c r="J55" t="s">
        <v>922</v>
      </c>
    </row>
    <row r="58" spans="10:10" x14ac:dyDescent="0.35">
      <c r="J58" t="s">
        <v>939</v>
      </c>
    </row>
    <row r="59" spans="10:10" x14ac:dyDescent="0.35">
      <c r="J59" t="s">
        <v>939</v>
      </c>
    </row>
    <row r="60" spans="10:10" x14ac:dyDescent="0.35">
      <c r="J60" t="s">
        <v>940</v>
      </c>
    </row>
    <row r="61" spans="10:10" x14ac:dyDescent="0.35">
      <c r="J61" t="s">
        <v>941</v>
      </c>
    </row>
    <row r="62" spans="10:10" x14ac:dyDescent="0.35">
      <c r="J62" t="s">
        <v>939</v>
      </c>
    </row>
    <row r="63" spans="10:10" x14ac:dyDescent="0.35">
      <c r="J63" t="s">
        <v>941</v>
      </c>
    </row>
    <row r="64" spans="10:10" x14ac:dyDescent="0.35">
      <c r="J64" t="s">
        <v>941</v>
      </c>
    </row>
    <row r="65" spans="10:10" x14ac:dyDescent="0.35">
      <c r="J65">
        <v>6</v>
      </c>
    </row>
    <row r="66" spans="10:10" x14ac:dyDescent="0.35">
      <c r="J66" t="s">
        <v>941</v>
      </c>
    </row>
    <row r="67" spans="10:10" x14ac:dyDescent="0.35">
      <c r="J67">
        <v>3</v>
      </c>
    </row>
    <row r="68" spans="10:10" x14ac:dyDescent="0.35">
      <c r="J68" t="s">
        <v>942</v>
      </c>
    </row>
    <row r="69" spans="10:10" x14ac:dyDescent="0.35">
      <c r="J69" t="s">
        <v>941</v>
      </c>
    </row>
    <row r="70" spans="10:10" x14ac:dyDescent="0.35">
      <c r="J70" t="s">
        <v>942</v>
      </c>
    </row>
    <row r="71" spans="10:10" x14ac:dyDescent="0.35">
      <c r="J71" t="s">
        <v>942</v>
      </c>
    </row>
    <row r="72" spans="10:10" x14ac:dyDescent="0.35">
      <c r="J72" t="s">
        <v>942</v>
      </c>
    </row>
    <row r="73" spans="10:10" x14ac:dyDescent="0.35">
      <c r="J73" t="s">
        <v>945</v>
      </c>
    </row>
    <row r="74" spans="10:10" x14ac:dyDescent="0.35">
      <c r="J74" t="s">
        <v>947</v>
      </c>
    </row>
    <row r="75" spans="10:10" x14ac:dyDescent="0.35">
      <c r="J75" t="s">
        <v>948</v>
      </c>
    </row>
    <row r="76" spans="10:10" x14ac:dyDescent="0.35">
      <c r="J76" t="s">
        <v>942</v>
      </c>
    </row>
    <row r="77" spans="10:10" x14ac:dyDescent="0.35">
      <c r="J77" t="s">
        <v>922</v>
      </c>
    </row>
    <row r="80" spans="10:10" x14ac:dyDescent="0.35">
      <c r="J80">
        <v>187.16396849610479</v>
      </c>
    </row>
    <row r="81" spans="10:10" x14ac:dyDescent="0.35">
      <c r="J81">
        <v>182.54498710088461</v>
      </c>
    </row>
    <row r="82" spans="10:10" x14ac:dyDescent="0.35">
      <c r="J82">
        <v>174.91569080585799</v>
      </c>
    </row>
    <row r="83" spans="10:10" x14ac:dyDescent="0.35">
      <c r="J83">
        <v>172.0284689037081</v>
      </c>
    </row>
    <row r="84" spans="10:10" x14ac:dyDescent="0.35">
      <c r="J84">
        <v>173.5268701303838</v>
      </c>
    </row>
    <row r="85" spans="10:10" x14ac:dyDescent="0.35">
      <c r="J85">
        <v>16.139339219095369</v>
      </c>
    </row>
    <row r="86" spans="10:10" x14ac:dyDescent="0.35">
      <c r="J86">
        <v>27.97460041324873</v>
      </c>
    </row>
    <row r="87" spans="10:10" x14ac:dyDescent="0.35">
      <c r="J87">
        <v>43.444955394193549</v>
      </c>
    </row>
    <row r="88" spans="10:10" x14ac:dyDescent="0.35">
      <c r="J88">
        <v>55.925791352306391</v>
      </c>
    </row>
    <row r="89" spans="10:10" x14ac:dyDescent="0.35">
      <c r="J89">
        <v>66.871252263573325</v>
      </c>
    </row>
    <row r="90" spans="10:10" x14ac:dyDescent="0.35">
      <c r="J90">
        <v>246.61086821717859</v>
      </c>
    </row>
    <row r="91" spans="10:10" x14ac:dyDescent="0.35">
      <c r="J91">
        <v>211.94005679986549</v>
      </c>
    </row>
    <row r="92" spans="10:10" x14ac:dyDescent="0.35">
      <c r="J92">
        <v>172.60099896528899</v>
      </c>
    </row>
    <row r="93" spans="10:10" x14ac:dyDescent="0.35">
      <c r="J93">
        <v>160.24960786757919</v>
      </c>
    </row>
    <row r="94" spans="10:10" x14ac:dyDescent="0.35">
      <c r="J94">
        <v>152.14477410920051</v>
      </c>
    </row>
    <row r="95" spans="10:10" x14ac:dyDescent="0.35">
      <c r="J95">
        <v>15.28323078924136</v>
      </c>
    </row>
    <row r="96" spans="10:10" x14ac:dyDescent="0.35">
      <c r="J96">
        <v>53.6615257936988</v>
      </c>
    </row>
    <row r="97" spans="10:10" x14ac:dyDescent="0.35">
      <c r="J97">
        <v>96.698388643491455</v>
      </c>
    </row>
    <row r="98" spans="10:10" x14ac:dyDescent="0.35">
      <c r="J98">
        <v>113.26140020861661</v>
      </c>
    </row>
    <row r="99" spans="10:10" x14ac:dyDescent="0.35">
      <c r="J99">
        <v>126.8276481798227</v>
      </c>
    </row>
    <row r="100" spans="10:10" x14ac:dyDescent="0.35">
      <c r="J100">
        <v>137.3682225639248</v>
      </c>
    </row>
    <row r="101" spans="10:10" x14ac:dyDescent="0.35">
      <c r="J101">
        <v>119.8289704858668</v>
      </c>
    </row>
    <row r="102" spans="10:10" x14ac:dyDescent="0.35">
      <c r="J102">
        <v>106.70075159552439</v>
      </c>
    </row>
    <row r="103" spans="10:10" x14ac:dyDescent="0.35">
      <c r="J103">
        <v>105.5423941593059</v>
      </c>
    </row>
    <row r="104" spans="10:10" x14ac:dyDescent="0.35">
      <c r="J104">
        <v>106.57126528763941</v>
      </c>
    </row>
    <row r="105" spans="10:10" x14ac:dyDescent="0.35">
      <c r="J105">
        <v>26.779603359060658</v>
      </c>
    </row>
    <row r="106" spans="10:10" x14ac:dyDescent="0.35">
      <c r="J106">
        <v>49.07583759150608</v>
      </c>
    </row>
    <row r="107" spans="10:10" x14ac:dyDescent="0.35">
      <c r="J107">
        <v>67.138030386417398</v>
      </c>
    </row>
    <row r="108" spans="10:10" x14ac:dyDescent="0.35">
      <c r="J108">
        <v>73.575949672846448</v>
      </c>
    </row>
    <row r="109" spans="10:10" x14ac:dyDescent="0.35">
      <c r="J109">
        <v>78.723796624673895</v>
      </c>
    </row>
    <row r="110" spans="10:10" x14ac:dyDescent="0.35">
      <c r="J110">
        <v>30.915923705557539</v>
      </c>
    </row>
    <row r="111" spans="10:10" x14ac:dyDescent="0.35">
      <c r="J111">
        <v>30.345012707920962</v>
      </c>
    </row>
    <row r="112" spans="10:10" x14ac:dyDescent="0.35">
      <c r="J112">
        <v>24.994860900856921</v>
      </c>
    </row>
    <row r="113" spans="10:10" x14ac:dyDescent="0.35">
      <c r="J113">
        <v>22.527097103315601</v>
      </c>
    </row>
    <row r="114" spans="10:10" x14ac:dyDescent="0.35">
      <c r="J114">
        <v>22.938309226403401</v>
      </c>
    </row>
    <row r="115" spans="10:10" x14ac:dyDescent="0.35">
      <c r="J115">
        <v>5.3747615063715699</v>
      </c>
    </row>
    <row r="116" spans="10:10" x14ac:dyDescent="0.35">
      <c r="J116">
        <v>6.903512951895598</v>
      </c>
    </row>
    <row r="117" spans="10:10" x14ac:dyDescent="0.35">
      <c r="J117">
        <v>13.43865589303577</v>
      </c>
    </row>
    <row r="118" spans="10:10" x14ac:dyDescent="0.35">
      <c r="J118">
        <v>16.918572914585528</v>
      </c>
    </row>
    <row r="119" spans="10:10" x14ac:dyDescent="0.35">
      <c r="J119">
        <v>17.62195068806713</v>
      </c>
    </row>
    <row r="122" spans="10:10" x14ac:dyDescent="0.35">
      <c r="J122">
        <v>186.9547383923466</v>
      </c>
    </row>
    <row r="123" spans="10:10" x14ac:dyDescent="0.35">
      <c r="J123">
        <v>182.46252515724089</v>
      </c>
    </row>
    <row r="124" spans="10:10" x14ac:dyDescent="0.35">
      <c r="J124">
        <v>174.835238720555</v>
      </c>
    </row>
    <row r="125" spans="10:10" x14ac:dyDescent="0.35">
      <c r="J125">
        <v>171.94747778528509</v>
      </c>
    </row>
    <row r="126" spans="10:10" x14ac:dyDescent="0.35">
      <c r="J126">
        <v>173.4459901202448</v>
      </c>
    </row>
    <row r="127" spans="10:10" x14ac:dyDescent="0.35">
      <c r="J127">
        <v>16.139339219095369</v>
      </c>
    </row>
    <row r="128" spans="10:10" x14ac:dyDescent="0.35">
      <c r="J128">
        <v>27.97460041324873</v>
      </c>
    </row>
    <row r="129" spans="10:10" x14ac:dyDescent="0.35">
      <c r="J129">
        <v>43.444955394193549</v>
      </c>
    </row>
    <row r="130" spans="10:10" x14ac:dyDescent="0.35">
      <c r="J130">
        <v>55.925791352306391</v>
      </c>
    </row>
    <row r="131" spans="10:10" x14ac:dyDescent="0.35">
      <c r="J131">
        <v>66.871252263573325</v>
      </c>
    </row>
    <row r="132" spans="10:10" x14ac:dyDescent="0.35">
      <c r="J132">
        <v>243.994787078771</v>
      </c>
    </row>
    <row r="133" spans="10:10" x14ac:dyDescent="0.35">
      <c r="J133">
        <v>209.82648771389921</v>
      </c>
    </row>
    <row r="134" spans="10:10" x14ac:dyDescent="0.35">
      <c r="J134">
        <v>171.14171187555891</v>
      </c>
    </row>
    <row r="135" spans="10:10" x14ac:dyDescent="0.35">
      <c r="J135">
        <v>158.69854619247661</v>
      </c>
    </row>
    <row r="136" spans="10:10" x14ac:dyDescent="0.35">
      <c r="J136">
        <v>150.48738030014849</v>
      </c>
    </row>
    <row r="137" spans="10:10" x14ac:dyDescent="0.35">
      <c r="J137">
        <v>15.28323078924136</v>
      </c>
    </row>
    <row r="138" spans="10:10" x14ac:dyDescent="0.35">
      <c r="J138">
        <v>53.6615257936988</v>
      </c>
    </row>
    <row r="139" spans="10:10" x14ac:dyDescent="0.35">
      <c r="J139">
        <v>96.698388643491455</v>
      </c>
    </row>
    <row r="140" spans="10:10" x14ac:dyDescent="0.35">
      <c r="J140">
        <v>113.26140020861661</v>
      </c>
    </row>
    <row r="141" spans="10:10" x14ac:dyDescent="0.35">
      <c r="J141">
        <v>126.8276481798227</v>
      </c>
    </row>
    <row r="142" spans="10:10" x14ac:dyDescent="0.35">
      <c r="J142">
        <v>136.8914536755276</v>
      </c>
    </row>
    <row r="143" spans="10:10" x14ac:dyDescent="0.35">
      <c r="J143">
        <v>119.68786377160789</v>
      </c>
    </row>
    <row r="144" spans="10:10" x14ac:dyDescent="0.35">
      <c r="J144">
        <v>106.5802824391024</v>
      </c>
    </row>
    <row r="145" spans="10:10" x14ac:dyDescent="0.35">
      <c r="J145">
        <v>105.4185498071536</v>
      </c>
    </row>
    <row r="146" spans="10:10" x14ac:dyDescent="0.35">
      <c r="J146">
        <v>106.4545029746907</v>
      </c>
    </row>
    <row r="147" spans="10:10" x14ac:dyDescent="0.35">
      <c r="J147">
        <v>26.779603359060658</v>
      </c>
    </row>
    <row r="148" spans="10:10" x14ac:dyDescent="0.35">
      <c r="J148">
        <v>49.07583759150608</v>
      </c>
    </row>
    <row r="149" spans="10:10" x14ac:dyDescent="0.35">
      <c r="J149">
        <v>67.138030386417398</v>
      </c>
    </row>
    <row r="150" spans="10:10" x14ac:dyDescent="0.35">
      <c r="J150">
        <v>73.575949672846448</v>
      </c>
    </row>
    <row r="151" spans="10:10" x14ac:dyDescent="0.35">
      <c r="J151">
        <v>78.723796624673895</v>
      </c>
    </row>
    <row r="152" spans="10:10" x14ac:dyDescent="0.35">
      <c r="J152">
        <v>23.60660403084108</v>
      </c>
    </row>
    <row r="153" spans="10:10" x14ac:dyDescent="0.35">
      <c r="J153">
        <v>23.3520436383352</v>
      </c>
    </row>
    <row r="154" spans="10:10" x14ac:dyDescent="0.35">
      <c r="J154">
        <v>18.984768109263271</v>
      </c>
    </row>
    <row r="155" spans="10:10" x14ac:dyDescent="0.35">
      <c r="J155">
        <v>16.546790146767769</v>
      </c>
    </row>
    <row r="156" spans="10:10" x14ac:dyDescent="0.35">
      <c r="J156">
        <v>16.899887060937189</v>
      </c>
    </row>
    <row r="157" spans="10:10" x14ac:dyDescent="0.35">
      <c r="J157">
        <v>3.6133581283952791</v>
      </c>
    </row>
    <row r="158" spans="10:10" x14ac:dyDescent="0.35">
      <c r="J158">
        <v>4.8845731027553052</v>
      </c>
    </row>
    <row r="159" spans="10:10" x14ac:dyDescent="0.35">
      <c r="J159">
        <v>10.46868986857346</v>
      </c>
    </row>
    <row r="160" spans="10:10" x14ac:dyDescent="0.35">
      <c r="J160">
        <v>13.991047197910209</v>
      </c>
    </row>
    <row r="161" spans="10:10" x14ac:dyDescent="0.35">
      <c r="J161">
        <v>14.808645522787071</v>
      </c>
    </row>
    <row r="164" spans="10:10" x14ac:dyDescent="0.35">
      <c r="J164">
        <v>1260.582016927367</v>
      </c>
    </row>
    <row r="165" spans="10:10" x14ac:dyDescent="0.35">
      <c r="J165">
        <v>1327.6504431284579</v>
      </c>
    </row>
    <row r="166" spans="10:10" x14ac:dyDescent="0.35">
      <c r="J166">
        <v>1424.176666959944</v>
      </c>
    </row>
    <row r="167" spans="10:10" x14ac:dyDescent="0.35">
      <c r="J167">
        <v>1597.551947895322</v>
      </c>
    </row>
    <row r="168" spans="10:10" x14ac:dyDescent="0.35">
      <c r="J168">
        <v>1730.867377726815</v>
      </c>
    </row>
    <row r="169" spans="10:10" x14ac:dyDescent="0.35">
      <c r="J169">
        <v>1641.4338307438461</v>
      </c>
    </row>
    <row r="170" spans="10:10" x14ac:dyDescent="0.35">
      <c r="J170">
        <v>1741.5715035000071</v>
      </c>
    </row>
    <row r="171" spans="10:10" x14ac:dyDescent="0.35">
      <c r="J171">
        <v>1681.2776035570771</v>
      </c>
    </row>
    <row r="172" spans="10:10" x14ac:dyDescent="0.35">
      <c r="J172">
        <v>1555.1807368526461</v>
      </c>
    </row>
    <row r="173" spans="10:10" x14ac:dyDescent="0.35">
      <c r="J173">
        <v>1643.589276722247</v>
      </c>
    </row>
    <row r="174" spans="10:10" x14ac:dyDescent="0.35">
      <c r="J174">
        <v>675.9085062929089</v>
      </c>
    </row>
    <row r="175" spans="10:10" x14ac:dyDescent="0.35">
      <c r="J175">
        <v>701.93827906522495</v>
      </c>
    </row>
    <row r="176" spans="10:10" x14ac:dyDescent="0.35">
      <c r="J176">
        <v>741.57743572772654</v>
      </c>
    </row>
    <row r="177" spans="10:10" x14ac:dyDescent="0.35">
      <c r="J177">
        <v>765.1386647628907</v>
      </c>
    </row>
    <row r="178" spans="10:10" x14ac:dyDescent="0.35">
      <c r="J178">
        <v>799.17217058085646</v>
      </c>
    </row>
    <row r="179" spans="10:10" x14ac:dyDescent="0.35">
      <c r="J179">
        <v>588.37462685936771</v>
      </c>
    </row>
    <row r="180" spans="10:10" x14ac:dyDescent="0.35">
      <c r="J180">
        <v>633.75468942277928</v>
      </c>
    </row>
    <row r="181" spans="10:10" x14ac:dyDescent="0.35">
      <c r="J181">
        <v>637.74857056454766</v>
      </c>
    </row>
    <row r="182" spans="10:10" x14ac:dyDescent="0.35">
      <c r="J182">
        <v>672.99993857016716</v>
      </c>
    </row>
    <row r="183" spans="10:10" x14ac:dyDescent="0.35">
      <c r="J183">
        <v>697.11632773592612</v>
      </c>
    </row>
    <row r="184" spans="10:10" x14ac:dyDescent="0.35">
      <c r="J184">
        <v>1872.644401598101</v>
      </c>
    </row>
    <row r="185" spans="10:10" x14ac:dyDescent="0.35">
      <c r="J185">
        <v>1904.0138290349689</v>
      </c>
    </row>
    <row r="186" spans="10:10" x14ac:dyDescent="0.35">
      <c r="J186">
        <v>1951.0986785898599</v>
      </c>
    </row>
    <row r="187" spans="10:10" x14ac:dyDescent="0.35">
      <c r="J187">
        <v>2039.6208497124469</v>
      </c>
    </row>
    <row r="188" spans="10:10" x14ac:dyDescent="0.35">
      <c r="J188">
        <v>2135.286627523295</v>
      </c>
    </row>
    <row r="189" spans="10:10" x14ac:dyDescent="0.35">
      <c r="J189">
        <v>1635.517697833116</v>
      </c>
    </row>
    <row r="190" spans="10:10" x14ac:dyDescent="0.35">
      <c r="J190">
        <v>1816.502530221657</v>
      </c>
    </row>
    <row r="191" spans="10:10" x14ac:dyDescent="0.35">
      <c r="J191">
        <v>1896.257077346366</v>
      </c>
    </row>
    <row r="192" spans="10:10" x14ac:dyDescent="0.35">
      <c r="J192">
        <v>1944.2703893991811</v>
      </c>
    </row>
    <row r="193" spans="10:10" x14ac:dyDescent="0.35">
      <c r="J193">
        <v>1996.685743610652</v>
      </c>
    </row>
    <row r="194" spans="10:10" x14ac:dyDescent="0.35">
      <c r="J194">
        <v>22573.268903651559</v>
      </c>
    </row>
    <row r="195" spans="10:10" x14ac:dyDescent="0.35">
      <c r="J195">
        <v>21727.935446718911</v>
      </c>
    </row>
    <row r="196" spans="10:10" x14ac:dyDescent="0.35">
      <c r="J196">
        <v>22656.85945806438</v>
      </c>
    </row>
    <row r="197" spans="10:10" x14ac:dyDescent="0.35">
      <c r="J197">
        <v>23320.534257853411</v>
      </c>
    </row>
    <row r="198" spans="10:10" x14ac:dyDescent="0.35">
      <c r="J198">
        <v>24097.16043961886</v>
      </c>
    </row>
    <row r="199" spans="10:10" x14ac:dyDescent="0.35">
      <c r="J199">
        <v>18111.63499275106</v>
      </c>
    </row>
    <row r="200" spans="10:10" x14ac:dyDescent="0.35">
      <c r="J200">
        <v>26052.697307969898</v>
      </c>
    </row>
    <row r="201" spans="10:10" x14ac:dyDescent="0.35">
      <c r="J201">
        <v>23848.922978060771</v>
      </c>
    </row>
    <row r="202" spans="10:10" x14ac:dyDescent="0.35">
      <c r="J202">
        <v>24341.700539551672</v>
      </c>
    </row>
    <row r="203" spans="10:10" x14ac:dyDescent="0.35">
      <c r="J203">
        <v>25279.978351645201</v>
      </c>
    </row>
    <row r="206" spans="10:10" x14ac:dyDescent="0.35">
      <c r="J206">
        <v>1260.582016927367</v>
      </c>
    </row>
    <row r="207" spans="10:10" x14ac:dyDescent="0.35">
      <c r="J207">
        <v>1327.6504431284579</v>
      </c>
    </row>
    <row r="208" spans="10:10" x14ac:dyDescent="0.35">
      <c r="J208">
        <v>1424.176666959944</v>
      </c>
    </row>
    <row r="209" spans="10:10" x14ac:dyDescent="0.35">
      <c r="J209">
        <v>1597.551947895322</v>
      </c>
    </row>
    <row r="210" spans="10:10" x14ac:dyDescent="0.35">
      <c r="J210">
        <v>1730.867377726815</v>
      </c>
    </row>
    <row r="211" spans="10:10" x14ac:dyDescent="0.35">
      <c r="J211">
        <v>1641.4338307438461</v>
      </c>
    </row>
    <row r="212" spans="10:10" x14ac:dyDescent="0.35">
      <c r="J212">
        <v>1741.5715035000071</v>
      </c>
    </row>
    <row r="213" spans="10:10" x14ac:dyDescent="0.35">
      <c r="J213">
        <v>1681.2776035570771</v>
      </c>
    </row>
    <row r="214" spans="10:10" x14ac:dyDescent="0.35">
      <c r="J214">
        <v>1555.1807368526461</v>
      </c>
    </row>
    <row r="215" spans="10:10" x14ac:dyDescent="0.35">
      <c r="J215">
        <v>1643.589276722247</v>
      </c>
    </row>
    <row r="216" spans="10:10" x14ac:dyDescent="0.35">
      <c r="J216">
        <v>675.9085062929089</v>
      </c>
    </row>
    <row r="217" spans="10:10" x14ac:dyDescent="0.35">
      <c r="J217">
        <v>701.93827906522483</v>
      </c>
    </row>
    <row r="218" spans="10:10" x14ac:dyDescent="0.35">
      <c r="J218">
        <v>741.57743572772654</v>
      </c>
    </row>
    <row r="219" spans="10:10" x14ac:dyDescent="0.35">
      <c r="J219">
        <v>765.13866476289081</v>
      </c>
    </row>
    <row r="220" spans="10:10" x14ac:dyDescent="0.35">
      <c r="J220">
        <v>799.17217058085669</v>
      </c>
    </row>
    <row r="221" spans="10:10" x14ac:dyDescent="0.35">
      <c r="J221">
        <v>588.37462685936771</v>
      </c>
    </row>
    <row r="222" spans="10:10" x14ac:dyDescent="0.35">
      <c r="J222">
        <v>633.75468942277928</v>
      </c>
    </row>
    <row r="223" spans="10:10" x14ac:dyDescent="0.35">
      <c r="J223">
        <v>637.74857056454766</v>
      </c>
    </row>
    <row r="224" spans="10:10" x14ac:dyDescent="0.35">
      <c r="J224">
        <v>672.99993857016716</v>
      </c>
    </row>
    <row r="225" spans="10:10" x14ac:dyDescent="0.35">
      <c r="J225">
        <v>697.11632773592612</v>
      </c>
    </row>
    <row r="226" spans="10:10" x14ac:dyDescent="0.35">
      <c r="J226">
        <v>1872.644401598101</v>
      </c>
    </row>
    <row r="227" spans="10:10" x14ac:dyDescent="0.35">
      <c r="J227">
        <v>1904.0138290349689</v>
      </c>
    </row>
    <row r="228" spans="10:10" x14ac:dyDescent="0.35">
      <c r="J228">
        <v>1951.098678589859</v>
      </c>
    </row>
    <row r="229" spans="10:10" x14ac:dyDescent="0.35">
      <c r="J229">
        <v>2039.6208497124469</v>
      </c>
    </row>
    <row r="230" spans="10:10" x14ac:dyDescent="0.35">
      <c r="J230">
        <v>2135.286627523295</v>
      </c>
    </row>
    <row r="231" spans="10:10" x14ac:dyDescent="0.35">
      <c r="J231">
        <v>1635.517697833116</v>
      </c>
    </row>
    <row r="232" spans="10:10" x14ac:dyDescent="0.35">
      <c r="J232">
        <v>1816.502530221657</v>
      </c>
    </row>
    <row r="233" spans="10:10" x14ac:dyDescent="0.35">
      <c r="J233">
        <v>1896.257077346366</v>
      </c>
    </row>
    <row r="234" spans="10:10" x14ac:dyDescent="0.35">
      <c r="J234">
        <v>1944.2703893991811</v>
      </c>
    </row>
    <row r="235" spans="10:10" x14ac:dyDescent="0.35">
      <c r="J235">
        <v>1996.685743610652</v>
      </c>
    </row>
    <row r="236" spans="10:10" x14ac:dyDescent="0.35">
      <c r="J236">
        <v>25880.377544767482</v>
      </c>
    </row>
    <row r="237" spans="10:10" x14ac:dyDescent="0.35">
      <c r="J237">
        <v>24397.988333197791</v>
      </c>
    </row>
    <row r="238" spans="10:10" x14ac:dyDescent="0.35">
      <c r="J238">
        <v>25046.435764600788</v>
      </c>
    </row>
    <row r="239" spans="10:10" x14ac:dyDescent="0.35">
      <c r="J239">
        <v>26017.818355858519</v>
      </c>
    </row>
    <row r="240" spans="10:10" x14ac:dyDescent="0.35">
      <c r="J240">
        <v>26829.974015150921</v>
      </c>
    </row>
    <row r="241" spans="10:10" x14ac:dyDescent="0.35">
      <c r="J241">
        <v>23334.945249300559</v>
      </c>
    </row>
    <row r="242" spans="10:10" x14ac:dyDescent="0.35">
      <c r="J242">
        <v>33889.126020554009</v>
      </c>
    </row>
    <row r="243" spans="10:10" x14ac:dyDescent="0.35">
      <c r="J243">
        <v>28909.232207895559</v>
      </c>
    </row>
    <row r="244" spans="10:10" x14ac:dyDescent="0.35">
      <c r="J244">
        <v>28113.301263936839</v>
      </c>
    </row>
    <row r="245" spans="10:10" x14ac:dyDescent="0.35">
      <c r="J245">
        <v>28806.11721059983</v>
      </c>
    </row>
    <row r="248" spans="10:10" x14ac:dyDescent="0.35">
      <c r="J248">
        <v>173</v>
      </c>
    </row>
    <row r="249" spans="10:10" x14ac:dyDescent="0.35">
      <c r="J249">
        <v>0</v>
      </c>
    </row>
    <row r="250" spans="10:10" x14ac:dyDescent="0.35">
      <c r="J250">
        <v>192</v>
      </c>
    </row>
    <row r="251" spans="10:10" x14ac:dyDescent="0.35">
      <c r="J251">
        <v>0</v>
      </c>
    </row>
    <row r="252" spans="10:10" x14ac:dyDescent="0.35">
      <c r="J252">
        <v>146</v>
      </c>
    </row>
    <row r="253" spans="10:10" x14ac:dyDescent="0.35">
      <c r="J253">
        <v>0</v>
      </c>
    </row>
    <row r="254" spans="10:10" x14ac:dyDescent="0.35">
      <c r="J254">
        <v>14</v>
      </c>
    </row>
    <row r="255" spans="10:10" x14ac:dyDescent="0.35">
      <c r="J255">
        <v>0</v>
      </c>
    </row>
    <row r="256" spans="10:10" x14ac:dyDescent="0.35">
      <c r="J256">
        <v>20</v>
      </c>
    </row>
    <row r="257" spans="10:10" x14ac:dyDescent="0.35">
      <c r="J257">
        <v>0</v>
      </c>
    </row>
    <row r="258" spans="10:10" x14ac:dyDescent="0.35">
      <c r="J258">
        <v>64</v>
      </c>
    </row>
    <row r="259" spans="10:10" x14ac:dyDescent="0.35">
      <c r="J259">
        <v>0</v>
      </c>
    </row>
    <row r="260" spans="10:10" x14ac:dyDescent="0.35">
      <c r="J260">
        <v>12</v>
      </c>
    </row>
    <row r="261" spans="10:10" x14ac:dyDescent="0.35">
      <c r="J261">
        <v>0</v>
      </c>
    </row>
    <row r="262" spans="10:10" x14ac:dyDescent="0.35">
      <c r="J262">
        <v>20</v>
      </c>
    </row>
    <row r="263" spans="10:10" x14ac:dyDescent="0.35">
      <c r="J263">
        <v>0</v>
      </c>
    </row>
    <row r="264" spans="10:10" x14ac:dyDescent="0.35">
      <c r="J264">
        <v>193</v>
      </c>
    </row>
    <row r="265" spans="10:10" x14ac:dyDescent="0.35">
      <c r="J265">
        <v>0</v>
      </c>
    </row>
    <row r="266" spans="10:10" x14ac:dyDescent="0.35">
      <c r="J266">
        <v>256</v>
      </c>
    </row>
    <row r="267" spans="10:10" x14ac:dyDescent="0.35">
      <c r="J267">
        <v>0</v>
      </c>
    </row>
    <row r="268" spans="10:10" x14ac:dyDescent="0.35">
      <c r="J268">
        <v>158</v>
      </c>
    </row>
    <row r="269" spans="10:10" x14ac:dyDescent="0.35">
      <c r="J269">
        <v>0</v>
      </c>
    </row>
    <row r="270" spans="10:10" x14ac:dyDescent="0.35">
      <c r="J270">
        <v>34</v>
      </c>
    </row>
    <row r="271" spans="10:10" x14ac:dyDescent="0.35">
      <c r="J271">
        <v>0</v>
      </c>
    </row>
    <row r="274" spans="10:10" x14ac:dyDescent="0.35">
      <c r="J274">
        <v>173</v>
      </c>
    </row>
    <row r="275" spans="10:10" x14ac:dyDescent="0.35">
      <c r="J275">
        <v>0</v>
      </c>
    </row>
    <row r="276" spans="10:10" x14ac:dyDescent="0.35">
      <c r="J276">
        <v>192</v>
      </c>
    </row>
    <row r="277" spans="10:10" x14ac:dyDescent="0.35">
      <c r="J277">
        <v>0</v>
      </c>
    </row>
    <row r="278" spans="10:10" x14ac:dyDescent="0.35">
      <c r="J278">
        <v>146</v>
      </c>
    </row>
    <row r="279" spans="10:10" x14ac:dyDescent="0.35">
      <c r="J279">
        <v>0</v>
      </c>
    </row>
    <row r="280" spans="10:10" x14ac:dyDescent="0.35">
      <c r="J280">
        <v>7</v>
      </c>
    </row>
    <row r="281" spans="10:10" x14ac:dyDescent="0.35">
      <c r="J281">
        <v>0</v>
      </c>
    </row>
    <row r="282" spans="10:10" x14ac:dyDescent="0.35">
      <c r="J282">
        <v>20</v>
      </c>
    </row>
    <row r="283" spans="10:10" x14ac:dyDescent="0.35">
      <c r="J283">
        <v>0</v>
      </c>
    </row>
    <row r="284" spans="10:10" x14ac:dyDescent="0.35">
      <c r="J284">
        <v>64</v>
      </c>
    </row>
    <row r="285" spans="10:10" x14ac:dyDescent="0.35">
      <c r="J285">
        <v>0</v>
      </c>
    </row>
    <row r="286" spans="10:10" x14ac:dyDescent="0.35">
      <c r="J286">
        <v>12</v>
      </c>
    </row>
    <row r="287" spans="10:10" x14ac:dyDescent="0.35">
      <c r="J287">
        <v>0</v>
      </c>
    </row>
    <row r="288" spans="10:10" x14ac:dyDescent="0.35">
      <c r="J288">
        <v>18</v>
      </c>
    </row>
    <row r="289" spans="10:10" x14ac:dyDescent="0.35">
      <c r="J289">
        <v>0</v>
      </c>
    </row>
    <row r="290" spans="10:10" x14ac:dyDescent="0.35">
      <c r="J290">
        <v>193</v>
      </c>
    </row>
    <row r="291" spans="10:10" x14ac:dyDescent="0.35">
      <c r="J291">
        <v>0</v>
      </c>
    </row>
    <row r="292" spans="10:10" x14ac:dyDescent="0.35">
      <c r="J292">
        <v>256</v>
      </c>
    </row>
    <row r="293" spans="10:10" x14ac:dyDescent="0.35">
      <c r="J293">
        <v>0</v>
      </c>
    </row>
    <row r="294" spans="10:10" x14ac:dyDescent="0.35">
      <c r="J294">
        <v>158</v>
      </c>
    </row>
    <row r="295" spans="10:10" x14ac:dyDescent="0.35">
      <c r="J295">
        <v>0</v>
      </c>
    </row>
    <row r="296" spans="10:10" x14ac:dyDescent="0.35">
      <c r="J296">
        <v>25</v>
      </c>
    </row>
    <row r="297" spans="10:10" x14ac:dyDescent="0.35">
      <c r="J297">
        <v>0</v>
      </c>
    </row>
    <row r="300" spans="10:10" x14ac:dyDescent="0.35">
      <c r="J300">
        <v>1203.2979933898571</v>
      </c>
    </row>
    <row r="301" spans="10:10" x14ac:dyDescent="0.35">
      <c r="J301">
        <v>0</v>
      </c>
    </row>
    <row r="302" spans="10:10" x14ac:dyDescent="0.35">
      <c r="J302">
        <v>623.59754614035285</v>
      </c>
    </row>
    <row r="303" spans="10:10" x14ac:dyDescent="0.35">
      <c r="J303">
        <v>0</v>
      </c>
    </row>
    <row r="304" spans="10:10" x14ac:dyDescent="0.35">
      <c r="J304">
        <v>1870.0006196008969</v>
      </c>
    </row>
    <row r="305" spans="10:10" x14ac:dyDescent="0.35">
      <c r="J305">
        <v>0</v>
      </c>
    </row>
    <row r="306" spans="10:10" x14ac:dyDescent="0.35">
      <c r="J306">
        <v>13215.92278180804</v>
      </c>
    </row>
    <row r="307" spans="10:10" x14ac:dyDescent="0.35">
      <c r="J307">
        <v>0</v>
      </c>
    </row>
    <row r="308" spans="10:10" x14ac:dyDescent="0.35">
      <c r="J308">
        <v>737.4659804344177</v>
      </c>
    </row>
    <row r="309" spans="10:10" x14ac:dyDescent="0.35">
      <c r="J309">
        <v>0</v>
      </c>
    </row>
    <row r="310" spans="10:10" x14ac:dyDescent="0.35">
      <c r="J310">
        <v>665.04691880941391</v>
      </c>
    </row>
    <row r="311" spans="10:10" x14ac:dyDescent="0.35">
      <c r="J311">
        <v>0</v>
      </c>
    </row>
    <row r="312" spans="10:10" x14ac:dyDescent="0.35">
      <c r="J312">
        <v>1052.840006510417</v>
      </c>
    </row>
    <row r="313" spans="10:10" x14ac:dyDescent="0.35">
      <c r="J313">
        <v>0</v>
      </c>
    </row>
    <row r="314" spans="10:10" x14ac:dyDescent="0.35">
      <c r="J314">
        <v>26030.743847656249</v>
      </c>
    </row>
    <row r="315" spans="10:10" x14ac:dyDescent="0.35">
      <c r="J315">
        <v>0</v>
      </c>
    </row>
    <row r="316" spans="10:10" x14ac:dyDescent="0.35">
      <c r="J316">
        <v>1155.0252459333351</v>
      </c>
    </row>
    <row r="317" spans="10:10" x14ac:dyDescent="0.35">
      <c r="J317">
        <v>0</v>
      </c>
    </row>
    <row r="318" spans="10:10" x14ac:dyDescent="0.35">
      <c r="J318">
        <v>633.95988930761814</v>
      </c>
    </row>
    <row r="319" spans="10:10" x14ac:dyDescent="0.35">
      <c r="J319">
        <v>0</v>
      </c>
    </row>
    <row r="320" spans="10:10" x14ac:dyDescent="0.35">
      <c r="J320">
        <v>1807.9377882269359</v>
      </c>
    </row>
    <row r="321" spans="10:10" x14ac:dyDescent="0.35">
      <c r="J321">
        <v>0</v>
      </c>
    </row>
    <row r="322" spans="10:10" x14ac:dyDescent="0.35">
      <c r="J322">
        <v>20754.052820542282</v>
      </c>
    </row>
    <row r="323" spans="10:10" x14ac:dyDescent="0.35">
      <c r="J323">
        <v>0</v>
      </c>
    </row>
    <row r="326" spans="10:10" x14ac:dyDescent="0.35">
      <c r="J326">
        <v>1203.2979933898571</v>
      </c>
    </row>
    <row r="327" spans="10:10" x14ac:dyDescent="0.35">
      <c r="J327">
        <v>0</v>
      </c>
    </row>
    <row r="328" spans="10:10" x14ac:dyDescent="0.35">
      <c r="J328">
        <v>623.59754614035285</v>
      </c>
    </row>
    <row r="329" spans="10:10" x14ac:dyDescent="0.35">
      <c r="J329">
        <v>0</v>
      </c>
    </row>
    <row r="330" spans="10:10" x14ac:dyDescent="0.35">
      <c r="J330">
        <v>1870.0006196008969</v>
      </c>
    </row>
    <row r="331" spans="10:10" x14ac:dyDescent="0.35">
      <c r="J331">
        <v>0</v>
      </c>
    </row>
    <row r="332" spans="10:10" x14ac:dyDescent="0.35">
      <c r="J332">
        <v>13914.25725446429</v>
      </c>
    </row>
    <row r="333" spans="10:10" x14ac:dyDescent="0.35">
      <c r="J333">
        <v>0</v>
      </c>
    </row>
    <row r="334" spans="10:10" x14ac:dyDescent="0.35">
      <c r="J334">
        <v>737.4659804344177</v>
      </c>
    </row>
    <row r="335" spans="10:10" x14ac:dyDescent="0.35">
      <c r="J335">
        <v>0</v>
      </c>
    </row>
    <row r="336" spans="10:10" x14ac:dyDescent="0.35">
      <c r="J336">
        <v>665.04691880941391</v>
      </c>
    </row>
    <row r="337" spans="10:10" x14ac:dyDescent="0.35">
      <c r="J337">
        <v>0</v>
      </c>
    </row>
    <row r="338" spans="10:10" x14ac:dyDescent="0.35">
      <c r="J338">
        <v>1052.840006510417</v>
      </c>
    </row>
    <row r="339" spans="10:10" x14ac:dyDescent="0.35">
      <c r="J339">
        <v>0</v>
      </c>
    </row>
    <row r="340" spans="10:10" x14ac:dyDescent="0.35">
      <c r="J340">
        <v>28672.990939670141</v>
      </c>
    </row>
    <row r="341" spans="10:10" x14ac:dyDescent="0.35">
      <c r="J341">
        <v>0</v>
      </c>
    </row>
    <row r="342" spans="10:10" x14ac:dyDescent="0.35">
      <c r="J342">
        <v>1155.0252459333351</v>
      </c>
    </row>
    <row r="343" spans="10:10" x14ac:dyDescent="0.35">
      <c r="J343">
        <v>0</v>
      </c>
    </row>
    <row r="344" spans="10:10" x14ac:dyDescent="0.35">
      <c r="J344">
        <v>633.95988930761814</v>
      </c>
    </row>
    <row r="345" spans="10:10" x14ac:dyDescent="0.35">
      <c r="J345">
        <v>0</v>
      </c>
    </row>
    <row r="346" spans="10:10" x14ac:dyDescent="0.35">
      <c r="J346">
        <v>1807.9377882269359</v>
      </c>
    </row>
    <row r="347" spans="10:10" x14ac:dyDescent="0.35">
      <c r="J347">
        <v>0</v>
      </c>
    </row>
    <row r="348" spans="10:10" x14ac:dyDescent="0.35">
      <c r="J348">
        <v>24540.545507812501</v>
      </c>
    </row>
    <row r="349" spans="10:10" x14ac:dyDescent="0.35">
      <c r="J349">
        <v>0</v>
      </c>
    </row>
    <row r="352" spans="10:10" x14ac:dyDescent="0.35">
      <c r="J352">
        <v>399.84567002257319</v>
      </c>
    </row>
    <row r="353" spans="10:10" x14ac:dyDescent="0.35">
      <c r="J353">
        <v>421.78245245686821</v>
      </c>
    </row>
    <row r="354" spans="10:10" x14ac:dyDescent="0.35">
      <c r="J354">
        <v>471.00529309872388</v>
      </c>
    </row>
    <row r="355" spans="10:10" x14ac:dyDescent="0.35">
      <c r="J355">
        <v>570.11004032473102</v>
      </c>
    </row>
    <row r="356" spans="10:10" x14ac:dyDescent="0.35">
      <c r="J356">
        <v>606.82596038564361</v>
      </c>
    </row>
    <row r="357" spans="10:10" x14ac:dyDescent="0.35">
      <c r="J357">
        <v>195.78413258543389</v>
      </c>
    </row>
    <row r="358" spans="10:10" x14ac:dyDescent="0.35">
      <c r="J358">
        <v>182.45277521072191</v>
      </c>
    </row>
    <row r="359" spans="10:10" x14ac:dyDescent="0.35">
      <c r="J359">
        <v>172.94758252982859</v>
      </c>
    </row>
    <row r="360" spans="10:10" x14ac:dyDescent="0.35">
      <c r="J360">
        <v>175.74839557600251</v>
      </c>
    </row>
    <row r="361" spans="10:10" x14ac:dyDescent="0.35">
      <c r="J361">
        <v>187.90814493374521</v>
      </c>
    </row>
    <row r="362" spans="10:10" x14ac:dyDescent="0.35">
      <c r="J362">
        <v>440.24443676940848</v>
      </c>
    </row>
    <row r="363" spans="10:10" x14ac:dyDescent="0.35">
      <c r="J363">
        <v>370.86345054835908</v>
      </c>
    </row>
    <row r="364" spans="10:10" x14ac:dyDescent="0.35">
      <c r="J364">
        <v>338.96784147127522</v>
      </c>
    </row>
    <row r="365" spans="10:10" x14ac:dyDescent="0.35">
      <c r="J365">
        <v>376.5363491415311</v>
      </c>
    </row>
    <row r="366" spans="10:10" x14ac:dyDescent="0.35">
      <c r="J366">
        <v>407.22081121535342</v>
      </c>
    </row>
    <row r="367" spans="10:10" x14ac:dyDescent="0.35">
      <c r="J367">
        <v>400.09311328247372</v>
      </c>
    </row>
    <row r="368" spans="10:10" x14ac:dyDescent="0.35">
      <c r="J368">
        <v>438.17130019889481</v>
      </c>
    </row>
    <row r="369" spans="10:10" x14ac:dyDescent="0.35">
      <c r="J369">
        <v>591.70550823760607</v>
      </c>
    </row>
    <row r="370" spans="10:10" x14ac:dyDescent="0.35">
      <c r="J370">
        <v>736.34982941118892</v>
      </c>
    </row>
    <row r="371" spans="10:10" x14ac:dyDescent="0.35">
      <c r="J371">
        <v>778.30579701329521</v>
      </c>
    </row>
    <row r="374" spans="10:10" x14ac:dyDescent="0.35">
      <c r="J374">
        <v>0</v>
      </c>
    </row>
    <row r="375" spans="10:10" x14ac:dyDescent="0.35">
      <c r="J375">
        <v>0</v>
      </c>
    </row>
    <row r="376" spans="10:10" x14ac:dyDescent="0.35">
      <c r="J376">
        <v>0</v>
      </c>
    </row>
    <row r="377" spans="10:10" x14ac:dyDescent="0.35">
      <c r="J377">
        <v>0</v>
      </c>
    </row>
    <row r="378" spans="10:10" x14ac:dyDescent="0.35">
      <c r="J378">
        <v>0</v>
      </c>
    </row>
    <row r="379" spans="10:10" x14ac:dyDescent="0.35">
      <c r="J379">
        <v>0</v>
      </c>
    </row>
    <row r="380" spans="10:10" x14ac:dyDescent="0.35">
      <c r="J380">
        <v>0</v>
      </c>
    </row>
    <row r="381" spans="10:10" x14ac:dyDescent="0.35">
      <c r="J381">
        <v>0</v>
      </c>
    </row>
    <row r="382" spans="10:10" x14ac:dyDescent="0.35">
      <c r="J382">
        <v>0</v>
      </c>
    </row>
    <row r="383" spans="10:10" x14ac:dyDescent="0.35">
      <c r="J383">
        <v>0</v>
      </c>
    </row>
    <row r="384" spans="10:10" x14ac:dyDescent="0.35">
      <c r="J384">
        <v>0</v>
      </c>
    </row>
    <row r="385" spans="10:10" x14ac:dyDescent="0.35">
      <c r="J385">
        <v>0</v>
      </c>
    </row>
    <row r="386" spans="10:10" x14ac:dyDescent="0.35">
      <c r="J386">
        <v>0</v>
      </c>
    </row>
    <row r="387" spans="10:10" x14ac:dyDescent="0.35">
      <c r="J387">
        <v>0</v>
      </c>
    </row>
    <row r="388" spans="10:10" x14ac:dyDescent="0.35">
      <c r="J388">
        <v>0</v>
      </c>
    </row>
    <row r="389" spans="10:10" x14ac:dyDescent="0.35">
      <c r="J389">
        <v>0</v>
      </c>
    </row>
    <row r="390" spans="10:10" x14ac:dyDescent="0.35">
      <c r="J390">
        <v>0</v>
      </c>
    </row>
    <row r="391" spans="10:10" x14ac:dyDescent="0.35">
      <c r="J391">
        <v>0</v>
      </c>
    </row>
    <row r="392" spans="10:10" x14ac:dyDescent="0.35">
      <c r="J392">
        <v>0</v>
      </c>
    </row>
    <row r="393" spans="10:10" x14ac:dyDescent="0.35">
      <c r="J393">
        <v>0</v>
      </c>
    </row>
    <row r="396" spans="10:10" x14ac:dyDescent="0.35">
      <c r="J396">
        <v>0.89345807668719623</v>
      </c>
    </row>
    <row r="397" spans="10:10" x14ac:dyDescent="0.35">
      <c r="J397">
        <v>0</v>
      </c>
    </row>
    <row r="398" spans="10:10" x14ac:dyDescent="0.35">
      <c r="J398">
        <v>0</v>
      </c>
    </row>
    <row r="399" spans="10:10" x14ac:dyDescent="0.35">
      <c r="J399">
        <v>0</v>
      </c>
    </row>
    <row r="400" spans="10:10" x14ac:dyDescent="0.35">
      <c r="J400">
        <v>0</v>
      </c>
    </row>
    <row r="401" spans="10:10" x14ac:dyDescent="0.35">
      <c r="J401">
        <v>0.28357875269066352</v>
      </c>
    </row>
    <row r="402" spans="10:10" x14ac:dyDescent="0.35">
      <c r="J402">
        <v>1.2657303433434609E-2</v>
      </c>
    </row>
    <row r="403" spans="10:10" x14ac:dyDescent="0.35">
      <c r="J403">
        <v>0</v>
      </c>
    </row>
    <row r="404" spans="10:10" x14ac:dyDescent="0.35">
      <c r="J404">
        <v>0</v>
      </c>
    </row>
    <row r="405" spans="10:10" x14ac:dyDescent="0.35">
      <c r="J405">
        <v>0</v>
      </c>
    </row>
    <row r="406" spans="10:10" x14ac:dyDescent="0.35">
      <c r="J406">
        <v>4.2462567284690449</v>
      </c>
    </row>
    <row r="407" spans="10:10" x14ac:dyDescent="0.35">
      <c r="J407">
        <v>0.20032577441935009</v>
      </c>
    </row>
    <row r="408" spans="10:10" x14ac:dyDescent="0.35">
      <c r="J408">
        <v>0</v>
      </c>
    </row>
    <row r="409" spans="10:10" x14ac:dyDescent="0.35">
      <c r="J409">
        <v>0</v>
      </c>
    </row>
    <row r="410" spans="10:10" x14ac:dyDescent="0.35">
      <c r="J410">
        <v>0</v>
      </c>
    </row>
    <row r="411" spans="10:10" x14ac:dyDescent="0.35">
      <c r="J411">
        <v>0</v>
      </c>
    </row>
    <row r="412" spans="10:10" x14ac:dyDescent="0.35">
      <c r="J412">
        <v>0</v>
      </c>
    </row>
    <row r="413" spans="10:10" x14ac:dyDescent="0.35">
      <c r="J413">
        <v>0</v>
      </c>
    </row>
    <row r="414" spans="10:10" x14ac:dyDescent="0.35">
      <c r="J414">
        <v>0</v>
      </c>
    </row>
    <row r="415" spans="10:10" x14ac:dyDescent="0.35">
      <c r="J415">
        <v>0</v>
      </c>
    </row>
    <row r="418" spans="10:10" x14ac:dyDescent="0.35">
      <c r="J418">
        <v>0.86061044452534619</v>
      </c>
    </row>
    <row r="419" spans="10:10" x14ac:dyDescent="0.35">
      <c r="J419">
        <v>0.42016783770400978</v>
      </c>
    </row>
    <row r="420" spans="10:10" x14ac:dyDescent="0.35">
      <c r="J420">
        <v>0.64286586530225642</v>
      </c>
    </row>
    <row r="421" spans="10:10" x14ac:dyDescent="0.35">
      <c r="J421">
        <v>1.1326292300656049</v>
      </c>
    </row>
    <row r="422" spans="10:10" x14ac:dyDescent="0.35">
      <c r="J422">
        <v>2.0285389675559271</v>
      </c>
    </row>
    <row r="423" spans="10:10" x14ac:dyDescent="0.35">
      <c r="J423">
        <v>0.66216259435394331</v>
      </c>
    </row>
    <row r="424" spans="10:10" x14ac:dyDescent="0.35">
      <c r="J424">
        <v>0.34752467171276152</v>
      </c>
    </row>
    <row r="425" spans="10:10" x14ac:dyDescent="0.35">
      <c r="J425">
        <v>0.19598240865474381</v>
      </c>
    </row>
    <row r="426" spans="10:10" x14ac:dyDescent="0.35">
      <c r="J426">
        <v>9.4475301458086983E-2</v>
      </c>
    </row>
    <row r="427" spans="10:10" x14ac:dyDescent="0.35">
      <c r="J427">
        <v>0.10957897549870969</v>
      </c>
    </row>
    <row r="428" spans="10:10" x14ac:dyDescent="0.35">
      <c r="J428">
        <v>2.9283577018247908</v>
      </c>
    </row>
    <row r="429" spans="10:10" x14ac:dyDescent="0.35">
      <c r="J429">
        <v>0.58617241299373601</v>
      </c>
    </row>
    <row r="430" spans="10:10" x14ac:dyDescent="0.35">
      <c r="J430">
        <v>0.75244285343791029</v>
      </c>
    </row>
    <row r="431" spans="10:10" x14ac:dyDescent="0.35">
      <c r="J431">
        <v>0.84767275332301195</v>
      </c>
    </row>
    <row r="432" spans="10:10" x14ac:dyDescent="0.35">
      <c r="J432">
        <v>0.93108765168637553</v>
      </c>
    </row>
    <row r="433" spans="10:10" x14ac:dyDescent="0.35">
      <c r="J433">
        <v>5.7835082480209188</v>
      </c>
    </row>
    <row r="434" spans="10:10" x14ac:dyDescent="0.35">
      <c r="J434">
        <v>7.9700716155974449</v>
      </c>
    </row>
    <row r="435" spans="10:10" x14ac:dyDescent="0.35">
      <c r="J435">
        <v>12.502358847936909</v>
      </c>
    </row>
    <row r="436" spans="10:10" x14ac:dyDescent="0.35">
      <c r="J436">
        <v>17.40390992837623</v>
      </c>
    </row>
    <row r="437" spans="10:10" x14ac:dyDescent="0.35">
      <c r="J437">
        <v>20.37778800142754</v>
      </c>
    </row>
    <row r="440" spans="10:10" x14ac:dyDescent="0.35">
      <c r="J440">
        <v>401.59973854378569</v>
      </c>
    </row>
    <row r="441" spans="10:10" x14ac:dyDescent="0.35">
      <c r="J441">
        <v>422.20262029457223</v>
      </c>
    </row>
    <row r="442" spans="10:10" x14ac:dyDescent="0.35">
      <c r="J442">
        <v>471.64815896402621</v>
      </c>
    </row>
    <row r="443" spans="10:10" x14ac:dyDescent="0.35">
      <c r="J443">
        <v>571.24266955479663</v>
      </c>
    </row>
    <row r="444" spans="10:10" x14ac:dyDescent="0.35">
      <c r="J444">
        <v>608.85449935319957</v>
      </c>
    </row>
    <row r="445" spans="10:10" x14ac:dyDescent="0.35">
      <c r="J445">
        <v>196.72987393247851</v>
      </c>
    </row>
    <row r="446" spans="10:10" x14ac:dyDescent="0.35">
      <c r="J446">
        <v>182.8129571858681</v>
      </c>
    </row>
    <row r="447" spans="10:10" x14ac:dyDescent="0.35">
      <c r="J447">
        <v>173.14356493848331</v>
      </c>
    </row>
    <row r="448" spans="10:10" x14ac:dyDescent="0.35">
      <c r="J448">
        <v>175.8428708774606</v>
      </c>
    </row>
    <row r="449" spans="10:10" x14ac:dyDescent="0.35">
      <c r="J449">
        <v>188.01772390924401</v>
      </c>
    </row>
    <row r="450" spans="10:10" x14ac:dyDescent="0.35">
      <c r="J450">
        <v>447.41905119970232</v>
      </c>
    </row>
    <row r="451" spans="10:10" x14ac:dyDescent="0.35">
      <c r="J451">
        <v>371.64994873577223</v>
      </c>
    </row>
    <row r="452" spans="10:10" x14ac:dyDescent="0.35">
      <c r="J452">
        <v>339.72028432471308</v>
      </c>
    </row>
    <row r="453" spans="10:10" x14ac:dyDescent="0.35">
      <c r="J453">
        <v>377.38402189485407</v>
      </c>
    </row>
    <row r="454" spans="10:10" x14ac:dyDescent="0.35">
      <c r="J454">
        <v>408.15189886703968</v>
      </c>
    </row>
    <row r="455" spans="10:10" x14ac:dyDescent="0.35">
      <c r="J455">
        <v>405.87662153049462</v>
      </c>
    </row>
    <row r="456" spans="10:10" x14ac:dyDescent="0.35">
      <c r="J456">
        <v>446.14137181449217</v>
      </c>
    </row>
    <row r="457" spans="10:10" x14ac:dyDescent="0.35">
      <c r="J457">
        <v>604.20786708554294</v>
      </c>
    </row>
    <row r="458" spans="10:10" x14ac:dyDescent="0.35">
      <c r="J458">
        <v>753.75373933956519</v>
      </c>
    </row>
    <row r="459" spans="10:10" x14ac:dyDescent="0.35">
      <c r="J459">
        <v>798.68358501472278</v>
      </c>
    </row>
    <row r="462" spans="10:10" x14ac:dyDescent="0.35">
      <c r="J462">
        <v>0</v>
      </c>
    </row>
    <row r="463" spans="10:10" x14ac:dyDescent="0.35">
      <c r="J463">
        <v>0</v>
      </c>
    </row>
    <row r="464" spans="10:10" x14ac:dyDescent="0.35">
      <c r="J464">
        <v>0</v>
      </c>
    </row>
    <row r="465" spans="10:10" x14ac:dyDescent="0.35">
      <c r="J465">
        <v>0</v>
      </c>
    </row>
    <row r="466" spans="10:10" x14ac:dyDescent="0.35">
      <c r="J466">
        <v>0</v>
      </c>
    </row>
    <row r="467" spans="10:10" x14ac:dyDescent="0.35">
      <c r="J467">
        <v>0</v>
      </c>
    </row>
    <row r="468" spans="10:10" x14ac:dyDescent="0.35">
      <c r="J468">
        <v>0</v>
      </c>
    </row>
    <row r="469" spans="10:10" x14ac:dyDescent="0.35">
      <c r="J469">
        <v>0</v>
      </c>
    </row>
    <row r="470" spans="10:10" x14ac:dyDescent="0.35">
      <c r="J470">
        <v>0</v>
      </c>
    </row>
    <row r="471" spans="10:10" x14ac:dyDescent="0.35">
      <c r="J471">
        <v>0</v>
      </c>
    </row>
    <row r="472" spans="10:10" x14ac:dyDescent="0.35">
      <c r="J472">
        <v>0</v>
      </c>
    </row>
    <row r="473" spans="10:10" x14ac:dyDescent="0.35">
      <c r="J473">
        <v>0</v>
      </c>
    </row>
    <row r="474" spans="10:10" x14ac:dyDescent="0.35">
      <c r="J474">
        <v>0</v>
      </c>
    </row>
    <row r="475" spans="10:10" x14ac:dyDescent="0.35">
      <c r="J475">
        <v>0</v>
      </c>
    </row>
    <row r="476" spans="10:10" x14ac:dyDescent="0.35">
      <c r="J476">
        <v>0</v>
      </c>
    </row>
    <row r="477" spans="10:10" x14ac:dyDescent="0.35">
      <c r="J477">
        <v>0</v>
      </c>
    </row>
    <row r="478" spans="10:10" x14ac:dyDescent="0.35">
      <c r="J478">
        <v>0</v>
      </c>
    </row>
    <row r="479" spans="10:10" x14ac:dyDescent="0.35">
      <c r="J479">
        <v>0</v>
      </c>
    </row>
    <row r="480" spans="10:10" x14ac:dyDescent="0.35">
      <c r="J480">
        <v>0</v>
      </c>
    </row>
    <row r="481" spans="10:10" x14ac:dyDescent="0.35">
      <c r="J481">
        <v>0</v>
      </c>
    </row>
    <row r="484" spans="10:10" x14ac:dyDescent="0.35">
      <c r="J484">
        <v>150416.0141856281</v>
      </c>
    </row>
    <row r="485" spans="10:10" x14ac:dyDescent="0.35">
      <c r="J485">
        <v>154602.85963563481</v>
      </c>
    </row>
    <row r="486" spans="10:10" x14ac:dyDescent="0.35">
      <c r="J486">
        <v>159097.17468421569</v>
      </c>
    </row>
    <row r="487" spans="10:10" x14ac:dyDescent="0.35">
      <c r="J487">
        <v>185661.68168860819</v>
      </c>
    </row>
    <row r="488" spans="10:10" x14ac:dyDescent="0.35">
      <c r="J488">
        <v>204465.2270195139</v>
      </c>
    </row>
    <row r="489" spans="10:10" x14ac:dyDescent="0.35">
      <c r="J489">
        <v>98876.317565135818</v>
      </c>
    </row>
    <row r="490" spans="10:10" x14ac:dyDescent="0.35">
      <c r="J490">
        <v>81226.367629211833</v>
      </c>
    </row>
    <row r="491" spans="10:10" x14ac:dyDescent="0.35">
      <c r="J491">
        <v>61050.446799904566</v>
      </c>
    </row>
    <row r="492" spans="10:10" x14ac:dyDescent="0.35">
      <c r="J492">
        <v>57494.932544840703</v>
      </c>
    </row>
    <row r="493" spans="10:10" x14ac:dyDescent="0.35">
      <c r="J493">
        <v>56077.089414719972</v>
      </c>
    </row>
    <row r="494" spans="10:10" x14ac:dyDescent="0.35">
      <c r="J494">
        <v>127951.8642909862</v>
      </c>
    </row>
    <row r="495" spans="10:10" x14ac:dyDescent="0.35">
      <c r="J495">
        <v>97958.526217157792</v>
      </c>
    </row>
    <row r="496" spans="10:10" x14ac:dyDescent="0.35">
      <c r="J496">
        <v>75997.913120095036</v>
      </c>
    </row>
    <row r="497" spans="10:10" x14ac:dyDescent="0.35">
      <c r="J497">
        <v>80960.711797998083</v>
      </c>
    </row>
    <row r="498" spans="10:10" x14ac:dyDescent="0.35">
      <c r="J498">
        <v>88532.756518296024</v>
      </c>
    </row>
    <row r="499" spans="10:10" x14ac:dyDescent="0.35">
      <c r="J499">
        <v>28470.2154956997</v>
      </c>
    </row>
    <row r="500" spans="10:10" x14ac:dyDescent="0.35">
      <c r="J500">
        <v>29982.960768879941</v>
      </c>
    </row>
    <row r="501" spans="10:10" x14ac:dyDescent="0.35">
      <c r="J501">
        <v>31837.633764398241</v>
      </c>
    </row>
    <row r="502" spans="10:10" x14ac:dyDescent="0.35">
      <c r="J502">
        <v>33573.835375273498</v>
      </c>
    </row>
    <row r="503" spans="10:10" x14ac:dyDescent="0.35">
      <c r="J503">
        <v>35383.657999213683</v>
      </c>
    </row>
    <row r="506" spans="10:10" x14ac:dyDescent="0.35">
      <c r="J506">
        <v>0</v>
      </c>
    </row>
    <row r="507" spans="10:10" x14ac:dyDescent="0.35">
      <c r="J507">
        <v>0</v>
      </c>
    </row>
    <row r="508" spans="10:10" x14ac:dyDescent="0.35">
      <c r="J508">
        <v>0</v>
      </c>
    </row>
    <row r="509" spans="10:10" x14ac:dyDescent="0.35">
      <c r="J509">
        <v>0</v>
      </c>
    </row>
    <row r="510" spans="10:10" x14ac:dyDescent="0.35">
      <c r="J510">
        <v>0</v>
      </c>
    </row>
    <row r="511" spans="10:10" x14ac:dyDescent="0.35">
      <c r="J511">
        <v>0</v>
      </c>
    </row>
    <row r="512" spans="10:10" x14ac:dyDescent="0.35">
      <c r="J512">
        <v>0</v>
      </c>
    </row>
    <row r="513" spans="10:10" x14ac:dyDescent="0.35">
      <c r="J513">
        <v>0</v>
      </c>
    </row>
    <row r="514" spans="10:10" x14ac:dyDescent="0.35">
      <c r="J514">
        <v>0</v>
      </c>
    </row>
    <row r="515" spans="10:10" x14ac:dyDescent="0.35">
      <c r="J515">
        <v>0</v>
      </c>
    </row>
    <row r="516" spans="10:10" x14ac:dyDescent="0.35">
      <c r="J516">
        <v>0</v>
      </c>
    </row>
    <row r="517" spans="10:10" x14ac:dyDescent="0.35">
      <c r="J517">
        <v>0</v>
      </c>
    </row>
    <row r="518" spans="10:10" x14ac:dyDescent="0.35">
      <c r="J518">
        <v>0</v>
      </c>
    </row>
    <row r="519" spans="10:10" x14ac:dyDescent="0.35">
      <c r="J519">
        <v>0</v>
      </c>
    </row>
    <row r="520" spans="10:10" x14ac:dyDescent="0.35">
      <c r="J520">
        <v>0</v>
      </c>
    </row>
    <row r="521" spans="10:10" x14ac:dyDescent="0.35">
      <c r="J521">
        <v>0</v>
      </c>
    </row>
    <row r="522" spans="10:10" x14ac:dyDescent="0.35">
      <c r="J522">
        <v>0</v>
      </c>
    </row>
    <row r="523" spans="10:10" x14ac:dyDescent="0.35">
      <c r="J523">
        <v>0</v>
      </c>
    </row>
    <row r="524" spans="10:10" x14ac:dyDescent="0.35">
      <c r="J524">
        <v>0</v>
      </c>
    </row>
    <row r="525" spans="10:10" x14ac:dyDescent="0.35">
      <c r="J525">
        <v>0</v>
      </c>
    </row>
    <row r="526" spans="10:10" x14ac:dyDescent="0.35">
      <c r="J526">
        <v>0</v>
      </c>
    </row>
    <row r="527" spans="10:10" x14ac:dyDescent="0.35">
      <c r="J527">
        <v>0</v>
      </c>
    </row>
    <row r="528" spans="10:10" x14ac:dyDescent="0.35">
      <c r="J528">
        <v>0</v>
      </c>
    </row>
    <row r="529" spans="10:10" x14ac:dyDescent="0.35">
      <c r="J529">
        <v>0</v>
      </c>
    </row>
    <row r="530" spans="10:10" x14ac:dyDescent="0.35">
      <c r="J530">
        <v>0</v>
      </c>
    </row>
    <row r="531" spans="10:10" x14ac:dyDescent="0.35">
      <c r="J531">
        <v>0</v>
      </c>
    </row>
    <row r="532" spans="10:10" x14ac:dyDescent="0.35">
      <c r="J532">
        <v>0</v>
      </c>
    </row>
    <row r="533" spans="10:10" x14ac:dyDescent="0.35">
      <c r="J533">
        <v>0</v>
      </c>
    </row>
    <row r="534" spans="10:10" x14ac:dyDescent="0.35">
      <c r="J534">
        <v>0</v>
      </c>
    </row>
    <row r="535" spans="10:10" x14ac:dyDescent="0.35">
      <c r="J535">
        <v>0</v>
      </c>
    </row>
    <row r="536" spans="10:10" x14ac:dyDescent="0.35">
      <c r="J536">
        <v>0</v>
      </c>
    </row>
    <row r="537" spans="10:10" x14ac:dyDescent="0.35">
      <c r="J537">
        <v>0</v>
      </c>
    </row>
    <row r="538" spans="10:10" x14ac:dyDescent="0.35">
      <c r="J538">
        <v>0</v>
      </c>
    </row>
    <row r="539" spans="10:10" x14ac:dyDescent="0.35">
      <c r="J539">
        <v>0</v>
      </c>
    </row>
    <row r="540" spans="10:10" x14ac:dyDescent="0.35">
      <c r="J540">
        <v>0</v>
      </c>
    </row>
    <row r="541" spans="10:10" x14ac:dyDescent="0.35">
      <c r="J541">
        <v>0</v>
      </c>
    </row>
    <row r="542" spans="10:10" x14ac:dyDescent="0.35">
      <c r="J542">
        <v>0</v>
      </c>
    </row>
    <row r="543" spans="10:10" x14ac:dyDescent="0.35">
      <c r="J543">
        <v>0</v>
      </c>
    </row>
    <row r="544" spans="10:10" x14ac:dyDescent="0.35">
      <c r="J544">
        <v>0</v>
      </c>
    </row>
    <row r="545" spans="10:10" x14ac:dyDescent="0.35">
      <c r="J545">
        <v>0</v>
      </c>
    </row>
    <row r="548" spans="10:10" x14ac:dyDescent="0.35">
      <c r="J548">
        <v>0</v>
      </c>
    </row>
    <row r="549" spans="10:10" x14ac:dyDescent="0.35">
      <c r="J549">
        <v>0</v>
      </c>
    </row>
    <row r="550" spans="10:10" x14ac:dyDescent="0.35">
      <c r="J550">
        <v>0</v>
      </c>
    </row>
    <row r="551" spans="10:10" x14ac:dyDescent="0.35">
      <c r="J551">
        <v>0</v>
      </c>
    </row>
    <row r="552" spans="10:10" x14ac:dyDescent="0.35">
      <c r="J552">
        <v>0</v>
      </c>
    </row>
    <row r="553" spans="10:10" x14ac:dyDescent="0.35">
      <c r="J553">
        <v>0</v>
      </c>
    </row>
    <row r="554" spans="10:10" x14ac:dyDescent="0.35">
      <c r="J554">
        <v>0</v>
      </c>
    </row>
    <row r="555" spans="10:10" x14ac:dyDescent="0.35">
      <c r="J555">
        <v>0</v>
      </c>
    </row>
    <row r="556" spans="10:10" x14ac:dyDescent="0.35">
      <c r="J556">
        <v>0</v>
      </c>
    </row>
    <row r="557" spans="10:10" x14ac:dyDescent="0.35">
      <c r="J557">
        <v>0</v>
      </c>
    </row>
    <row r="558" spans="10:10" x14ac:dyDescent="0.35">
      <c r="J558">
        <v>0</v>
      </c>
    </row>
    <row r="559" spans="10:10" x14ac:dyDescent="0.35">
      <c r="J559">
        <v>0</v>
      </c>
    </row>
    <row r="560" spans="10:10" x14ac:dyDescent="0.35">
      <c r="J560">
        <v>0</v>
      </c>
    </row>
    <row r="561" spans="10:10" x14ac:dyDescent="0.35">
      <c r="J561">
        <v>0</v>
      </c>
    </row>
    <row r="562" spans="10:10" x14ac:dyDescent="0.35">
      <c r="J562">
        <v>0</v>
      </c>
    </row>
    <row r="563" spans="10:10" x14ac:dyDescent="0.35">
      <c r="J563">
        <v>0</v>
      </c>
    </row>
    <row r="564" spans="10:10" x14ac:dyDescent="0.35">
      <c r="J564">
        <v>0</v>
      </c>
    </row>
    <row r="565" spans="10:10" x14ac:dyDescent="0.35">
      <c r="J565">
        <v>0</v>
      </c>
    </row>
    <row r="566" spans="10:10" x14ac:dyDescent="0.35">
      <c r="J566">
        <v>0</v>
      </c>
    </row>
    <row r="567" spans="10:10" x14ac:dyDescent="0.35">
      <c r="J567">
        <v>0</v>
      </c>
    </row>
    <row r="568" spans="10:10" x14ac:dyDescent="0.35">
      <c r="J568">
        <v>0</v>
      </c>
    </row>
    <row r="569" spans="10:10" x14ac:dyDescent="0.35">
      <c r="J569">
        <v>0</v>
      </c>
    </row>
    <row r="570" spans="10:10" x14ac:dyDescent="0.35">
      <c r="J570">
        <v>0</v>
      </c>
    </row>
    <row r="571" spans="10:10" x14ac:dyDescent="0.35">
      <c r="J571">
        <v>0</v>
      </c>
    </row>
    <row r="572" spans="10:10" x14ac:dyDescent="0.35">
      <c r="J572">
        <v>0</v>
      </c>
    </row>
    <row r="573" spans="10:10" x14ac:dyDescent="0.35">
      <c r="J573">
        <v>0</v>
      </c>
    </row>
    <row r="574" spans="10:10" x14ac:dyDescent="0.35">
      <c r="J574">
        <v>0</v>
      </c>
    </row>
    <row r="575" spans="10:10" x14ac:dyDescent="0.35">
      <c r="J575">
        <v>0</v>
      </c>
    </row>
    <row r="576" spans="10:10" x14ac:dyDescent="0.35">
      <c r="J576">
        <v>0</v>
      </c>
    </row>
    <row r="577" spans="10:10" x14ac:dyDescent="0.35">
      <c r="J577">
        <v>0</v>
      </c>
    </row>
    <row r="578" spans="10:10" x14ac:dyDescent="0.35">
      <c r="J578">
        <v>0</v>
      </c>
    </row>
    <row r="579" spans="10:10" x14ac:dyDescent="0.35">
      <c r="J579">
        <v>0</v>
      </c>
    </row>
    <row r="580" spans="10:10" x14ac:dyDescent="0.35">
      <c r="J580">
        <v>0</v>
      </c>
    </row>
    <row r="581" spans="10:10" x14ac:dyDescent="0.35">
      <c r="J581">
        <v>0</v>
      </c>
    </row>
    <row r="582" spans="10:10" x14ac:dyDescent="0.35">
      <c r="J582">
        <v>0</v>
      </c>
    </row>
    <row r="583" spans="10:10" x14ac:dyDescent="0.35">
      <c r="J583">
        <v>0</v>
      </c>
    </row>
    <row r="584" spans="10:10" x14ac:dyDescent="0.35">
      <c r="J584">
        <v>0</v>
      </c>
    </row>
    <row r="585" spans="10:10" x14ac:dyDescent="0.35">
      <c r="J585">
        <v>0</v>
      </c>
    </row>
    <row r="586" spans="10:10" x14ac:dyDescent="0.35">
      <c r="J586">
        <v>0</v>
      </c>
    </row>
    <row r="587" spans="10:10" x14ac:dyDescent="0.35">
      <c r="J587">
        <v>0</v>
      </c>
    </row>
    <row r="590" spans="10:10" x14ac:dyDescent="0.35">
      <c r="J590">
        <v>0</v>
      </c>
    </row>
    <row r="591" spans="10:10" x14ac:dyDescent="0.35">
      <c r="J591">
        <v>0</v>
      </c>
    </row>
    <row r="592" spans="10:10" x14ac:dyDescent="0.35">
      <c r="J592">
        <v>0</v>
      </c>
    </row>
    <row r="593" spans="10:10" x14ac:dyDescent="0.35">
      <c r="J593">
        <v>0</v>
      </c>
    </row>
    <row r="594" spans="10:10" x14ac:dyDescent="0.35">
      <c r="J594">
        <v>0</v>
      </c>
    </row>
    <row r="595" spans="10:10" x14ac:dyDescent="0.35">
      <c r="J595">
        <v>0</v>
      </c>
    </row>
    <row r="596" spans="10:10" x14ac:dyDescent="0.35">
      <c r="J596">
        <v>0</v>
      </c>
    </row>
    <row r="597" spans="10:10" x14ac:dyDescent="0.35">
      <c r="J597">
        <v>0</v>
      </c>
    </row>
    <row r="598" spans="10:10" x14ac:dyDescent="0.35">
      <c r="J598">
        <v>0</v>
      </c>
    </row>
    <row r="599" spans="10:10" x14ac:dyDescent="0.35">
      <c r="J599">
        <v>0</v>
      </c>
    </row>
    <row r="600" spans="10:10" x14ac:dyDescent="0.35">
      <c r="J600">
        <v>0</v>
      </c>
    </row>
    <row r="601" spans="10:10" x14ac:dyDescent="0.35">
      <c r="J601">
        <v>0</v>
      </c>
    </row>
    <row r="602" spans="10:10" x14ac:dyDescent="0.35">
      <c r="J602">
        <v>0</v>
      </c>
    </row>
    <row r="603" spans="10:10" x14ac:dyDescent="0.35">
      <c r="J603">
        <v>0</v>
      </c>
    </row>
    <row r="604" spans="10:10" x14ac:dyDescent="0.35">
      <c r="J604">
        <v>0</v>
      </c>
    </row>
    <row r="605" spans="10:10" x14ac:dyDescent="0.35">
      <c r="J605">
        <v>0</v>
      </c>
    </row>
    <row r="606" spans="10:10" x14ac:dyDescent="0.35">
      <c r="J606">
        <v>0</v>
      </c>
    </row>
    <row r="607" spans="10:10" x14ac:dyDescent="0.35">
      <c r="J607">
        <v>0</v>
      </c>
    </row>
    <row r="608" spans="10:10" x14ac:dyDescent="0.35">
      <c r="J608">
        <v>0</v>
      </c>
    </row>
    <row r="609" spans="10:10" x14ac:dyDescent="0.35">
      <c r="J609">
        <v>0</v>
      </c>
    </row>
    <row r="610" spans="10:10" x14ac:dyDescent="0.35">
      <c r="J610">
        <v>0</v>
      </c>
    </row>
    <row r="611" spans="10:10" x14ac:dyDescent="0.35">
      <c r="J611">
        <v>0</v>
      </c>
    </row>
    <row r="612" spans="10:10" x14ac:dyDescent="0.35">
      <c r="J612">
        <v>0</v>
      </c>
    </row>
    <row r="613" spans="10:10" x14ac:dyDescent="0.35">
      <c r="J613">
        <v>0</v>
      </c>
    </row>
    <row r="614" spans="10:10" x14ac:dyDescent="0.35">
      <c r="J614">
        <v>0</v>
      </c>
    </row>
    <row r="615" spans="10:10" x14ac:dyDescent="0.35">
      <c r="J615">
        <v>0</v>
      </c>
    </row>
    <row r="616" spans="10:10" x14ac:dyDescent="0.35">
      <c r="J616">
        <v>0</v>
      </c>
    </row>
    <row r="617" spans="10:10" x14ac:dyDescent="0.35">
      <c r="J617">
        <v>0</v>
      </c>
    </row>
    <row r="618" spans="10:10" x14ac:dyDescent="0.35">
      <c r="J618">
        <v>0</v>
      </c>
    </row>
    <row r="619" spans="10:10" x14ac:dyDescent="0.35">
      <c r="J619">
        <v>0</v>
      </c>
    </row>
    <row r="620" spans="10:10" x14ac:dyDescent="0.35">
      <c r="J620">
        <v>0</v>
      </c>
    </row>
    <row r="621" spans="10:10" x14ac:dyDescent="0.35">
      <c r="J621">
        <v>0</v>
      </c>
    </row>
    <row r="622" spans="10:10" x14ac:dyDescent="0.35">
      <c r="J622">
        <v>0</v>
      </c>
    </row>
    <row r="623" spans="10:10" x14ac:dyDescent="0.35">
      <c r="J623">
        <v>0</v>
      </c>
    </row>
    <row r="624" spans="10:10" x14ac:dyDescent="0.35">
      <c r="J624">
        <v>0</v>
      </c>
    </row>
    <row r="625" spans="10:10" x14ac:dyDescent="0.35">
      <c r="J625">
        <v>0</v>
      </c>
    </row>
    <row r="626" spans="10:10" x14ac:dyDescent="0.35">
      <c r="J626">
        <v>0</v>
      </c>
    </row>
    <row r="627" spans="10:10" x14ac:dyDescent="0.35">
      <c r="J627">
        <v>0</v>
      </c>
    </row>
    <row r="628" spans="10:10" x14ac:dyDescent="0.35">
      <c r="J628">
        <v>0</v>
      </c>
    </row>
    <row r="629" spans="10:10" x14ac:dyDescent="0.35">
      <c r="J629">
        <v>0</v>
      </c>
    </row>
    <row r="632" spans="10:10" x14ac:dyDescent="0.35">
      <c r="J632">
        <v>0</v>
      </c>
    </row>
    <row r="633" spans="10:10" x14ac:dyDescent="0.35">
      <c r="J633">
        <v>0</v>
      </c>
    </row>
    <row r="634" spans="10:10" x14ac:dyDescent="0.35">
      <c r="J634">
        <v>0</v>
      </c>
    </row>
    <row r="635" spans="10:10" x14ac:dyDescent="0.35">
      <c r="J635">
        <v>0</v>
      </c>
    </row>
    <row r="636" spans="10:10" x14ac:dyDescent="0.35">
      <c r="J636">
        <v>0</v>
      </c>
    </row>
    <row r="637" spans="10:10" x14ac:dyDescent="0.35">
      <c r="J637">
        <v>0</v>
      </c>
    </row>
    <row r="638" spans="10:10" x14ac:dyDescent="0.35">
      <c r="J638">
        <v>0</v>
      </c>
    </row>
    <row r="639" spans="10:10" x14ac:dyDescent="0.35">
      <c r="J639">
        <v>0</v>
      </c>
    </row>
    <row r="640" spans="10:10" x14ac:dyDescent="0.35">
      <c r="J640">
        <v>0</v>
      </c>
    </row>
    <row r="641" spans="10:10" x14ac:dyDescent="0.35">
      <c r="J641">
        <v>0</v>
      </c>
    </row>
    <row r="642" spans="10:10" x14ac:dyDescent="0.35">
      <c r="J642">
        <v>0</v>
      </c>
    </row>
    <row r="643" spans="10:10" x14ac:dyDescent="0.35">
      <c r="J643">
        <v>0</v>
      </c>
    </row>
    <row r="644" spans="10:10" x14ac:dyDescent="0.35">
      <c r="J644">
        <v>0</v>
      </c>
    </row>
    <row r="645" spans="10:10" x14ac:dyDescent="0.35">
      <c r="J645">
        <v>0</v>
      </c>
    </row>
    <row r="646" spans="10:10" x14ac:dyDescent="0.35">
      <c r="J646">
        <v>0</v>
      </c>
    </row>
    <row r="647" spans="10:10" x14ac:dyDescent="0.35">
      <c r="J647">
        <v>0</v>
      </c>
    </row>
    <row r="648" spans="10:10" x14ac:dyDescent="0.35">
      <c r="J648">
        <v>0</v>
      </c>
    </row>
    <row r="649" spans="10:10" x14ac:dyDescent="0.35">
      <c r="J649">
        <v>0</v>
      </c>
    </row>
    <row r="650" spans="10:10" x14ac:dyDescent="0.35">
      <c r="J650">
        <v>0</v>
      </c>
    </row>
    <row r="651" spans="10:10" x14ac:dyDescent="0.35">
      <c r="J651">
        <v>0</v>
      </c>
    </row>
    <row r="652" spans="10:10" x14ac:dyDescent="0.35">
      <c r="J652">
        <v>0</v>
      </c>
    </row>
    <row r="653" spans="10:10" x14ac:dyDescent="0.35">
      <c r="J653">
        <v>0</v>
      </c>
    </row>
    <row r="654" spans="10:10" x14ac:dyDescent="0.35">
      <c r="J654">
        <v>0</v>
      </c>
    </row>
    <row r="655" spans="10:10" x14ac:dyDescent="0.35">
      <c r="J655">
        <v>0</v>
      </c>
    </row>
    <row r="656" spans="10:10" x14ac:dyDescent="0.35">
      <c r="J656">
        <v>0</v>
      </c>
    </row>
    <row r="657" spans="10:10" x14ac:dyDescent="0.35">
      <c r="J657">
        <v>0</v>
      </c>
    </row>
    <row r="658" spans="10:10" x14ac:dyDescent="0.35">
      <c r="J658">
        <v>0</v>
      </c>
    </row>
    <row r="659" spans="10:10" x14ac:dyDescent="0.35">
      <c r="J659">
        <v>0</v>
      </c>
    </row>
    <row r="660" spans="10:10" x14ac:dyDescent="0.35">
      <c r="J660">
        <v>0</v>
      </c>
    </row>
    <row r="661" spans="10:10" x14ac:dyDescent="0.35">
      <c r="J661">
        <v>0</v>
      </c>
    </row>
    <row r="662" spans="10:10" x14ac:dyDescent="0.35">
      <c r="J662">
        <v>0</v>
      </c>
    </row>
    <row r="663" spans="10:10" x14ac:dyDescent="0.35">
      <c r="J663">
        <v>0</v>
      </c>
    </row>
    <row r="664" spans="10:10" x14ac:dyDescent="0.35">
      <c r="J664">
        <v>0</v>
      </c>
    </row>
    <row r="665" spans="10:10" x14ac:dyDescent="0.35">
      <c r="J665">
        <v>0</v>
      </c>
    </row>
    <row r="666" spans="10:10" x14ac:dyDescent="0.35">
      <c r="J666">
        <v>0</v>
      </c>
    </row>
    <row r="667" spans="10:10" x14ac:dyDescent="0.35">
      <c r="J667">
        <v>0</v>
      </c>
    </row>
    <row r="668" spans="10:10" x14ac:dyDescent="0.35">
      <c r="J668">
        <v>0</v>
      </c>
    </row>
    <row r="669" spans="10:10" x14ac:dyDescent="0.35">
      <c r="J669">
        <v>0</v>
      </c>
    </row>
    <row r="670" spans="10:10" x14ac:dyDescent="0.35">
      <c r="J670">
        <v>0</v>
      </c>
    </row>
    <row r="671" spans="10:10" x14ac:dyDescent="0.35">
      <c r="J671">
        <v>0</v>
      </c>
    </row>
    <row r="674" spans="10:10" x14ac:dyDescent="0.35">
      <c r="J674">
        <v>0</v>
      </c>
    </row>
    <row r="675" spans="10:10" x14ac:dyDescent="0.35">
      <c r="J675">
        <v>0</v>
      </c>
    </row>
    <row r="676" spans="10:10" x14ac:dyDescent="0.35">
      <c r="J676">
        <v>0</v>
      </c>
    </row>
    <row r="677" spans="10:10" x14ac:dyDescent="0.35">
      <c r="J677">
        <v>0</v>
      </c>
    </row>
    <row r="678" spans="10:10" x14ac:dyDescent="0.35">
      <c r="J678">
        <v>0</v>
      </c>
    </row>
    <row r="679" spans="10:10" x14ac:dyDescent="0.35">
      <c r="J679">
        <v>0</v>
      </c>
    </row>
    <row r="680" spans="10:10" x14ac:dyDescent="0.35">
      <c r="J680">
        <v>0</v>
      </c>
    </row>
    <row r="681" spans="10:10" x14ac:dyDescent="0.35">
      <c r="J681">
        <v>0</v>
      </c>
    </row>
    <row r="682" spans="10:10" x14ac:dyDescent="0.35">
      <c r="J682">
        <v>0</v>
      </c>
    </row>
    <row r="683" spans="10:10" x14ac:dyDescent="0.35">
      <c r="J683">
        <v>0</v>
      </c>
    </row>
    <row r="684" spans="10:10" x14ac:dyDescent="0.35">
      <c r="J684">
        <v>0</v>
      </c>
    </row>
    <row r="685" spans="10:10" x14ac:dyDescent="0.35">
      <c r="J685">
        <v>0</v>
      </c>
    </row>
    <row r="686" spans="10:10" x14ac:dyDescent="0.35">
      <c r="J686">
        <v>0</v>
      </c>
    </row>
    <row r="687" spans="10:10" x14ac:dyDescent="0.35">
      <c r="J687">
        <v>0</v>
      </c>
    </row>
    <row r="688" spans="10:10" x14ac:dyDescent="0.35">
      <c r="J688">
        <v>0</v>
      </c>
    </row>
    <row r="689" spans="10:10" x14ac:dyDescent="0.35">
      <c r="J689">
        <v>0</v>
      </c>
    </row>
    <row r="690" spans="10:10" x14ac:dyDescent="0.35">
      <c r="J690">
        <v>0</v>
      </c>
    </row>
    <row r="691" spans="10:10" x14ac:dyDescent="0.35">
      <c r="J691">
        <v>0</v>
      </c>
    </row>
    <row r="692" spans="10:10" x14ac:dyDescent="0.35">
      <c r="J692">
        <v>0</v>
      </c>
    </row>
    <row r="693" spans="10:10" x14ac:dyDescent="0.35">
      <c r="J693">
        <v>0</v>
      </c>
    </row>
    <row r="694" spans="10:10" x14ac:dyDescent="0.35">
      <c r="J694">
        <v>0</v>
      </c>
    </row>
    <row r="695" spans="10:10" x14ac:dyDescent="0.35">
      <c r="J695">
        <v>0</v>
      </c>
    </row>
    <row r="696" spans="10:10" x14ac:dyDescent="0.35">
      <c r="J696">
        <v>0</v>
      </c>
    </row>
    <row r="697" spans="10:10" x14ac:dyDescent="0.35">
      <c r="J697">
        <v>0</v>
      </c>
    </row>
    <row r="700" spans="10:10" x14ac:dyDescent="0.35">
      <c r="J700">
        <v>0</v>
      </c>
    </row>
    <row r="701" spans="10:10" x14ac:dyDescent="0.35">
      <c r="J701">
        <v>0</v>
      </c>
    </row>
    <row r="702" spans="10:10" x14ac:dyDescent="0.35">
      <c r="J702">
        <v>0</v>
      </c>
    </row>
    <row r="703" spans="10:10" x14ac:dyDescent="0.35">
      <c r="J703">
        <v>0</v>
      </c>
    </row>
    <row r="704" spans="10:10" x14ac:dyDescent="0.35">
      <c r="J704">
        <v>0</v>
      </c>
    </row>
    <row r="705" spans="10:10" x14ac:dyDescent="0.35">
      <c r="J705">
        <v>0</v>
      </c>
    </row>
    <row r="706" spans="10:10" x14ac:dyDescent="0.35">
      <c r="J706">
        <v>0</v>
      </c>
    </row>
    <row r="707" spans="10:10" x14ac:dyDescent="0.35">
      <c r="J707">
        <v>0</v>
      </c>
    </row>
    <row r="708" spans="10:10" x14ac:dyDescent="0.35">
      <c r="J708">
        <v>0</v>
      </c>
    </row>
    <row r="709" spans="10:10" x14ac:dyDescent="0.35">
      <c r="J709">
        <v>0</v>
      </c>
    </row>
    <row r="710" spans="10:10" x14ac:dyDescent="0.35">
      <c r="J710">
        <v>0</v>
      </c>
    </row>
    <row r="711" spans="10:10" x14ac:dyDescent="0.35">
      <c r="J711">
        <v>0</v>
      </c>
    </row>
    <row r="712" spans="10:10" x14ac:dyDescent="0.35">
      <c r="J712">
        <v>0</v>
      </c>
    </row>
    <row r="713" spans="10:10" x14ac:dyDescent="0.35">
      <c r="J713">
        <v>0</v>
      </c>
    </row>
    <row r="714" spans="10:10" x14ac:dyDescent="0.35">
      <c r="J714">
        <v>0</v>
      </c>
    </row>
    <row r="715" spans="10:10" x14ac:dyDescent="0.35">
      <c r="J715">
        <v>0</v>
      </c>
    </row>
    <row r="716" spans="10:10" x14ac:dyDescent="0.35">
      <c r="J716">
        <v>0</v>
      </c>
    </row>
    <row r="717" spans="10:10" x14ac:dyDescent="0.35">
      <c r="J717">
        <v>0</v>
      </c>
    </row>
    <row r="718" spans="10:10" x14ac:dyDescent="0.35">
      <c r="J718">
        <v>0</v>
      </c>
    </row>
    <row r="719" spans="10:10" x14ac:dyDescent="0.35">
      <c r="J719">
        <v>0</v>
      </c>
    </row>
    <row r="720" spans="10:10" x14ac:dyDescent="0.35">
      <c r="J720">
        <v>0</v>
      </c>
    </row>
    <row r="721" spans="10:10" x14ac:dyDescent="0.35">
      <c r="J721">
        <v>0</v>
      </c>
    </row>
    <row r="722" spans="10:10" x14ac:dyDescent="0.35">
      <c r="J722">
        <v>0</v>
      </c>
    </row>
    <row r="723" spans="10:10" x14ac:dyDescent="0.35">
      <c r="J723">
        <v>0</v>
      </c>
    </row>
    <row r="726" spans="10:10" x14ac:dyDescent="0.35">
      <c r="J726">
        <v>0</v>
      </c>
    </row>
    <row r="727" spans="10:10" x14ac:dyDescent="0.35">
      <c r="J727">
        <v>0</v>
      </c>
    </row>
    <row r="728" spans="10:10" x14ac:dyDescent="0.35">
      <c r="J728">
        <v>0</v>
      </c>
    </row>
    <row r="729" spans="10:10" x14ac:dyDescent="0.35">
      <c r="J729">
        <v>0</v>
      </c>
    </row>
    <row r="730" spans="10:10" x14ac:dyDescent="0.35">
      <c r="J730">
        <v>0</v>
      </c>
    </row>
    <row r="731" spans="10:10" x14ac:dyDescent="0.35">
      <c r="J731">
        <v>0</v>
      </c>
    </row>
    <row r="732" spans="10:10" x14ac:dyDescent="0.35">
      <c r="J732">
        <v>0</v>
      </c>
    </row>
    <row r="733" spans="10:10" x14ac:dyDescent="0.35">
      <c r="J733">
        <v>0</v>
      </c>
    </row>
    <row r="734" spans="10:10" x14ac:dyDescent="0.35">
      <c r="J734">
        <v>0</v>
      </c>
    </row>
    <row r="735" spans="10:10" x14ac:dyDescent="0.35">
      <c r="J735">
        <v>0</v>
      </c>
    </row>
    <row r="736" spans="10:10" x14ac:dyDescent="0.35">
      <c r="J736">
        <v>0</v>
      </c>
    </row>
    <row r="737" spans="10:10" x14ac:dyDescent="0.35">
      <c r="J737">
        <v>0</v>
      </c>
    </row>
    <row r="738" spans="10:10" x14ac:dyDescent="0.35">
      <c r="J738">
        <v>0</v>
      </c>
    </row>
    <row r="739" spans="10:10" x14ac:dyDescent="0.35">
      <c r="J739">
        <v>0</v>
      </c>
    </row>
    <row r="740" spans="10:10" x14ac:dyDescent="0.35">
      <c r="J740">
        <v>0</v>
      </c>
    </row>
    <row r="741" spans="10:10" x14ac:dyDescent="0.35">
      <c r="J741">
        <v>0</v>
      </c>
    </row>
    <row r="742" spans="10:10" x14ac:dyDescent="0.35">
      <c r="J742">
        <v>0</v>
      </c>
    </row>
    <row r="743" spans="10:10" x14ac:dyDescent="0.35">
      <c r="J743">
        <v>0</v>
      </c>
    </row>
    <row r="744" spans="10:10" x14ac:dyDescent="0.35">
      <c r="J744">
        <v>0</v>
      </c>
    </row>
    <row r="745" spans="10:10" x14ac:dyDescent="0.35">
      <c r="J745">
        <v>0</v>
      </c>
    </row>
    <row r="746" spans="10:10" x14ac:dyDescent="0.35">
      <c r="J746">
        <v>0</v>
      </c>
    </row>
    <row r="747" spans="10:10" x14ac:dyDescent="0.35">
      <c r="J747">
        <v>0</v>
      </c>
    </row>
    <row r="748" spans="10:10" x14ac:dyDescent="0.35">
      <c r="J748">
        <v>0</v>
      </c>
    </row>
    <row r="749" spans="10:10" x14ac:dyDescent="0.35">
      <c r="J749">
        <v>0</v>
      </c>
    </row>
    <row r="752" spans="10:10" x14ac:dyDescent="0.35">
      <c r="J752">
        <v>0</v>
      </c>
    </row>
    <row r="753" spans="10:10" x14ac:dyDescent="0.35">
      <c r="J753">
        <v>0</v>
      </c>
    </row>
    <row r="754" spans="10:10" x14ac:dyDescent="0.35">
      <c r="J754">
        <v>0</v>
      </c>
    </row>
    <row r="755" spans="10:10" x14ac:dyDescent="0.35">
      <c r="J755">
        <v>0</v>
      </c>
    </row>
    <row r="756" spans="10:10" x14ac:dyDescent="0.35">
      <c r="J756">
        <v>0</v>
      </c>
    </row>
    <row r="757" spans="10:10" x14ac:dyDescent="0.35">
      <c r="J757">
        <v>0</v>
      </c>
    </row>
    <row r="758" spans="10:10" x14ac:dyDescent="0.35">
      <c r="J758">
        <v>0</v>
      </c>
    </row>
    <row r="759" spans="10:10" x14ac:dyDescent="0.35">
      <c r="J759">
        <v>0</v>
      </c>
    </row>
    <row r="760" spans="10:10" x14ac:dyDescent="0.35">
      <c r="J760">
        <v>0</v>
      </c>
    </row>
    <row r="761" spans="10:10" x14ac:dyDescent="0.35">
      <c r="J761">
        <v>0</v>
      </c>
    </row>
    <row r="762" spans="10:10" x14ac:dyDescent="0.35">
      <c r="J762">
        <v>0</v>
      </c>
    </row>
    <row r="763" spans="10:10" x14ac:dyDescent="0.35">
      <c r="J763">
        <v>0</v>
      </c>
    </row>
    <row r="764" spans="10:10" x14ac:dyDescent="0.35">
      <c r="J764">
        <v>0</v>
      </c>
    </row>
    <row r="765" spans="10:10" x14ac:dyDescent="0.35">
      <c r="J765">
        <v>0</v>
      </c>
    </row>
    <row r="766" spans="10:10" x14ac:dyDescent="0.35">
      <c r="J766">
        <v>0</v>
      </c>
    </row>
    <row r="767" spans="10:10" x14ac:dyDescent="0.35">
      <c r="J767">
        <v>0</v>
      </c>
    </row>
    <row r="768" spans="10:10" x14ac:dyDescent="0.35">
      <c r="J768">
        <v>0</v>
      </c>
    </row>
    <row r="769" spans="10:10" x14ac:dyDescent="0.35">
      <c r="J769">
        <v>0</v>
      </c>
    </row>
    <row r="770" spans="10:10" x14ac:dyDescent="0.35">
      <c r="J770">
        <v>0</v>
      </c>
    </row>
    <row r="771" spans="10:10" x14ac:dyDescent="0.35">
      <c r="J771">
        <v>0</v>
      </c>
    </row>
    <row r="772" spans="10:10" x14ac:dyDescent="0.35">
      <c r="J772">
        <v>0</v>
      </c>
    </row>
    <row r="773" spans="10:10" x14ac:dyDescent="0.35">
      <c r="J773">
        <v>0</v>
      </c>
    </row>
    <row r="774" spans="10:10" x14ac:dyDescent="0.35">
      <c r="J774">
        <v>0</v>
      </c>
    </row>
    <row r="775" spans="10:10" x14ac:dyDescent="0.35">
      <c r="J775">
        <v>0</v>
      </c>
    </row>
    <row r="778" spans="10:10" x14ac:dyDescent="0.35">
      <c r="J778">
        <v>0</v>
      </c>
    </row>
    <row r="779" spans="10:10" x14ac:dyDescent="0.35">
      <c r="J779">
        <v>0</v>
      </c>
    </row>
    <row r="780" spans="10:10" x14ac:dyDescent="0.35">
      <c r="J780">
        <v>0</v>
      </c>
    </row>
    <row r="781" spans="10:10" x14ac:dyDescent="0.35">
      <c r="J781">
        <v>0</v>
      </c>
    </row>
    <row r="782" spans="10:10" x14ac:dyDescent="0.35">
      <c r="J782">
        <v>0</v>
      </c>
    </row>
    <row r="783" spans="10:10" x14ac:dyDescent="0.35">
      <c r="J783">
        <v>0</v>
      </c>
    </row>
    <row r="784" spans="10:10" x14ac:dyDescent="0.35">
      <c r="J784">
        <v>0</v>
      </c>
    </row>
    <row r="785" spans="10:10" x14ac:dyDescent="0.35">
      <c r="J785">
        <v>0</v>
      </c>
    </row>
    <row r="786" spans="10:10" x14ac:dyDescent="0.35">
      <c r="J786">
        <v>0</v>
      </c>
    </row>
    <row r="787" spans="10:10" x14ac:dyDescent="0.35">
      <c r="J787">
        <v>0</v>
      </c>
    </row>
    <row r="788" spans="10:10" x14ac:dyDescent="0.35">
      <c r="J788">
        <v>0</v>
      </c>
    </row>
    <row r="789" spans="10:10" x14ac:dyDescent="0.35">
      <c r="J789">
        <v>0</v>
      </c>
    </row>
    <row r="790" spans="10:10" x14ac:dyDescent="0.35">
      <c r="J790">
        <v>0</v>
      </c>
    </row>
    <row r="791" spans="10:10" x14ac:dyDescent="0.35">
      <c r="J791">
        <v>0</v>
      </c>
    </row>
    <row r="792" spans="10:10" x14ac:dyDescent="0.35">
      <c r="J792">
        <v>0</v>
      </c>
    </row>
    <row r="793" spans="10:10" x14ac:dyDescent="0.35">
      <c r="J793">
        <v>0</v>
      </c>
    </row>
    <row r="794" spans="10:10" x14ac:dyDescent="0.35">
      <c r="J794">
        <v>0</v>
      </c>
    </row>
    <row r="795" spans="10:10" x14ac:dyDescent="0.35">
      <c r="J795">
        <v>0</v>
      </c>
    </row>
    <row r="796" spans="10:10" x14ac:dyDescent="0.35">
      <c r="J796">
        <v>0</v>
      </c>
    </row>
    <row r="797" spans="10:10" x14ac:dyDescent="0.35">
      <c r="J797">
        <v>0</v>
      </c>
    </row>
    <row r="798" spans="10:10" x14ac:dyDescent="0.35">
      <c r="J798">
        <v>0</v>
      </c>
    </row>
    <row r="799" spans="10:10" x14ac:dyDescent="0.35">
      <c r="J799">
        <v>0</v>
      </c>
    </row>
    <row r="800" spans="10:10" x14ac:dyDescent="0.35">
      <c r="J800">
        <v>0</v>
      </c>
    </row>
    <row r="801" spans="10:10" x14ac:dyDescent="0.35">
      <c r="J801">
        <v>0</v>
      </c>
    </row>
    <row r="802" spans="10:10" x14ac:dyDescent="0.35">
      <c r="J802">
        <v>0</v>
      </c>
    </row>
    <row r="803" spans="10:10" x14ac:dyDescent="0.35">
      <c r="J803">
        <v>0</v>
      </c>
    </row>
    <row r="804" spans="10:10" x14ac:dyDescent="0.35">
      <c r="J804">
        <v>0</v>
      </c>
    </row>
    <row r="805" spans="10:10" x14ac:dyDescent="0.35">
      <c r="J805">
        <v>0</v>
      </c>
    </row>
    <row r="806" spans="10:10" x14ac:dyDescent="0.35">
      <c r="J806">
        <v>0</v>
      </c>
    </row>
    <row r="807" spans="10:10" x14ac:dyDescent="0.35">
      <c r="J807">
        <v>0</v>
      </c>
    </row>
    <row r="808" spans="10:10" x14ac:dyDescent="0.35">
      <c r="J808">
        <v>0</v>
      </c>
    </row>
    <row r="809" spans="10:10" x14ac:dyDescent="0.35">
      <c r="J809">
        <v>0</v>
      </c>
    </row>
    <row r="810" spans="10:10" x14ac:dyDescent="0.35">
      <c r="J810">
        <v>0</v>
      </c>
    </row>
    <row r="811" spans="10:10" x14ac:dyDescent="0.35">
      <c r="J811">
        <v>0</v>
      </c>
    </row>
    <row r="812" spans="10:10" x14ac:dyDescent="0.35">
      <c r="J812">
        <v>0</v>
      </c>
    </row>
    <row r="813" spans="10:10" x14ac:dyDescent="0.35">
      <c r="J813">
        <v>0</v>
      </c>
    </row>
    <row r="814" spans="10:10" x14ac:dyDescent="0.35">
      <c r="J814">
        <v>0</v>
      </c>
    </row>
    <row r="815" spans="10:10" x14ac:dyDescent="0.35">
      <c r="J815">
        <v>0</v>
      </c>
    </row>
    <row r="816" spans="10:10" x14ac:dyDescent="0.35">
      <c r="J816">
        <v>0</v>
      </c>
    </row>
    <row r="817" spans="10:10" x14ac:dyDescent="0.35">
      <c r="J817">
        <v>0</v>
      </c>
    </row>
    <row r="820" spans="10:10" x14ac:dyDescent="0.35">
      <c r="J820">
        <v>0</v>
      </c>
    </row>
    <row r="821" spans="10:10" x14ac:dyDescent="0.35">
      <c r="J821">
        <v>0</v>
      </c>
    </row>
    <row r="822" spans="10:10" x14ac:dyDescent="0.35">
      <c r="J822">
        <v>0</v>
      </c>
    </row>
    <row r="823" spans="10:10" x14ac:dyDescent="0.35">
      <c r="J823">
        <v>0</v>
      </c>
    </row>
    <row r="824" spans="10:10" x14ac:dyDescent="0.35">
      <c r="J824">
        <v>0</v>
      </c>
    </row>
    <row r="825" spans="10:10" x14ac:dyDescent="0.35">
      <c r="J825">
        <v>0</v>
      </c>
    </row>
    <row r="826" spans="10:10" x14ac:dyDescent="0.35">
      <c r="J826">
        <v>0</v>
      </c>
    </row>
    <row r="827" spans="10:10" x14ac:dyDescent="0.35">
      <c r="J827">
        <v>0</v>
      </c>
    </row>
    <row r="828" spans="10:10" x14ac:dyDescent="0.35">
      <c r="J828">
        <v>0</v>
      </c>
    </row>
    <row r="829" spans="10:10" x14ac:dyDescent="0.35">
      <c r="J829">
        <v>0</v>
      </c>
    </row>
    <row r="830" spans="10:10" x14ac:dyDescent="0.35">
      <c r="J830">
        <v>0</v>
      </c>
    </row>
    <row r="831" spans="10:10" x14ac:dyDescent="0.35">
      <c r="J831">
        <v>0</v>
      </c>
    </row>
    <row r="832" spans="10:10" x14ac:dyDescent="0.35">
      <c r="J832">
        <v>0</v>
      </c>
    </row>
    <row r="833" spans="10:10" x14ac:dyDescent="0.35">
      <c r="J833">
        <v>0</v>
      </c>
    </row>
    <row r="834" spans="10:10" x14ac:dyDescent="0.35">
      <c r="J834">
        <v>0</v>
      </c>
    </row>
    <row r="835" spans="10:10" x14ac:dyDescent="0.35">
      <c r="J835">
        <v>0</v>
      </c>
    </row>
    <row r="836" spans="10:10" x14ac:dyDescent="0.35">
      <c r="J836">
        <v>0</v>
      </c>
    </row>
    <row r="837" spans="10:10" x14ac:dyDescent="0.35">
      <c r="J837">
        <v>0</v>
      </c>
    </row>
    <row r="838" spans="10:10" x14ac:dyDescent="0.35">
      <c r="J838">
        <v>0</v>
      </c>
    </row>
    <row r="839" spans="10:10" x14ac:dyDescent="0.35">
      <c r="J839">
        <v>0</v>
      </c>
    </row>
    <row r="840" spans="10:10" x14ac:dyDescent="0.35">
      <c r="J840">
        <v>0</v>
      </c>
    </row>
    <row r="841" spans="10:10" x14ac:dyDescent="0.35">
      <c r="J841">
        <v>0</v>
      </c>
    </row>
    <row r="842" spans="10:10" x14ac:dyDescent="0.35">
      <c r="J842">
        <v>0</v>
      </c>
    </row>
    <row r="843" spans="10:10" x14ac:dyDescent="0.35">
      <c r="J843">
        <v>0</v>
      </c>
    </row>
    <row r="844" spans="10:10" x14ac:dyDescent="0.35">
      <c r="J844">
        <v>0</v>
      </c>
    </row>
    <row r="845" spans="10:10" x14ac:dyDescent="0.35">
      <c r="J845">
        <v>0</v>
      </c>
    </row>
    <row r="846" spans="10:10" x14ac:dyDescent="0.35">
      <c r="J846">
        <v>0</v>
      </c>
    </row>
    <row r="847" spans="10:10" x14ac:dyDescent="0.35">
      <c r="J847">
        <v>0</v>
      </c>
    </row>
    <row r="848" spans="10:10" x14ac:dyDescent="0.35">
      <c r="J848">
        <v>0</v>
      </c>
    </row>
    <row r="849" spans="10:10" x14ac:dyDescent="0.35">
      <c r="J849">
        <v>0</v>
      </c>
    </row>
    <row r="850" spans="10:10" x14ac:dyDescent="0.35">
      <c r="J850">
        <v>0</v>
      </c>
    </row>
    <row r="851" spans="10:10" x14ac:dyDescent="0.35">
      <c r="J851">
        <v>0</v>
      </c>
    </row>
    <row r="852" spans="10:10" x14ac:dyDescent="0.35">
      <c r="J852">
        <v>0</v>
      </c>
    </row>
    <row r="853" spans="10:10" x14ac:dyDescent="0.35">
      <c r="J853">
        <v>0</v>
      </c>
    </row>
    <row r="854" spans="10:10" x14ac:dyDescent="0.35">
      <c r="J854">
        <v>0</v>
      </c>
    </row>
    <row r="855" spans="10:10" x14ac:dyDescent="0.35">
      <c r="J855">
        <v>0</v>
      </c>
    </row>
    <row r="856" spans="10:10" x14ac:dyDescent="0.35">
      <c r="J856">
        <v>0</v>
      </c>
    </row>
    <row r="857" spans="10:10" x14ac:dyDescent="0.35">
      <c r="J857">
        <v>0</v>
      </c>
    </row>
    <row r="858" spans="10:10" x14ac:dyDescent="0.35">
      <c r="J858">
        <v>0</v>
      </c>
    </row>
    <row r="859" spans="10:10" x14ac:dyDescent="0.35">
      <c r="J859">
        <v>0</v>
      </c>
    </row>
    <row r="862" spans="10:10" x14ac:dyDescent="0.35">
      <c r="J862">
        <v>0</v>
      </c>
    </row>
    <row r="863" spans="10:10" x14ac:dyDescent="0.35">
      <c r="J863">
        <v>0</v>
      </c>
    </row>
    <row r="864" spans="10:10" x14ac:dyDescent="0.35">
      <c r="J864">
        <v>0</v>
      </c>
    </row>
    <row r="865" spans="10:10" x14ac:dyDescent="0.35">
      <c r="J865">
        <v>0</v>
      </c>
    </row>
    <row r="866" spans="10:10" x14ac:dyDescent="0.35">
      <c r="J866">
        <v>0</v>
      </c>
    </row>
    <row r="867" spans="10:10" x14ac:dyDescent="0.35">
      <c r="J867">
        <v>0</v>
      </c>
    </row>
    <row r="868" spans="10:10" x14ac:dyDescent="0.35">
      <c r="J868">
        <v>0</v>
      </c>
    </row>
    <row r="869" spans="10:10" x14ac:dyDescent="0.35">
      <c r="J869">
        <v>0</v>
      </c>
    </row>
    <row r="870" spans="10:10" x14ac:dyDescent="0.35">
      <c r="J870">
        <v>0</v>
      </c>
    </row>
    <row r="871" spans="10:10" x14ac:dyDescent="0.35">
      <c r="J871">
        <v>0</v>
      </c>
    </row>
    <row r="872" spans="10:10" x14ac:dyDescent="0.35">
      <c r="J872">
        <v>0</v>
      </c>
    </row>
    <row r="873" spans="10:10" x14ac:dyDescent="0.35">
      <c r="J873">
        <v>0</v>
      </c>
    </row>
    <row r="874" spans="10:10" x14ac:dyDescent="0.35">
      <c r="J874">
        <v>0</v>
      </c>
    </row>
    <row r="875" spans="10:10" x14ac:dyDescent="0.35">
      <c r="J875">
        <v>0</v>
      </c>
    </row>
    <row r="876" spans="10:10" x14ac:dyDescent="0.35">
      <c r="J876">
        <v>0</v>
      </c>
    </row>
    <row r="877" spans="10:10" x14ac:dyDescent="0.35">
      <c r="J877">
        <v>0</v>
      </c>
    </row>
    <row r="878" spans="10:10" x14ac:dyDescent="0.35">
      <c r="J878">
        <v>0</v>
      </c>
    </row>
    <row r="879" spans="10:10" x14ac:dyDescent="0.35">
      <c r="J879">
        <v>0</v>
      </c>
    </row>
    <row r="880" spans="10:10" x14ac:dyDescent="0.35">
      <c r="J880">
        <v>0</v>
      </c>
    </row>
    <row r="881" spans="10:10" x14ac:dyDescent="0.35">
      <c r="J881">
        <v>0</v>
      </c>
    </row>
    <row r="882" spans="10:10" x14ac:dyDescent="0.35">
      <c r="J882">
        <v>0</v>
      </c>
    </row>
    <row r="883" spans="10:10" x14ac:dyDescent="0.35">
      <c r="J883">
        <v>0</v>
      </c>
    </row>
    <row r="884" spans="10:10" x14ac:dyDescent="0.35">
      <c r="J884">
        <v>0</v>
      </c>
    </row>
    <row r="885" spans="10:10" x14ac:dyDescent="0.35">
      <c r="J885">
        <v>0</v>
      </c>
    </row>
    <row r="886" spans="10:10" x14ac:dyDescent="0.35">
      <c r="J886">
        <v>0</v>
      </c>
    </row>
    <row r="887" spans="10:10" x14ac:dyDescent="0.35">
      <c r="J887">
        <v>0</v>
      </c>
    </row>
    <row r="888" spans="10:10" x14ac:dyDescent="0.35">
      <c r="J888">
        <v>0</v>
      </c>
    </row>
    <row r="889" spans="10:10" x14ac:dyDescent="0.35">
      <c r="J889">
        <v>0</v>
      </c>
    </row>
    <row r="890" spans="10:10" x14ac:dyDescent="0.35">
      <c r="J890">
        <v>0</v>
      </c>
    </row>
    <row r="891" spans="10:10" x14ac:dyDescent="0.35">
      <c r="J891">
        <v>0</v>
      </c>
    </row>
    <row r="892" spans="10:10" x14ac:dyDescent="0.35">
      <c r="J892">
        <v>0</v>
      </c>
    </row>
    <row r="893" spans="10:10" x14ac:dyDescent="0.35">
      <c r="J893">
        <v>0</v>
      </c>
    </row>
    <row r="894" spans="10:10" x14ac:dyDescent="0.35">
      <c r="J894">
        <v>0</v>
      </c>
    </row>
    <row r="895" spans="10:10" x14ac:dyDescent="0.35">
      <c r="J895">
        <v>0</v>
      </c>
    </row>
    <row r="896" spans="10:10" x14ac:dyDescent="0.35">
      <c r="J896">
        <v>0</v>
      </c>
    </row>
    <row r="897" spans="10:10" x14ac:dyDescent="0.35">
      <c r="J897">
        <v>0</v>
      </c>
    </row>
    <row r="898" spans="10:10" x14ac:dyDescent="0.35">
      <c r="J898">
        <v>0</v>
      </c>
    </row>
    <row r="899" spans="10:10" x14ac:dyDescent="0.35">
      <c r="J899">
        <v>0</v>
      </c>
    </row>
    <row r="900" spans="10:10" x14ac:dyDescent="0.35">
      <c r="J900">
        <v>0</v>
      </c>
    </row>
    <row r="901" spans="10:10" x14ac:dyDescent="0.35">
      <c r="J901">
        <v>0</v>
      </c>
    </row>
    <row r="904" spans="10:10" x14ac:dyDescent="0.35">
      <c r="J904">
        <v>0</v>
      </c>
    </row>
    <row r="905" spans="10:10" x14ac:dyDescent="0.35">
      <c r="J905">
        <v>0</v>
      </c>
    </row>
    <row r="906" spans="10:10" x14ac:dyDescent="0.35">
      <c r="J906">
        <v>0</v>
      </c>
    </row>
    <row r="907" spans="10:10" x14ac:dyDescent="0.35">
      <c r="J907">
        <v>0</v>
      </c>
    </row>
    <row r="908" spans="10:10" x14ac:dyDescent="0.35">
      <c r="J908">
        <v>0</v>
      </c>
    </row>
    <row r="909" spans="10:10" x14ac:dyDescent="0.35">
      <c r="J909">
        <v>0</v>
      </c>
    </row>
    <row r="910" spans="10:10" x14ac:dyDescent="0.35">
      <c r="J910">
        <v>0</v>
      </c>
    </row>
    <row r="911" spans="10:10" x14ac:dyDescent="0.35">
      <c r="J911">
        <v>0</v>
      </c>
    </row>
    <row r="912" spans="10:10" x14ac:dyDescent="0.35">
      <c r="J912">
        <v>0</v>
      </c>
    </row>
    <row r="913" spans="10:10" x14ac:dyDescent="0.35">
      <c r="J913">
        <v>0</v>
      </c>
    </row>
    <row r="914" spans="10:10" x14ac:dyDescent="0.35">
      <c r="J914">
        <v>0</v>
      </c>
    </row>
    <row r="915" spans="10:10" x14ac:dyDescent="0.35">
      <c r="J915">
        <v>0</v>
      </c>
    </row>
    <row r="916" spans="10:10" x14ac:dyDescent="0.35">
      <c r="J916">
        <v>0</v>
      </c>
    </row>
    <row r="917" spans="10:10" x14ac:dyDescent="0.35">
      <c r="J917">
        <v>0</v>
      </c>
    </row>
    <row r="918" spans="10:10" x14ac:dyDescent="0.35">
      <c r="J918">
        <v>0</v>
      </c>
    </row>
    <row r="919" spans="10:10" x14ac:dyDescent="0.35">
      <c r="J919">
        <v>0</v>
      </c>
    </row>
    <row r="920" spans="10:10" x14ac:dyDescent="0.35">
      <c r="J920">
        <v>0</v>
      </c>
    </row>
    <row r="921" spans="10:10" x14ac:dyDescent="0.35">
      <c r="J921">
        <v>0</v>
      </c>
    </row>
    <row r="922" spans="10:10" x14ac:dyDescent="0.35">
      <c r="J922">
        <v>0</v>
      </c>
    </row>
    <row r="923" spans="10:10" x14ac:dyDescent="0.35">
      <c r="J923">
        <v>0</v>
      </c>
    </row>
    <row r="924" spans="10:10" x14ac:dyDescent="0.35">
      <c r="J924">
        <v>0</v>
      </c>
    </row>
    <row r="925" spans="10:10" x14ac:dyDescent="0.35">
      <c r="J925">
        <v>0</v>
      </c>
    </row>
    <row r="926" spans="10:10" x14ac:dyDescent="0.35">
      <c r="J926">
        <v>0</v>
      </c>
    </row>
    <row r="927" spans="10:10" x14ac:dyDescent="0.35">
      <c r="J927">
        <v>0</v>
      </c>
    </row>
    <row r="928" spans="10:10" x14ac:dyDescent="0.35">
      <c r="J928">
        <v>0</v>
      </c>
    </row>
    <row r="929" spans="10:10" x14ac:dyDescent="0.35">
      <c r="J929">
        <v>0</v>
      </c>
    </row>
    <row r="930" spans="10:10" x14ac:dyDescent="0.35">
      <c r="J930">
        <v>0</v>
      </c>
    </row>
    <row r="931" spans="10:10" x14ac:dyDescent="0.35">
      <c r="J931">
        <v>0</v>
      </c>
    </row>
    <row r="932" spans="10:10" x14ac:dyDescent="0.35">
      <c r="J932">
        <v>0</v>
      </c>
    </row>
    <row r="933" spans="10:10" x14ac:dyDescent="0.35">
      <c r="J933">
        <v>0</v>
      </c>
    </row>
    <row r="934" spans="10:10" x14ac:dyDescent="0.35">
      <c r="J934">
        <v>0</v>
      </c>
    </row>
    <row r="935" spans="10:10" x14ac:dyDescent="0.35">
      <c r="J935">
        <v>0</v>
      </c>
    </row>
    <row r="936" spans="10:10" x14ac:dyDescent="0.35">
      <c r="J936">
        <v>0</v>
      </c>
    </row>
    <row r="937" spans="10:10" x14ac:dyDescent="0.35">
      <c r="J937">
        <v>0</v>
      </c>
    </row>
    <row r="938" spans="10:10" x14ac:dyDescent="0.35">
      <c r="J938">
        <v>0</v>
      </c>
    </row>
    <row r="939" spans="10:10" x14ac:dyDescent="0.35">
      <c r="J939">
        <v>0</v>
      </c>
    </row>
    <row r="940" spans="10:10" x14ac:dyDescent="0.35">
      <c r="J940">
        <v>0</v>
      </c>
    </row>
    <row r="941" spans="10:10" x14ac:dyDescent="0.35">
      <c r="J941">
        <v>0</v>
      </c>
    </row>
    <row r="942" spans="10:10" x14ac:dyDescent="0.35">
      <c r="J942">
        <v>0</v>
      </c>
    </row>
    <row r="943" spans="10:10" x14ac:dyDescent="0.35">
      <c r="J94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J8:J943"/>
  <sheetViews>
    <sheetView workbookViewId="0"/>
  </sheetViews>
  <sheetFormatPr defaultRowHeight="14.5" x14ac:dyDescent="0.35"/>
  <sheetData>
    <row r="8" spans="10:10" x14ac:dyDescent="0.35">
      <c r="J8" t="s">
        <v>949</v>
      </c>
    </row>
    <row r="9" spans="10:10" x14ac:dyDescent="0.35">
      <c r="J9" t="s">
        <v>921</v>
      </c>
    </row>
    <row r="10" spans="10:10" x14ac:dyDescent="0.35">
      <c r="J10" t="s">
        <v>922</v>
      </c>
    </row>
    <row r="11" spans="10:10" x14ac:dyDescent="0.35">
      <c r="J11" t="s">
        <v>923</v>
      </c>
    </row>
    <row r="12" spans="10:10" x14ac:dyDescent="0.35">
      <c r="J12" t="s">
        <v>924</v>
      </c>
    </row>
    <row r="13" spans="10:10" x14ac:dyDescent="0.35">
      <c r="J13" t="s">
        <v>925</v>
      </c>
    </row>
    <row r="14" spans="10:10" x14ac:dyDescent="0.35">
      <c r="J14" t="s">
        <v>926</v>
      </c>
    </row>
    <row r="15" spans="10:10" x14ac:dyDescent="0.35">
      <c r="J15" t="s">
        <v>927</v>
      </c>
    </row>
    <row r="16" spans="10:10" x14ac:dyDescent="0.35">
      <c r="J16" t="s">
        <v>928</v>
      </c>
    </row>
    <row r="17" spans="10:10" x14ac:dyDescent="0.35">
      <c r="J17" t="s">
        <v>929</v>
      </c>
    </row>
    <row r="18" spans="10:10" x14ac:dyDescent="0.35">
      <c r="J18" t="s">
        <v>930</v>
      </c>
    </row>
    <row r="19" spans="10:10" x14ac:dyDescent="0.35">
      <c r="J19" t="s">
        <v>931</v>
      </c>
    </row>
    <row r="20" spans="10:10" x14ac:dyDescent="0.35">
      <c r="J20" t="s">
        <v>932</v>
      </c>
    </row>
    <row r="21" spans="10:10" x14ac:dyDescent="0.35">
      <c r="J21" t="s">
        <v>950</v>
      </c>
    </row>
    <row r="22" spans="10:10" x14ac:dyDescent="0.35">
      <c r="J22" t="s">
        <v>934</v>
      </c>
    </row>
    <row r="23" spans="10:10" x14ac:dyDescent="0.35">
      <c r="J23" t="s">
        <v>934</v>
      </c>
    </row>
    <row r="24" spans="10:10" x14ac:dyDescent="0.35">
      <c r="J24" t="s">
        <v>934</v>
      </c>
    </row>
    <row r="25" spans="10:10" x14ac:dyDescent="0.35">
      <c r="J25" t="s">
        <v>934</v>
      </c>
    </row>
    <row r="26" spans="10:10" x14ac:dyDescent="0.35">
      <c r="J26" t="s">
        <v>934</v>
      </c>
    </row>
    <row r="27" spans="10:10" x14ac:dyDescent="0.35">
      <c r="J27" t="s">
        <v>934</v>
      </c>
    </row>
    <row r="28" spans="10:10" x14ac:dyDescent="0.35">
      <c r="J28" t="s">
        <v>934</v>
      </c>
    </row>
    <row r="29" spans="10:10" x14ac:dyDescent="0.35">
      <c r="J29" t="s">
        <v>934</v>
      </c>
    </row>
    <row r="30" spans="10:10" x14ac:dyDescent="0.35">
      <c r="J30" t="s">
        <v>934</v>
      </c>
    </row>
    <row r="31" spans="10:10" x14ac:dyDescent="0.35">
      <c r="J31" t="s">
        <v>934</v>
      </c>
    </row>
    <row r="32" spans="10:10" x14ac:dyDescent="0.35">
      <c r="J32" t="s">
        <v>934</v>
      </c>
    </row>
    <row r="33" spans="10:10" x14ac:dyDescent="0.35">
      <c r="J33" t="s">
        <v>934</v>
      </c>
    </row>
    <row r="34" spans="10:10" x14ac:dyDescent="0.35">
      <c r="J34" t="s">
        <v>934</v>
      </c>
    </row>
    <row r="35" spans="10:10" x14ac:dyDescent="0.35">
      <c r="J35" t="s">
        <v>934</v>
      </c>
    </row>
    <row r="36" spans="10:10" x14ac:dyDescent="0.35">
      <c r="J36" t="s">
        <v>934</v>
      </c>
    </row>
    <row r="37" spans="10:10" x14ac:dyDescent="0.35">
      <c r="J37" t="s">
        <v>934</v>
      </c>
    </row>
    <row r="38" spans="10:10" x14ac:dyDescent="0.35">
      <c r="J38" t="s">
        <v>922</v>
      </c>
    </row>
    <row r="39" spans="10:10" x14ac:dyDescent="0.35">
      <c r="J39" t="s">
        <v>922</v>
      </c>
    </row>
    <row r="40" spans="10:10" x14ac:dyDescent="0.35">
      <c r="J40" t="s">
        <v>935</v>
      </c>
    </row>
    <row r="41" spans="10:10" x14ac:dyDescent="0.35">
      <c r="J41" t="s">
        <v>936</v>
      </c>
    </row>
    <row r="42" spans="10:10" x14ac:dyDescent="0.35">
      <c r="J42" t="s">
        <v>936</v>
      </c>
    </row>
    <row r="43" spans="10:10" x14ac:dyDescent="0.35">
      <c r="J43" t="s">
        <v>937</v>
      </c>
    </row>
    <row r="44" spans="10:10" x14ac:dyDescent="0.35">
      <c r="J44" t="s">
        <v>937</v>
      </c>
    </row>
    <row r="45" spans="10:10" x14ac:dyDescent="0.35">
      <c r="J45" t="s">
        <v>937</v>
      </c>
    </row>
    <row r="46" spans="10:10" x14ac:dyDescent="0.35">
      <c r="J46" t="s">
        <v>936</v>
      </c>
    </row>
    <row r="47" spans="10:10" x14ac:dyDescent="0.35">
      <c r="J47" t="s">
        <v>936</v>
      </c>
    </row>
    <row r="50" spans="10:10" x14ac:dyDescent="0.35">
      <c r="J50" t="s">
        <v>922</v>
      </c>
    </row>
    <row r="51" spans="10:10" x14ac:dyDescent="0.35">
      <c r="J51" t="s">
        <v>922</v>
      </c>
    </row>
    <row r="52" spans="10:10" x14ac:dyDescent="0.35">
      <c r="J52">
        <v>0</v>
      </c>
    </row>
    <row r="53" spans="10:10" x14ac:dyDescent="0.35">
      <c r="J53">
        <v>0</v>
      </c>
    </row>
    <row r="54" spans="10:10" x14ac:dyDescent="0.35">
      <c r="J54" t="s">
        <v>938</v>
      </c>
    </row>
    <row r="55" spans="10:10" x14ac:dyDescent="0.35">
      <c r="J55" t="s">
        <v>922</v>
      </c>
    </row>
    <row r="58" spans="10:10" x14ac:dyDescent="0.35">
      <c r="J58" t="s">
        <v>939</v>
      </c>
    </row>
    <row r="59" spans="10:10" x14ac:dyDescent="0.35">
      <c r="J59" t="s">
        <v>939</v>
      </c>
    </row>
    <row r="60" spans="10:10" x14ac:dyDescent="0.35">
      <c r="J60" t="s">
        <v>940</v>
      </c>
    </row>
    <row r="61" spans="10:10" x14ac:dyDescent="0.35">
      <c r="J61" t="s">
        <v>941</v>
      </c>
    </row>
    <row r="62" spans="10:10" x14ac:dyDescent="0.35">
      <c r="J62" t="s">
        <v>939</v>
      </c>
    </row>
    <row r="63" spans="10:10" x14ac:dyDescent="0.35">
      <c r="J63" t="s">
        <v>941</v>
      </c>
    </row>
    <row r="64" spans="10:10" x14ac:dyDescent="0.35">
      <c r="J64" t="s">
        <v>941</v>
      </c>
    </row>
    <row r="65" spans="10:10" x14ac:dyDescent="0.35">
      <c r="J65">
        <v>6</v>
      </c>
    </row>
    <row r="66" spans="10:10" x14ac:dyDescent="0.35">
      <c r="J66" t="s">
        <v>941</v>
      </c>
    </row>
    <row r="67" spans="10:10" x14ac:dyDescent="0.35">
      <c r="J67">
        <v>3</v>
      </c>
    </row>
    <row r="68" spans="10:10" x14ac:dyDescent="0.35">
      <c r="J68" t="s">
        <v>942</v>
      </c>
    </row>
    <row r="69" spans="10:10" x14ac:dyDescent="0.35">
      <c r="J69" t="s">
        <v>941</v>
      </c>
    </row>
    <row r="70" spans="10:10" x14ac:dyDescent="0.35">
      <c r="J70" t="s">
        <v>942</v>
      </c>
    </row>
    <row r="71" spans="10:10" x14ac:dyDescent="0.35">
      <c r="J71" t="s">
        <v>942</v>
      </c>
    </row>
    <row r="72" spans="10:10" x14ac:dyDescent="0.35">
      <c r="J72" t="s">
        <v>942</v>
      </c>
    </row>
    <row r="73" spans="10:10" x14ac:dyDescent="0.35">
      <c r="J73" t="s">
        <v>943</v>
      </c>
    </row>
    <row r="74" spans="10:10" x14ac:dyDescent="0.35">
      <c r="J74" t="s">
        <v>951</v>
      </c>
    </row>
    <row r="75" spans="10:10" x14ac:dyDescent="0.35">
      <c r="J75" t="s">
        <v>948</v>
      </c>
    </row>
    <row r="76" spans="10:10" x14ac:dyDescent="0.35">
      <c r="J76" t="s">
        <v>942</v>
      </c>
    </row>
    <row r="77" spans="10:10" x14ac:dyDescent="0.35">
      <c r="J77" t="s">
        <v>922</v>
      </c>
    </row>
    <row r="80" spans="10:10" x14ac:dyDescent="0.35">
      <c r="J80">
        <v>187.09300995881819</v>
      </c>
    </row>
    <row r="81" spans="10:10" x14ac:dyDescent="0.35">
      <c r="J81">
        <v>182.4554113980104</v>
      </c>
    </row>
    <row r="82" spans="10:10" x14ac:dyDescent="0.35">
      <c r="J82">
        <v>174.83216201178129</v>
      </c>
    </row>
    <row r="83" spans="10:10" x14ac:dyDescent="0.35">
      <c r="J83">
        <v>171.92619676158529</v>
      </c>
    </row>
    <row r="84" spans="10:10" x14ac:dyDescent="0.35">
      <c r="J84">
        <v>173.41976069159779</v>
      </c>
    </row>
    <row r="85" spans="10:10" x14ac:dyDescent="0.35">
      <c r="J85">
        <v>16.210297756382051</v>
      </c>
    </row>
    <row r="86" spans="10:10" x14ac:dyDescent="0.35">
      <c r="J86">
        <v>28.06417611612299</v>
      </c>
    </row>
    <row r="87" spans="10:10" x14ac:dyDescent="0.35">
      <c r="J87">
        <v>43.528484188270262</v>
      </c>
    </row>
    <row r="88" spans="10:10" x14ac:dyDescent="0.35">
      <c r="J88">
        <v>56.028063494429148</v>
      </c>
    </row>
    <row r="89" spans="10:10" x14ac:dyDescent="0.35">
      <c r="J89">
        <v>66.978361702359294</v>
      </c>
    </row>
    <row r="90" spans="10:10" x14ac:dyDescent="0.35">
      <c r="J90">
        <v>246.4550824888243</v>
      </c>
    </row>
    <row r="91" spans="10:10" x14ac:dyDescent="0.35">
      <c r="J91">
        <v>211.76809304138109</v>
      </c>
    </row>
    <row r="92" spans="10:10" x14ac:dyDescent="0.35">
      <c r="J92">
        <v>172.51265553545539</v>
      </c>
    </row>
    <row r="93" spans="10:10" x14ac:dyDescent="0.35">
      <c r="J93">
        <v>160.17047438080169</v>
      </c>
    </row>
    <row r="94" spans="10:10" x14ac:dyDescent="0.35">
      <c r="J94">
        <v>152.05130230568051</v>
      </c>
    </row>
    <row r="95" spans="10:10" x14ac:dyDescent="0.35">
      <c r="J95">
        <v>15.43901651759564</v>
      </c>
    </row>
    <row r="96" spans="10:10" x14ac:dyDescent="0.35">
      <c r="J96">
        <v>53.833489552183167</v>
      </c>
    </row>
    <row r="97" spans="10:10" x14ac:dyDescent="0.35">
      <c r="J97">
        <v>96.786732073325041</v>
      </c>
    </row>
    <row r="98" spans="10:10" x14ac:dyDescent="0.35">
      <c r="J98">
        <v>113.3405336953941</v>
      </c>
    </row>
    <row r="99" spans="10:10" x14ac:dyDescent="0.35">
      <c r="J99">
        <v>126.92111998334271</v>
      </c>
    </row>
    <row r="100" spans="10:10" x14ac:dyDescent="0.35">
      <c r="J100">
        <v>137.27301096651109</v>
      </c>
    </row>
    <row r="101" spans="10:10" x14ac:dyDescent="0.35">
      <c r="J101">
        <v>119.7272556910842</v>
      </c>
    </row>
    <row r="102" spans="10:10" x14ac:dyDescent="0.35">
      <c r="J102">
        <v>106.61949005533999</v>
      </c>
    </row>
    <row r="103" spans="10:10" x14ac:dyDescent="0.35">
      <c r="J103">
        <v>105.45158299138539</v>
      </c>
    </row>
    <row r="104" spans="10:10" x14ac:dyDescent="0.35">
      <c r="J104">
        <v>106.45781196821061</v>
      </c>
    </row>
    <row r="105" spans="10:10" x14ac:dyDescent="0.35">
      <c r="J105">
        <v>26.87481495647436</v>
      </c>
    </row>
    <row r="106" spans="10:10" x14ac:dyDescent="0.35">
      <c r="J106">
        <v>49.177552386288639</v>
      </c>
    </row>
    <row r="107" spans="10:10" x14ac:dyDescent="0.35">
      <c r="J107">
        <v>67.219291926601812</v>
      </c>
    </row>
    <row r="108" spans="10:10" x14ac:dyDescent="0.35">
      <c r="J108">
        <v>73.666760840766955</v>
      </c>
    </row>
    <row r="109" spans="10:10" x14ac:dyDescent="0.35">
      <c r="J109">
        <v>78.837249944102723</v>
      </c>
    </row>
    <row r="110" spans="10:10" x14ac:dyDescent="0.35">
      <c r="J110">
        <v>30.915923705557539</v>
      </c>
    </row>
    <row r="111" spans="10:10" x14ac:dyDescent="0.35">
      <c r="J111">
        <v>30.345012707920962</v>
      </c>
    </row>
    <row r="112" spans="10:10" x14ac:dyDescent="0.35">
      <c r="J112">
        <v>24.99486090085691</v>
      </c>
    </row>
    <row r="113" spans="10:10" x14ac:dyDescent="0.35">
      <c r="J113">
        <v>22.527097103315612</v>
      </c>
    </row>
    <row r="114" spans="10:10" x14ac:dyDescent="0.35">
      <c r="J114">
        <v>22.938309226403401</v>
      </c>
    </row>
    <row r="115" spans="10:10" x14ac:dyDescent="0.35">
      <c r="J115">
        <v>5.3747615063715699</v>
      </c>
    </row>
    <row r="116" spans="10:10" x14ac:dyDescent="0.35">
      <c r="J116">
        <v>6.9035129518955971</v>
      </c>
    </row>
    <row r="117" spans="10:10" x14ac:dyDescent="0.35">
      <c r="J117">
        <v>13.43865589303577</v>
      </c>
    </row>
    <row r="118" spans="10:10" x14ac:dyDescent="0.35">
      <c r="J118">
        <v>16.918572914585528</v>
      </c>
    </row>
    <row r="119" spans="10:10" x14ac:dyDescent="0.35">
      <c r="J119">
        <v>17.62195068806713</v>
      </c>
    </row>
    <row r="122" spans="10:10" x14ac:dyDescent="0.35">
      <c r="J122">
        <v>151.5369320832371</v>
      </c>
    </row>
    <row r="123" spans="10:10" x14ac:dyDescent="0.35">
      <c r="J123">
        <v>152.52004314418281</v>
      </c>
    </row>
    <row r="124" spans="10:10" x14ac:dyDescent="0.35">
      <c r="J124">
        <v>153.87320125468909</v>
      </c>
    </row>
    <row r="125" spans="10:10" x14ac:dyDescent="0.35">
      <c r="J125">
        <v>151.39439419382461</v>
      </c>
    </row>
    <row r="126" spans="10:10" x14ac:dyDescent="0.35">
      <c r="J126">
        <v>155.490452590807</v>
      </c>
    </row>
    <row r="127" spans="10:10" x14ac:dyDescent="0.35">
      <c r="J127">
        <v>16.210297756382051</v>
      </c>
    </row>
    <row r="128" spans="10:10" x14ac:dyDescent="0.35">
      <c r="J128">
        <v>28.06417611612299</v>
      </c>
    </row>
    <row r="129" spans="10:10" x14ac:dyDescent="0.35">
      <c r="J129">
        <v>43.528484188270262</v>
      </c>
    </row>
    <row r="130" spans="10:10" x14ac:dyDescent="0.35">
      <c r="J130">
        <v>56.028063494429148</v>
      </c>
    </row>
    <row r="131" spans="10:10" x14ac:dyDescent="0.35">
      <c r="J131">
        <v>66.978361702359294</v>
      </c>
    </row>
    <row r="132" spans="10:10" x14ac:dyDescent="0.35">
      <c r="J132">
        <v>167.92972265630371</v>
      </c>
    </row>
    <row r="133" spans="10:10" x14ac:dyDescent="0.35">
      <c r="J133">
        <v>153.8880752638606</v>
      </c>
    </row>
    <row r="134" spans="10:10" x14ac:dyDescent="0.35">
      <c r="J134">
        <v>149.86939514603159</v>
      </c>
    </row>
    <row r="135" spans="10:10" x14ac:dyDescent="0.35">
      <c r="J135">
        <v>143.7920240133663</v>
      </c>
    </row>
    <row r="136" spans="10:10" x14ac:dyDescent="0.35">
      <c r="J136">
        <v>135.93322495894861</v>
      </c>
    </row>
    <row r="137" spans="10:10" x14ac:dyDescent="0.35">
      <c r="J137">
        <v>15.43901651759564</v>
      </c>
    </row>
    <row r="138" spans="10:10" x14ac:dyDescent="0.35">
      <c r="J138">
        <v>53.833489552183167</v>
      </c>
    </row>
    <row r="139" spans="10:10" x14ac:dyDescent="0.35">
      <c r="J139">
        <v>96.786732073325041</v>
      </c>
    </row>
    <row r="140" spans="10:10" x14ac:dyDescent="0.35">
      <c r="J140">
        <v>113.3405336953941</v>
      </c>
    </row>
    <row r="141" spans="10:10" x14ac:dyDescent="0.35">
      <c r="J141">
        <v>126.92111998334271</v>
      </c>
    </row>
    <row r="142" spans="10:10" x14ac:dyDescent="0.35">
      <c r="J142">
        <v>89.568346841822802</v>
      </c>
    </row>
    <row r="143" spans="10:10" x14ac:dyDescent="0.35">
      <c r="J143">
        <v>85.741468057553533</v>
      </c>
    </row>
    <row r="144" spans="10:10" x14ac:dyDescent="0.35">
      <c r="J144">
        <v>86.221176333759672</v>
      </c>
    </row>
    <row r="145" spans="10:10" x14ac:dyDescent="0.35">
      <c r="J145">
        <v>87.204055794638251</v>
      </c>
    </row>
    <row r="146" spans="10:10" x14ac:dyDescent="0.35">
      <c r="J146">
        <v>87.474575513733157</v>
      </c>
    </row>
    <row r="147" spans="10:10" x14ac:dyDescent="0.35">
      <c r="J147">
        <v>26.87481495647436</v>
      </c>
    </row>
    <row r="148" spans="10:10" x14ac:dyDescent="0.35">
      <c r="J148">
        <v>49.177552386288639</v>
      </c>
    </row>
    <row r="149" spans="10:10" x14ac:dyDescent="0.35">
      <c r="J149">
        <v>67.219291926601812</v>
      </c>
    </row>
    <row r="150" spans="10:10" x14ac:dyDescent="0.35">
      <c r="J150">
        <v>73.666760840766955</v>
      </c>
    </row>
    <row r="151" spans="10:10" x14ac:dyDescent="0.35">
      <c r="J151">
        <v>78.837249944102723</v>
      </c>
    </row>
    <row r="152" spans="10:10" x14ac:dyDescent="0.35">
      <c r="J152">
        <v>5.9362165575740518</v>
      </c>
    </row>
    <row r="153" spans="10:10" x14ac:dyDescent="0.35">
      <c r="J153">
        <v>4.7399807197174333</v>
      </c>
    </row>
    <row r="154" spans="10:10" x14ac:dyDescent="0.35">
      <c r="J154">
        <v>3.6947327214850798</v>
      </c>
    </row>
    <row r="155" spans="10:10" x14ac:dyDescent="0.35">
      <c r="J155">
        <v>3.6162402916064749</v>
      </c>
    </row>
    <row r="156" spans="10:10" x14ac:dyDescent="0.35">
      <c r="J156">
        <v>3.6247491184260481</v>
      </c>
    </row>
    <row r="157" spans="10:10" x14ac:dyDescent="0.35">
      <c r="J157">
        <v>1.763907553380899</v>
      </c>
    </row>
    <row r="158" spans="10:10" x14ac:dyDescent="0.35">
      <c r="J158">
        <v>2.0253167284389728</v>
      </c>
    </row>
    <row r="159" spans="10:10" x14ac:dyDescent="0.35">
      <c r="J159">
        <v>2.9786942717210629</v>
      </c>
    </row>
    <row r="160" spans="10:10" x14ac:dyDescent="0.35">
      <c r="J160">
        <v>2.938653250002405</v>
      </c>
    </row>
    <row r="161" spans="10:10" x14ac:dyDescent="0.35">
      <c r="J161">
        <v>2.8269240642988249</v>
      </c>
    </row>
    <row r="164" spans="10:10" x14ac:dyDescent="0.35">
      <c r="J164">
        <v>1260.1958265885889</v>
      </c>
    </row>
    <row r="165" spans="10:10" x14ac:dyDescent="0.35">
      <c r="J165">
        <v>1327.0826926733091</v>
      </c>
    </row>
    <row r="166" spans="10:10" x14ac:dyDescent="0.35">
      <c r="J166">
        <v>1423.5100132497021</v>
      </c>
    </row>
    <row r="167" spans="10:10" x14ac:dyDescent="0.35">
      <c r="J167">
        <v>1596.75266696317</v>
      </c>
    </row>
    <row r="168" spans="10:10" x14ac:dyDescent="0.35">
      <c r="J168">
        <v>1730.1214892332709</v>
      </c>
    </row>
    <row r="169" spans="10:10" x14ac:dyDescent="0.35">
      <c r="J169">
        <v>1641.4338307438461</v>
      </c>
    </row>
    <row r="170" spans="10:10" x14ac:dyDescent="0.35">
      <c r="J170">
        <v>1741.5715035000071</v>
      </c>
    </row>
    <row r="171" spans="10:10" x14ac:dyDescent="0.35">
      <c r="J171">
        <v>1681.2776035570771</v>
      </c>
    </row>
    <row r="172" spans="10:10" x14ac:dyDescent="0.35">
      <c r="J172">
        <v>1555.1807368526461</v>
      </c>
    </row>
    <row r="173" spans="10:10" x14ac:dyDescent="0.35">
      <c r="J173">
        <v>1643.589276722247</v>
      </c>
    </row>
    <row r="174" spans="10:10" x14ac:dyDescent="0.35">
      <c r="J174">
        <v>675.85941753985821</v>
      </c>
    </row>
    <row r="175" spans="10:10" x14ac:dyDescent="0.35">
      <c r="J175">
        <v>701.86727864109946</v>
      </c>
    </row>
    <row r="176" spans="10:10" x14ac:dyDescent="0.35">
      <c r="J176">
        <v>741.44151001623436</v>
      </c>
    </row>
    <row r="177" spans="10:10" x14ac:dyDescent="0.35">
      <c r="J177">
        <v>765.05135159876374</v>
      </c>
    </row>
    <row r="178" spans="10:10" x14ac:dyDescent="0.35">
      <c r="J178">
        <v>799.20143736272098</v>
      </c>
    </row>
    <row r="179" spans="10:10" x14ac:dyDescent="0.35">
      <c r="J179">
        <v>588.37462685936771</v>
      </c>
    </row>
    <row r="180" spans="10:10" x14ac:dyDescent="0.35">
      <c r="J180">
        <v>633.75468942277928</v>
      </c>
    </row>
    <row r="181" spans="10:10" x14ac:dyDescent="0.35">
      <c r="J181">
        <v>637.74857056454766</v>
      </c>
    </row>
    <row r="182" spans="10:10" x14ac:dyDescent="0.35">
      <c r="J182">
        <v>672.99993857016716</v>
      </c>
    </row>
    <row r="183" spans="10:10" x14ac:dyDescent="0.35">
      <c r="J183">
        <v>697.11632773592612</v>
      </c>
    </row>
    <row r="184" spans="10:10" x14ac:dyDescent="0.35">
      <c r="J184">
        <v>1872.318657485715</v>
      </c>
    </row>
    <row r="185" spans="10:10" x14ac:dyDescent="0.35">
      <c r="J185">
        <v>1903.5369866098099</v>
      </c>
    </row>
    <row r="186" spans="10:10" x14ac:dyDescent="0.35">
      <c r="J186">
        <v>1950.5822030994241</v>
      </c>
    </row>
    <row r="187" spans="10:10" x14ac:dyDescent="0.35">
      <c r="J187">
        <v>2039.0805131245729</v>
      </c>
    </row>
    <row r="188" spans="10:10" x14ac:dyDescent="0.35">
      <c r="J188">
        <v>2134.7990081895682</v>
      </c>
    </row>
    <row r="189" spans="10:10" x14ac:dyDescent="0.35">
      <c r="J189">
        <v>1635.517697833116</v>
      </c>
    </row>
    <row r="190" spans="10:10" x14ac:dyDescent="0.35">
      <c r="J190">
        <v>1816.502530221657</v>
      </c>
    </row>
    <row r="191" spans="10:10" x14ac:dyDescent="0.35">
      <c r="J191">
        <v>1896.257077346366</v>
      </c>
    </row>
    <row r="192" spans="10:10" x14ac:dyDescent="0.35">
      <c r="J192">
        <v>1944.2703893991811</v>
      </c>
    </row>
    <row r="193" spans="10:10" x14ac:dyDescent="0.35">
      <c r="J193">
        <v>1996.685743610652</v>
      </c>
    </row>
    <row r="194" spans="10:10" x14ac:dyDescent="0.35">
      <c r="J194">
        <v>22573.123322911051</v>
      </c>
    </row>
    <row r="195" spans="10:10" x14ac:dyDescent="0.35">
      <c r="J195">
        <v>21726.52858928252</v>
      </c>
    </row>
    <row r="196" spans="10:10" x14ac:dyDescent="0.35">
      <c r="J196">
        <v>22653.203874555751</v>
      </c>
    </row>
    <row r="197" spans="10:10" x14ac:dyDescent="0.35">
      <c r="J197">
        <v>23316.053660870271</v>
      </c>
    </row>
    <row r="198" spans="10:10" x14ac:dyDescent="0.35">
      <c r="J198">
        <v>24092.09270339353</v>
      </c>
    </row>
    <row r="199" spans="10:10" x14ac:dyDescent="0.35">
      <c r="J199">
        <v>18104.2090474857</v>
      </c>
    </row>
    <row r="200" spans="10:10" x14ac:dyDescent="0.35">
      <c r="J200">
        <v>26027.945723590539</v>
      </c>
    </row>
    <row r="201" spans="10:10" x14ac:dyDescent="0.35">
      <c r="J201">
        <v>23834.0515519906</v>
      </c>
    </row>
    <row r="202" spans="10:10" x14ac:dyDescent="0.35">
      <c r="J202">
        <v>24327.364674791199</v>
      </c>
    </row>
    <row r="203" spans="10:10" x14ac:dyDescent="0.35">
      <c r="J203">
        <v>25262.908703588939</v>
      </c>
    </row>
    <row r="206" spans="10:10" x14ac:dyDescent="0.35">
      <c r="J206">
        <v>1045.3163336004459</v>
      </c>
    </row>
    <row r="207" spans="10:10" x14ac:dyDescent="0.35">
      <c r="J207">
        <v>1136.5205894959961</v>
      </c>
    </row>
    <row r="208" spans="10:10" x14ac:dyDescent="0.35">
      <c r="J208">
        <v>1276.6257432468769</v>
      </c>
    </row>
    <row r="209" spans="10:10" x14ac:dyDescent="0.35">
      <c r="J209">
        <v>1465.1014012167579</v>
      </c>
    </row>
    <row r="210" spans="10:10" x14ac:dyDescent="0.35">
      <c r="J210">
        <v>1633.9949073146211</v>
      </c>
    </row>
    <row r="211" spans="10:10" x14ac:dyDescent="0.35">
      <c r="J211">
        <v>1641.4338307438461</v>
      </c>
    </row>
    <row r="212" spans="10:10" x14ac:dyDescent="0.35">
      <c r="J212">
        <v>1741.5715035000071</v>
      </c>
    </row>
    <row r="213" spans="10:10" x14ac:dyDescent="0.35">
      <c r="J213">
        <v>1681.2776035570771</v>
      </c>
    </row>
    <row r="214" spans="10:10" x14ac:dyDescent="0.35">
      <c r="J214">
        <v>1555.1807368526461</v>
      </c>
    </row>
    <row r="215" spans="10:10" x14ac:dyDescent="0.35">
      <c r="J215">
        <v>1643.589276722247</v>
      </c>
    </row>
    <row r="216" spans="10:10" x14ac:dyDescent="0.35">
      <c r="J216">
        <v>643.03325767416663</v>
      </c>
    </row>
    <row r="217" spans="10:10" x14ac:dyDescent="0.35">
      <c r="J217">
        <v>677.8751579196213</v>
      </c>
    </row>
    <row r="218" spans="10:10" x14ac:dyDescent="0.35">
      <c r="J218">
        <v>717.86422570359002</v>
      </c>
    </row>
    <row r="219" spans="10:10" x14ac:dyDescent="0.35">
      <c r="J219">
        <v>754.28430511731449</v>
      </c>
    </row>
    <row r="220" spans="10:10" x14ac:dyDescent="0.35">
      <c r="J220">
        <v>801.98801292620658</v>
      </c>
    </row>
    <row r="221" spans="10:10" x14ac:dyDescent="0.35">
      <c r="J221">
        <v>588.37462685936771</v>
      </c>
    </row>
    <row r="222" spans="10:10" x14ac:dyDescent="0.35">
      <c r="J222">
        <v>633.75468942277928</v>
      </c>
    </row>
    <row r="223" spans="10:10" x14ac:dyDescent="0.35">
      <c r="J223">
        <v>637.74857056454766</v>
      </c>
    </row>
    <row r="224" spans="10:10" x14ac:dyDescent="0.35">
      <c r="J224">
        <v>672.99993857016716</v>
      </c>
    </row>
    <row r="225" spans="10:10" x14ac:dyDescent="0.35">
      <c r="J225">
        <v>697.11632773592612</v>
      </c>
    </row>
    <row r="226" spans="10:10" x14ac:dyDescent="0.35">
      <c r="J226">
        <v>1680.7999821213471</v>
      </c>
    </row>
    <row r="227" spans="10:10" x14ac:dyDescent="0.35">
      <c r="J227">
        <v>1763.0481816366701</v>
      </c>
    </row>
    <row r="228" spans="10:10" x14ac:dyDescent="0.35">
      <c r="J228">
        <v>1861.4277318231129</v>
      </c>
    </row>
    <row r="229" spans="10:10" x14ac:dyDescent="0.35">
      <c r="J229">
        <v>1968.8197493980981</v>
      </c>
    </row>
    <row r="230" spans="10:10" x14ac:dyDescent="0.35">
      <c r="J230">
        <v>2083.288229583814</v>
      </c>
    </row>
    <row r="231" spans="10:10" x14ac:dyDescent="0.35">
      <c r="J231">
        <v>1635.517697833116</v>
      </c>
    </row>
    <row r="232" spans="10:10" x14ac:dyDescent="0.35">
      <c r="J232">
        <v>1816.502530221657</v>
      </c>
    </row>
    <row r="233" spans="10:10" x14ac:dyDescent="0.35">
      <c r="J233">
        <v>1896.257077346366</v>
      </c>
    </row>
    <row r="234" spans="10:10" x14ac:dyDescent="0.35">
      <c r="J234">
        <v>1944.2703893991811</v>
      </c>
    </row>
    <row r="235" spans="10:10" x14ac:dyDescent="0.35">
      <c r="J235">
        <v>1996.685743610652</v>
      </c>
    </row>
    <row r="236" spans="10:10" x14ac:dyDescent="0.35">
      <c r="J236">
        <v>12080.259490804459</v>
      </c>
    </row>
    <row r="237" spans="10:10" x14ac:dyDescent="0.35">
      <c r="J237">
        <v>4304.5241318216158</v>
      </c>
    </row>
    <row r="238" spans="10:10" x14ac:dyDescent="0.35">
      <c r="J238">
        <v>4819.846689361043</v>
      </c>
    </row>
    <row r="239" spans="10:10" x14ac:dyDescent="0.35">
      <c r="J239">
        <v>5066.5737408614004</v>
      </c>
    </row>
    <row r="240" spans="10:10" x14ac:dyDescent="0.35">
      <c r="J240">
        <v>5287.4578037007068</v>
      </c>
    </row>
    <row r="241" spans="10:10" x14ac:dyDescent="0.35">
      <c r="J241">
        <v>7396.4911428977302</v>
      </c>
    </row>
    <row r="242" spans="10:10" x14ac:dyDescent="0.35">
      <c r="J242">
        <v>7093.4356303884106</v>
      </c>
    </row>
    <row r="243" spans="10:10" x14ac:dyDescent="0.35">
      <c r="J243">
        <v>6012.0832533333723</v>
      </c>
    </row>
    <row r="244" spans="10:10" x14ac:dyDescent="0.35">
      <c r="J244">
        <v>6316.7030319387914</v>
      </c>
    </row>
    <row r="245" spans="10:10" x14ac:dyDescent="0.35">
      <c r="J245">
        <v>6719.1264857276856</v>
      </c>
    </row>
    <row r="248" spans="10:10" x14ac:dyDescent="0.35">
      <c r="J248">
        <v>173</v>
      </c>
    </row>
    <row r="249" spans="10:10" x14ac:dyDescent="0.35">
      <c r="J249">
        <v>0</v>
      </c>
    </row>
    <row r="250" spans="10:10" x14ac:dyDescent="0.35">
      <c r="J250">
        <v>192</v>
      </c>
    </row>
    <row r="251" spans="10:10" x14ac:dyDescent="0.35">
      <c r="J251">
        <v>0</v>
      </c>
    </row>
    <row r="252" spans="10:10" x14ac:dyDescent="0.35">
      <c r="J252">
        <v>146</v>
      </c>
    </row>
    <row r="253" spans="10:10" x14ac:dyDescent="0.35">
      <c r="J253">
        <v>0</v>
      </c>
    </row>
    <row r="254" spans="10:10" x14ac:dyDescent="0.35">
      <c r="J254">
        <v>14</v>
      </c>
    </row>
    <row r="255" spans="10:10" x14ac:dyDescent="0.35">
      <c r="J255">
        <v>0</v>
      </c>
    </row>
    <row r="256" spans="10:10" x14ac:dyDescent="0.35">
      <c r="J256">
        <v>20</v>
      </c>
    </row>
    <row r="257" spans="10:10" x14ac:dyDescent="0.35">
      <c r="J257">
        <v>0</v>
      </c>
    </row>
    <row r="258" spans="10:10" x14ac:dyDescent="0.35">
      <c r="J258">
        <v>64</v>
      </c>
    </row>
    <row r="259" spans="10:10" x14ac:dyDescent="0.35">
      <c r="J259">
        <v>0</v>
      </c>
    </row>
    <row r="260" spans="10:10" x14ac:dyDescent="0.35">
      <c r="J260">
        <v>12</v>
      </c>
    </row>
    <row r="261" spans="10:10" x14ac:dyDescent="0.35">
      <c r="J261">
        <v>0</v>
      </c>
    </row>
    <row r="262" spans="10:10" x14ac:dyDescent="0.35">
      <c r="J262">
        <v>20</v>
      </c>
    </row>
    <row r="263" spans="10:10" x14ac:dyDescent="0.35">
      <c r="J263">
        <v>0</v>
      </c>
    </row>
    <row r="264" spans="10:10" x14ac:dyDescent="0.35">
      <c r="J264">
        <v>193</v>
      </c>
    </row>
    <row r="265" spans="10:10" x14ac:dyDescent="0.35">
      <c r="J265">
        <v>0</v>
      </c>
    </row>
    <row r="266" spans="10:10" x14ac:dyDescent="0.35">
      <c r="J266">
        <v>256</v>
      </c>
    </row>
    <row r="267" spans="10:10" x14ac:dyDescent="0.35">
      <c r="J267">
        <v>0</v>
      </c>
    </row>
    <row r="268" spans="10:10" x14ac:dyDescent="0.35">
      <c r="J268">
        <v>158</v>
      </c>
    </row>
    <row r="269" spans="10:10" x14ac:dyDescent="0.35">
      <c r="J269">
        <v>0</v>
      </c>
    </row>
    <row r="270" spans="10:10" x14ac:dyDescent="0.35">
      <c r="J270">
        <v>34</v>
      </c>
    </row>
    <row r="271" spans="10:10" x14ac:dyDescent="0.35">
      <c r="J271">
        <v>0</v>
      </c>
    </row>
    <row r="274" spans="10:10" x14ac:dyDescent="0.35">
      <c r="J274">
        <v>131</v>
      </c>
    </row>
    <row r="275" spans="10:10" x14ac:dyDescent="0.35">
      <c r="J275">
        <v>0</v>
      </c>
    </row>
    <row r="276" spans="10:10" x14ac:dyDescent="0.35">
      <c r="J276">
        <v>114</v>
      </c>
    </row>
    <row r="277" spans="10:10" x14ac:dyDescent="0.35">
      <c r="J277">
        <v>0</v>
      </c>
    </row>
    <row r="278" spans="10:10" x14ac:dyDescent="0.35">
      <c r="J278">
        <v>90</v>
      </c>
    </row>
    <row r="279" spans="10:10" x14ac:dyDescent="0.35">
      <c r="J279">
        <v>0</v>
      </c>
    </row>
    <row r="280" spans="10:10" x14ac:dyDescent="0.35">
      <c r="J280">
        <v>5</v>
      </c>
    </row>
    <row r="281" spans="10:10" x14ac:dyDescent="0.35">
      <c r="J281">
        <v>0</v>
      </c>
    </row>
    <row r="282" spans="10:10" x14ac:dyDescent="0.35">
      <c r="J282">
        <v>20</v>
      </c>
    </row>
    <row r="283" spans="10:10" x14ac:dyDescent="0.35">
      <c r="J283">
        <v>0</v>
      </c>
    </row>
    <row r="284" spans="10:10" x14ac:dyDescent="0.35">
      <c r="J284">
        <v>64</v>
      </c>
    </row>
    <row r="285" spans="10:10" x14ac:dyDescent="0.35">
      <c r="J285">
        <v>0</v>
      </c>
    </row>
    <row r="286" spans="10:10" x14ac:dyDescent="0.35">
      <c r="J286">
        <v>12</v>
      </c>
    </row>
    <row r="287" spans="10:10" x14ac:dyDescent="0.35">
      <c r="J287">
        <v>0</v>
      </c>
    </row>
    <row r="288" spans="10:10" x14ac:dyDescent="0.35">
      <c r="J288">
        <v>2</v>
      </c>
    </row>
    <row r="289" spans="10:10" x14ac:dyDescent="0.35">
      <c r="J289">
        <v>0</v>
      </c>
    </row>
    <row r="290" spans="10:10" x14ac:dyDescent="0.35">
      <c r="J290">
        <v>151</v>
      </c>
    </row>
    <row r="291" spans="10:10" x14ac:dyDescent="0.35">
      <c r="J291">
        <v>0</v>
      </c>
    </row>
    <row r="292" spans="10:10" x14ac:dyDescent="0.35">
      <c r="J292">
        <v>178</v>
      </c>
    </row>
    <row r="293" spans="10:10" x14ac:dyDescent="0.35">
      <c r="J293">
        <v>0</v>
      </c>
    </row>
    <row r="294" spans="10:10" x14ac:dyDescent="0.35">
      <c r="J294">
        <v>102</v>
      </c>
    </row>
    <row r="295" spans="10:10" x14ac:dyDescent="0.35">
      <c r="J295">
        <v>0</v>
      </c>
    </row>
    <row r="296" spans="10:10" x14ac:dyDescent="0.35">
      <c r="J296">
        <v>7</v>
      </c>
    </row>
    <row r="297" spans="10:10" x14ac:dyDescent="0.35">
      <c r="J297">
        <v>0</v>
      </c>
    </row>
    <row r="300" spans="10:10" x14ac:dyDescent="0.35">
      <c r="J300">
        <v>1203.2979933898571</v>
      </c>
    </row>
    <row r="301" spans="10:10" x14ac:dyDescent="0.35">
      <c r="J301">
        <v>0</v>
      </c>
    </row>
    <row r="302" spans="10:10" x14ac:dyDescent="0.35">
      <c r="J302">
        <v>623.59754614035285</v>
      </c>
    </row>
    <row r="303" spans="10:10" x14ac:dyDescent="0.35">
      <c r="J303">
        <v>0</v>
      </c>
    </row>
    <row r="304" spans="10:10" x14ac:dyDescent="0.35">
      <c r="J304">
        <v>1870.0006196008969</v>
      </c>
    </row>
    <row r="305" spans="10:10" x14ac:dyDescent="0.35">
      <c r="J305">
        <v>0</v>
      </c>
    </row>
    <row r="306" spans="10:10" x14ac:dyDescent="0.35">
      <c r="J306">
        <v>13215.92278180804</v>
      </c>
    </row>
    <row r="307" spans="10:10" x14ac:dyDescent="0.35">
      <c r="J307">
        <v>0</v>
      </c>
    </row>
    <row r="308" spans="10:10" x14ac:dyDescent="0.35">
      <c r="J308">
        <v>737.4659804344177</v>
      </c>
    </row>
    <row r="309" spans="10:10" x14ac:dyDescent="0.35">
      <c r="J309">
        <v>0</v>
      </c>
    </row>
    <row r="310" spans="10:10" x14ac:dyDescent="0.35">
      <c r="J310">
        <v>665.04691880941391</v>
      </c>
    </row>
    <row r="311" spans="10:10" x14ac:dyDescent="0.35">
      <c r="J311">
        <v>0</v>
      </c>
    </row>
    <row r="312" spans="10:10" x14ac:dyDescent="0.35">
      <c r="J312">
        <v>1052.840006510417</v>
      </c>
    </row>
    <row r="313" spans="10:10" x14ac:dyDescent="0.35">
      <c r="J313">
        <v>0</v>
      </c>
    </row>
    <row r="314" spans="10:10" x14ac:dyDescent="0.35">
      <c r="J314">
        <v>26030.743847656249</v>
      </c>
    </row>
    <row r="315" spans="10:10" x14ac:dyDescent="0.35">
      <c r="J315">
        <v>0</v>
      </c>
    </row>
    <row r="316" spans="10:10" x14ac:dyDescent="0.35">
      <c r="J316">
        <v>1155.0252459333351</v>
      </c>
    </row>
    <row r="317" spans="10:10" x14ac:dyDescent="0.35">
      <c r="J317">
        <v>0</v>
      </c>
    </row>
    <row r="318" spans="10:10" x14ac:dyDescent="0.35">
      <c r="J318">
        <v>633.95988930761814</v>
      </c>
    </row>
    <row r="319" spans="10:10" x14ac:dyDescent="0.35">
      <c r="J319">
        <v>0</v>
      </c>
    </row>
    <row r="320" spans="10:10" x14ac:dyDescent="0.35">
      <c r="J320">
        <v>1807.9377882269359</v>
      </c>
    </row>
    <row r="321" spans="10:10" x14ac:dyDescent="0.35">
      <c r="J321">
        <v>0</v>
      </c>
    </row>
    <row r="322" spans="10:10" x14ac:dyDescent="0.35">
      <c r="J322">
        <v>20754.052820542282</v>
      </c>
    </row>
    <row r="323" spans="10:10" x14ac:dyDescent="0.35">
      <c r="J323">
        <v>0</v>
      </c>
    </row>
    <row r="326" spans="10:10" x14ac:dyDescent="0.35">
      <c r="J326">
        <v>892.15792823383822</v>
      </c>
    </row>
    <row r="327" spans="10:10" x14ac:dyDescent="0.35">
      <c r="J327">
        <v>0</v>
      </c>
    </row>
    <row r="328" spans="10:10" x14ac:dyDescent="0.35">
      <c r="J328">
        <v>539.57678001805357</v>
      </c>
    </row>
    <row r="329" spans="10:10" x14ac:dyDescent="0.35">
      <c r="J329">
        <v>0</v>
      </c>
    </row>
    <row r="330" spans="10:10" x14ac:dyDescent="0.35">
      <c r="J330">
        <v>1630.2832683139379</v>
      </c>
    </row>
    <row r="331" spans="10:10" x14ac:dyDescent="0.35">
      <c r="J331">
        <v>0</v>
      </c>
    </row>
    <row r="332" spans="10:10" x14ac:dyDescent="0.35">
      <c r="J332">
        <v>5777.6798828125002</v>
      </c>
    </row>
    <row r="333" spans="10:10" x14ac:dyDescent="0.35">
      <c r="J333">
        <v>0</v>
      </c>
    </row>
    <row r="334" spans="10:10" x14ac:dyDescent="0.35">
      <c r="J334">
        <v>737.4659804344177</v>
      </c>
    </row>
    <row r="335" spans="10:10" x14ac:dyDescent="0.35">
      <c r="J335">
        <v>0</v>
      </c>
    </row>
    <row r="336" spans="10:10" x14ac:dyDescent="0.35">
      <c r="J336">
        <v>665.04691880941391</v>
      </c>
    </row>
    <row r="337" spans="10:10" x14ac:dyDescent="0.35">
      <c r="J337">
        <v>0</v>
      </c>
    </row>
    <row r="338" spans="10:10" x14ac:dyDescent="0.35">
      <c r="J338">
        <v>1052.840006510417</v>
      </c>
    </row>
    <row r="339" spans="10:10" x14ac:dyDescent="0.35">
      <c r="J339">
        <v>0</v>
      </c>
    </row>
    <row r="340" spans="10:10" x14ac:dyDescent="0.35">
      <c r="J340">
        <v>2250.52001953125</v>
      </c>
    </row>
    <row r="341" spans="10:10" x14ac:dyDescent="0.35">
      <c r="J341">
        <v>0</v>
      </c>
    </row>
    <row r="342" spans="10:10" x14ac:dyDescent="0.35">
      <c r="J342">
        <v>871.66892852530577</v>
      </c>
    </row>
    <row r="343" spans="10:10" x14ac:dyDescent="0.35">
      <c r="J343">
        <v>0</v>
      </c>
    </row>
    <row r="344" spans="10:10" x14ac:dyDescent="0.35">
      <c r="J344">
        <v>584.68963890932923</v>
      </c>
    </row>
    <row r="345" spans="10:10" x14ac:dyDescent="0.35">
      <c r="J345">
        <v>0</v>
      </c>
    </row>
    <row r="346" spans="10:10" x14ac:dyDescent="0.35">
      <c r="J346">
        <v>1562.3487669252879</v>
      </c>
    </row>
    <row r="347" spans="10:10" x14ac:dyDescent="0.35">
      <c r="J347">
        <v>0</v>
      </c>
    </row>
    <row r="348" spans="10:10" x14ac:dyDescent="0.35">
      <c r="J348">
        <v>4769.919921875</v>
      </c>
    </row>
    <row r="349" spans="10:10" x14ac:dyDescent="0.35">
      <c r="J349">
        <v>0</v>
      </c>
    </row>
    <row r="352" spans="10:10" x14ac:dyDescent="0.35">
      <c r="J352">
        <v>291.10396895097409</v>
      </c>
    </row>
    <row r="353" spans="10:10" x14ac:dyDescent="0.35">
      <c r="J353">
        <v>331.90594085813927</v>
      </c>
    </row>
    <row r="354" spans="10:10" x14ac:dyDescent="0.35">
      <c r="J354">
        <v>403.41037092443128</v>
      </c>
    </row>
    <row r="355" spans="10:10" x14ac:dyDescent="0.35">
      <c r="J355">
        <v>507.93850765223198</v>
      </c>
    </row>
    <row r="356" spans="10:10" x14ac:dyDescent="0.35">
      <c r="J356">
        <v>569.23144328881313</v>
      </c>
    </row>
    <row r="357" spans="10:10" x14ac:dyDescent="0.35">
      <c r="J357">
        <v>154.89315039443059</v>
      </c>
    </row>
    <row r="358" spans="10:10" x14ac:dyDescent="0.35">
      <c r="J358">
        <v>160.43580760823201</v>
      </c>
    </row>
    <row r="359" spans="10:10" x14ac:dyDescent="0.35">
      <c r="J359">
        <v>175.59166836667569</v>
      </c>
    </row>
    <row r="360" spans="10:10" x14ac:dyDescent="0.35">
      <c r="J360">
        <v>179.04525773472679</v>
      </c>
    </row>
    <row r="361" spans="10:10" x14ac:dyDescent="0.35">
      <c r="J361">
        <v>192.10117238870509</v>
      </c>
    </row>
    <row r="362" spans="10:10" x14ac:dyDescent="0.35">
      <c r="J362">
        <v>246.54643791373019</v>
      </c>
    </row>
    <row r="363" spans="10:10" x14ac:dyDescent="0.35">
      <c r="J363">
        <v>254.8102198497545</v>
      </c>
    </row>
    <row r="364" spans="10:10" x14ac:dyDescent="0.35">
      <c r="J364">
        <v>293.7294343981718</v>
      </c>
    </row>
    <row r="365" spans="10:10" x14ac:dyDescent="0.35">
      <c r="J365">
        <v>336.8476074024527</v>
      </c>
    </row>
    <row r="366" spans="10:10" x14ac:dyDescent="0.35">
      <c r="J366">
        <v>373.71786854921078</v>
      </c>
    </row>
    <row r="367" spans="10:10" x14ac:dyDescent="0.35">
      <c r="J367">
        <v>116.1427161019557</v>
      </c>
    </row>
    <row r="368" spans="10:10" x14ac:dyDescent="0.35">
      <c r="J368">
        <v>163.37720280492249</v>
      </c>
    </row>
    <row r="369" spans="10:10" x14ac:dyDescent="0.35">
      <c r="J369">
        <v>237.16102640608199</v>
      </c>
    </row>
    <row r="370" spans="10:10" x14ac:dyDescent="0.35">
      <c r="J370">
        <v>267.94431659270242</v>
      </c>
    </row>
    <row r="371" spans="10:10" x14ac:dyDescent="0.35">
      <c r="J371">
        <v>294.43802849068902</v>
      </c>
    </row>
    <row r="374" spans="10:10" x14ac:dyDescent="0.35">
      <c r="J374">
        <v>0</v>
      </c>
    </row>
    <row r="375" spans="10:10" x14ac:dyDescent="0.35">
      <c r="J375">
        <v>0</v>
      </c>
    </row>
    <row r="376" spans="10:10" x14ac:dyDescent="0.35">
      <c r="J376">
        <v>0</v>
      </c>
    </row>
    <row r="377" spans="10:10" x14ac:dyDescent="0.35">
      <c r="J377">
        <v>0</v>
      </c>
    </row>
    <row r="378" spans="10:10" x14ac:dyDescent="0.35">
      <c r="J378">
        <v>0</v>
      </c>
    </row>
    <row r="379" spans="10:10" x14ac:dyDescent="0.35">
      <c r="J379">
        <v>0</v>
      </c>
    </row>
    <row r="380" spans="10:10" x14ac:dyDescent="0.35">
      <c r="J380">
        <v>0</v>
      </c>
    </row>
    <row r="381" spans="10:10" x14ac:dyDescent="0.35">
      <c r="J381">
        <v>0</v>
      </c>
    </row>
    <row r="382" spans="10:10" x14ac:dyDescent="0.35">
      <c r="J382">
        <v>0</v>
      </c>
    </row>
    <row r="383" spans="10:10" x14ac:dyDescent="0.35">
      <c r="J383">
        <v>0</v>
      </c>
    </row>
    <row r="384" spans="10:10" x14ac:dyDescent="0.35">
      <c r="J384">
        <v>0</v>
      </c>
    </row>
    <row r="385" spans="10:10" x14ac:dyDescent="0.35">
      <c r="J385">
        <v>0</v>
      </c>
    </row>
    <row r="386" spans="10:10" x14ac:dyDescent="0.35">
      <c r="J386">
        <v>0</v>
      </c>
    </row>
    <row r="387" spans="10:10" x14ac:dyDescent="0.35">
      <c r="J387">
        <v>0</v>
      </c>
    </row>
    <row r="388" spans="10:10" x14ac:dyDescent="0.35">
      <c r="J388">
        <v>0</v>
      </c>
    </row>
    <row r="389" spans="10:10" x14ac:dyDescent="0.35">
      <c r="J389">
        <v>0</v>
      </c>
    </row>
    <row r="390" spans="10:10" x14ac:dyDescent="0.35">
      <c r="J390">
        <v>0</v>
      </c>
    </row>
    <row r="391" spans="10:10" x14ac:dyDescent="0.35">
      <c r="J391">
        <v>0</v>
      </c>
    </row>
    <row r="392" spans="10:10" x14ac:dyDescent="0.35">
      <c r="J392">
        <v>0</v>
      </c>
    </row>
    <row r="393" spans="10:10" x14ac:dyDescent="0.35">
      <c r="J393">
        <v>0</v>
      </c>
    </row>
    <row r="396" spans="10:10" x14ac:dyDescent="0.35">
      <c r="J396">
        <v>0</v>
      </c>
    </row>
    <row r="397" spans="10:10" x14ac:dyDescent="0.35">
      <c r="J397">
        <v>0</v>
      </c>
    </row>
    <row r="398" spans="10:10" x14ac:dyDescent="0.35">
      <c r="J398">
        <v>0</v>
      </c>
    </row>
    <row r="399" spans="10:10" x14ac:dyDescent="0.35">
      <c r="J399">
        <v>0</v>
      </c>
    </row>
    <row r="400" spans="10:10" x14ac:dyDescent="0.35">
      <c r="J400">
        <v>0</v>
      </c>
    </row>
    <row r="401" spans="10:10" x14ac:dyDescent="0.35">
      <c r="J401">
        <v>5.6842916668520732E-2</v>
      </c>
    </row>
    <row r="402" spans="10:10" x14ac:dyDescent="0.35">
      <c r="J402">
        <v>0</v>
      </c>
    </row>
    <row r="403" spans="10:10" x14ac:dyDescent="0.35">
      <c r="J403">
        <v>0</v>
      </c>
    </row>
    <row r="404" spans="10:10" x14ac:dyDescent="0.35">
      <c r="J404">
        <v>0</v>
      </c>
    </row>
    <row r="405" spans="10:10" x14ac:dyDescent="0.35">
      <c r="J405">
        <v>0</v>
      </c>
    </row>
    <row r="406" spans="10:10" x14ac:dyDescent="0.35">
      <c r="J406">
        <v>0.61745853102592163</v>
      </c>
    </row>
    <row r="407" spans="10:10" x14ac:dyDescent="0.35">
      <c r="J407">
        <v>0</v>
      </c>
    </row>
    <row r="408" spans="10:10" x14ac:dyDescent="0.35">
      <c r="J408">
        <v>0</v>
      </c>
    </row>
    <row r="409" spans="10:10" x14ac:dyDescent="0.35">
      <c r="J409">
        <v>0</v>
      </c>
    </row>
    <row r="410" spans="10:10" x14ac:dyDescent="0.35">
      <c r="J410">
        <v>0</v>
      </c>
    </row>
    <row r="411" spans="10:10" x14ac:dyDescent="0.35">
      <c r="J411">
        <v>0</v>
      </c>
    </row>
    <row r="412" spans="10:10" x14ac:dyDescent="0.35">
      <c r="J412">
        <v>0</v>
      </c>
    </row>
    <row r="413" spans="10:10" x14ac:dyDescent="0.35">
      <c r="J413">
        <v>0</v>
      </c>
    </row>
    <row r="414" spans="10:10" x14ac:dyDescent="0.35">
      <c r="J414">
        <v>0</v>
      </c>
    </row>
    <row r="415" spans="10:10" x14ac:dyDescent="0.35">
      <c r="J415">
        <v>0</v>
      </c>
    </row>
    <row r="418" spans="10:10" x14ac:dyDescent="0.35">
      <c r="J418">
        <v>0.34131189662365558</v>
      </c>
    </row>
    <row r="419" spans="10:10" x14ac:dyDescent="0.35">
      <c r="J419">
        <v>0.50092292338432021</v>
      </c>
    </row>
    <row r="420" spans="10:10" x14ac:dyDescent="0.35">
      <c r="J420">
        <v>0.72921266588829381</v>
      </c>
    </row>
    <row r="421" spans="10:10" x14ac:dyDescent="0.35">
      <c r="J421">
        <v>1.2839113177847601</v>
      </c>
    </row>
    <row r="422" spans="10:10" x14ac:dyDescent="0.35">
      <c r="J422">
        <v>2.2513443038411469</v>
      </c>
    </row>
    <row r="423" spans="10:10" x14ac:dyDescent="0.35">
      <c r="J423">
        <v>0.77147580989941578</v>
      </c>
    </row>
    <row r="424" spans="10:10" x14ac:dyDescent="0.35">
      <c r="J424">
        <v>0.46433638307296388</v>
      </c>
    </row>
    <row r="425" spans="10:10" x14ac:dyDescent="0.35">
      <c r="J425">
        <v>0.21913120148464421</v>
      </c>
    </row>
    <row r="426" spans="10:10" x14ac:dyDescent="0.35">
      <c r="J426">
        <v>0.1020335822841355</v>
      </c>
    </row>
    <row r="427" spans="10:10" x14ac:dyDescent="0.35">
      <c r="J427">
        <v>0.1185348366270385</v>
      </c>
    </row>
    <row r="428" spans="10:10" x14ac:dyDescent="0.35">
      <c r="J428">
        <v>1.405493208161869</v>
      </c>
    </row>
    <row r="429" spans="10:10" x14ac:dyDescent="0.35">
      <c r="J429">
        <v>0.79175829638828654</v>
      </c>
    </row>
    <row r="430" spans="10:10" x14ac:dyDescent="0.35">
      <c r="J430">
        <v>0.88994942774605579</v>
      </c>
    </row>
    <row r="431" spans="10:10" x14ac:dyDescent="0.35">
      <c r="J431">
        <v>0.96768538652707448</v>
      </c>
    </row>
    <row r="432" spans="10:10" x14ac:dyDescent="0.35">
      <c r="J432">
        <v>1.0563329207816869</v>
      </c>
    </row>
    <row r="433" spans="10:10" x14ac:dyDescent="0.35">
      <c r="J433">
        <v>11.40874853654852</v>
      </c>
    </row>
    <row r="434" spans="10:10" x14ac:dyDescent="0.35">
      <c r="J434">
        <v>15.30169123931003</v>
      </c>
    </row>
    <row r="435" spans="10:10" x14ac:dyDescent="0.35">
      <c r="J435">
        <v>21.12478833991571</v>
      </c>
    </row>
    <row r="436" spans="10:10" x14ac:dyDescent="0.35">
      <c r="J436">
        <v>23.0218491019371</v>
      </c>
    </row>
    <row r="437" spans="10:10" x14ac:dyDescent="0.35">
      <c r="J437">
        <v>24.5074833419703</v>
      </c>
    </row>
    <row r="440" spans="10:10" x14ac:dyDescent="0.35">
      <c r="J440">
        <v>291.44528084759781</v>
      </c>
    </row>
    <row r="441" spans="10:10" x14ac:dyDescent="0.35">
      <c r="J441">
        <v>332.40686378152373</v>
      </c>
    </row>
    <row r="442" spans="10:10" x14ac:dyDescent="0.35">
      <c r="J442">
        <v>404.13958359031949</v>
      </c>
    </row>
    <row r="443" spans="10:10" x14ac:dyDescent="0.35">
      <c r="J443">
        <v>509.22241897001669</v>
      </c>
    </row>
    <row r="444" spans="10:10" x14ac:dyDescent="0.35">
      <c r="J444">
        <v>571.48278759265429</v>
      </c>
    </row>
    <row r="445" spans="10:10" x14ac:dyDescent="0.35">
      <c r="J445">
        <v>155.72146912099851</v>
      </c>
    </row>
    <row r="446" spans="10:10" x14ac:dyDescent="0.35">
      <c r="J446">
        <v>160.90014399130499</v>
      </c>
    </row>
    <row r="447" spans="10:10" x14ac:dyDescent="0.35">
      <c r="J447">
        <v>175.81079956816029</v>
      </c>
    </row>
    <row r="448" spans="10:10" x14ac:dyDescent="0.35">
      <c r="J448">
        <v>179.14729131701091</v>
      </c>
    </row>
    <row r="449" spans="10:10" x14ac:dyDescent="0.35">
      <c r="J449">
        <v>192.21970722533209</v>
      </c>
    </row>
    <row r="450" spans="10:10" x14ac:dyDescent="0.35">
      <c r="J450">
        <v>248.56938965291801</v>
      </c>
    </row>
    <row r="451" spans="10:10" x14ac:dyDescent="0.35">
      <c r="J451">
        <v>255.60197814614281</v>
      </c>
    </row>
    <row r="452" spans="10:10" x14ac:dyDescent="0.35">
      <c r="J452">
        <v>294.61938382591791</v>
      </c>
    </row>
    <row r="453" spans="10:10" x14ac:dyDescent="0.35">
      <c r="J453">
        <v>337.81529278897978</v>
      </c>
    </row>
    <row r="454" spans="10:10" x14ac:dyDescent="0.35">
      <c r="J454">
        <v>374.77420146999248</v>
      </c>
    </row>
    <row r="455" spans="10:10" x14ac:dyDescent="0.35">
      <c r="J455">
        <v>127.5514646385042</v>
      </c>
    </row>
    <row r="456" spans="10:10" x14ac:dyDescent="0.35">
      <c r="J456">
        <v>178.67889404423249</v>
      </c>
    </row>
    <row r="457" spans="10:10" x14ac:dyDescent="0.35">
      <c r="J457">
        <v>258.28581474599781</v>
      </c>
    </row>
    <row r="458" spans="10:10" x14ac:dyDescent="0.35">
      <c r="J458">
        <v>290.96616569463953</v>
      </c>
    </row>
    <row r="459" spans="10:10" x14ac:dyDescent="0.35">
      <c r="J459">
        <v>318.94551183265918</v>
      </c>
    </row>
    <row r="462" spans="10:10" x14ac:dyDescent="0.35">
      <c r="J462">
        <v>0</v>
      </c>
    </row>
    <row r="463" spans="10:10" x14ac:dyDescent="0.35">
      <c r="J463">
        <v>0</v>
      </c>
    </row>
    <row r="464" spans="10:10" x14ac:dyDescent="0.35">
      <c r="J464">
        <v>0</v>
      </c>
    </row>
    <row r="465" spans="10:10" x14ac:dyDescent="0.35">
      <c r="J465">
        <v>0</v>
      </c>
    </row>
    <row r="466" spans="10:10" x14ac:dyDescent="0.35">
      <c r="J466">
        <v>0</v>
      </c>
    </row>
    <row r="467" spans="10:10" x14ac:dyDescent="0.35">
      <c r="J467">
        <v>0</v>
      </c>
    </row>
    <row r="468" spans="10:10" x14ac:dyDescent="0.35">
      <c r="J468">
        <v>0</v>
      </c>
    </row>
    <row r="469" spans="10:10" x14ac:dyDescent="0.35">
      <c r="J469">
        <v>0</v>
      </c>
    </row>
    <row r="470" spans="10:10" x14ac:dyDescent="0.35">
      <c r="J470">
        <v>0</v>
      </c>
    </row>
    <row r="471" spans="10:10" x14ac:dyDescent="0.35">
      <c r="J471">
        <v>0</v>
      </c>
    </row>
    <row r="472" spans="10:10" x14ac:dyDescent="0.35">
      <c r="J472">
        <v>0</v>
      </c>
    </row>
    <row r="473" spans="10:10" x14ac:dyDescent="0.35">
      <c r="J473">
        <v>0</v>
      </c>
    </row>
    <row r="474" spans="10:10" x14ac:dyDescent="0.35">
      <c r="J474">
        <v>0</v>
      </c>
    </row>
    <row r="475" spans="10:10" x14ac:dyDescent="0.35">
      <c r="J475">
        <v>0</v>
      </c>
    </row>
    <row r="476" spans="10:10" x14ac:dyDescent="0.35">
      <c r="J476">
        <v>0</v>
      </c>
    </row>
    <row r="477" spans="10:10" x14ac:dyDescent="0.35">
      <c r="J477">
        <v>0</v>
      </c>
    </row>
    <row r="478" spans="10:10" x14ac:dyDescent="0.35">
      <c r="J478">
        <v>0</v>
      </c>
    </row>
    <row r="479" spans="10:10" x14ac:dyDescent="0.35">
      <c r="J479">
        <v>0</v>
      </c>
    </row>
    <row r="480" spans="10:10" x14ac:dyDescent="0.35">
      <c r="J480">
        <v>0</v>
      </c>
    </row>
    <row r="481" spans="10:10" x14ac:dyDescent="0.35">
      <c r="J481">
        <v>0</v>
      </c>
    </row>
    <row r="484" spans="10:10" x14ac:dyDescent="0.35">
      <c r="J484">
        <v>87011.395873202287</v>
      </c>
    </row>
    <row r="485" spans="10:10" x14ac:dyDescent="0.35">
      <c r="J485">
        <v>98173.016412427009</v>
      </c>
    </row>
    <row r="486" spans="10:10" x14ac:dyDescent="0.35">
      <c r="J486">
        <v>118018.2595812295</v>
      </c>
    </row>
    <row r="487" spans="10:10" x14ac:dyDescent="0.35">
      <c r="J487">
        <v>143707.37091377901</v>
      </c>
    </row>
    <row r="488" spans="10:10" x14ac:dyDescent="0.35">
      <c r="J488">
        <v>167881.7796152402</v>
      </c>
    </row>
    <row r="489" spans="10:10" x14ac:dyDescent="0.35">
      <c r="J489">
        <v>51477.929455253987</v>
      </c>
    </row>
    <row r="490" spans="10:10" x14ac:dyDescent="0.35">
      <c r="J490">
        <v>45646.341637038196</v>
      </c>
    </row>
    <row r="491" spans="10:10" x14ac:dyDescent="0.35">
      <c r="J491">
        <v>48318.828287135482</v>
      </c>
    </row>
    <row r="492" spans="10:10" x14ac:dyDescent="0.35">
      <c r="J492">
        <v>48034.086657476983</v>
      </c>
    </row>
    <row r="493" spans="10:10" x14ac:dyDescent="0.35">
      <c r="J493">
        <v>47668.632009512607</v>
      </c>
    </row>
    <row r="494" spans="10:10" x14ac:dyDescent="0.35">
      <c r="J494">
        <v>41074.614650786207</v>
      </c>
    </row>
    <row r="495" spans="10:10" x14ac:dyDescent="0.35">
      <c r="J495">
        <v>36833.773640135158</v>
      </c>
    </row>
    <row r="496" spans="10:10" x14ac:dyDescent="0.35">
      <c r="J496">
        <v>41809.783591084342</v>
      </c>
    </row>
    <row r="497" spans="10:10" x14ac:dyDescent="0.35">
      <c r="J497">
        <v>47594.220752530833</v>
      </c>
    </row>
    <row r="498" spans="10:10" x14ac:dyDescent="0.35">
      <c r="J498">
        <v>52723.888690833031</v>
      </c>
    </row>
    <row r="499" spans="10:10" x14ac:dyDescent="0.35">
      <c r="J499">
        <v>4418.0147400046053</v>
      </c>
    </row>
    <row r="500" spans="10:10" x14ac:dyDescent="0.35">
      <c r="J500">
        <v>4765.8108772309597</v>
      </c>
    </row>
    <row r="501" spans="10:10" x14ac:dyDescent="0.35">
      <c r="J501">
        <v>5168.9809071332093</v>
      </c>
    </row>
    <row r="502" spans="10:10" x14ac:dyDescent="0.35">
      <c r="J502">
        <v>5552.0482186970976</v>
      </c>
    </row>
    <row r="503" spans="10:10" x14ac:dyDescent="0.35">
      <c r="J503">
        <v>5959.0229582589609</v>
      </c>
    </row>
    <row r="506" spans="10:10" x14ac:dyDescent="0.35">
      <c r="J506">
        <v>0</v>
      </c>
    </row>
    <row r="507" spans="10:10" x14ac:dyDescent="0.35">
      <c r="J507">
        <v>0</v>
      </c>
    </row>
    <row r="508" spans="10:10" x14ac:dyDescent="0.35">
      <c r="J508">
        <v>0</v>
      </c>
    </row>
    <row r="509" spans="10:10" x14ac:dyDescent="0.35">
      <c r="J509">
        <v>0</v>
      </c>
    </row>
    <row r="510" spans="10:10" x14ac:dyDescent="0.35">
      <c r="J510">
        <v>0</v>
      </c>
    </row>
    <row r="511" spans="10:10" x14ac:dyDescent="0.35">
      <c r="J511">
        <v>0</v>
      </c>
    </row>
    <row r="512" spans="10:10" x14ac:dyDescent="0.35">
      <c r="J512">
        <v>0</v>
      </c>
    </row>
    <row r="513" spans="10:10" x14ac:dyDescent="0.35">
      <c r="J513">
        <v>0</v>
      </c>
    </row>
    <row r="514" spans="10:10" x14ac:dyDescent="0.35">
      <c r="J514">
        <v>0</v>
      </c>
    </row>
    <row r="515" spans="10:10" x14ac:dyDescent="0.35">
      <c r="J515">
        <v>0</v>
      </c>
    </row>
    <row r="516" spans="10:10" x14ac:dyDescent="0.35">
      <c r="J516">
        <v>0</v>
      </c>
    </row>
    <row r="517" spans="10:10" x14ac:dyDescent="0.35">
      <c r="J517">
        <v>0</v>
      </c>
    </row>
    <row r="518" spans="10:10" x14ac:dyDescent="0.35">
      <c r="J518">
        <v>0</v>
      </c>
    </row>
    <row r="519" spans="10:10" x14ac:dyDescent="0.35">
      <c r="J519">
        <v>0</v>
      </c>
    </row>
    <row r="520" spans="10:10" x14ac:dyDescent="0.35">
      <c r="J520">
        <v>0</v>
      </c>
    </row>
    <row r="521" spans="10:10" x14ac:dyDescent="0.35">
      <c r="J521">
        <v>0</v>
      </c>
    </row>
    <row r="522" spans="10:10" x14ac:dyDescent="0.35">
      <c r="J522">
        <v>0</v>
      </c>
    </row>
    <row r="523" spans="10:10" x14ac:dyDescent="0.35">
      <c r="J523">
        <v>0</v>
      </c>
    </row>
    <row r="524" spans="10:10" x14ac:dyDescent="0.35">
      <c r="J524">
        <v>0</v>
      </c>
    </row>
    <row r="525" spans="10:10" x14ac:dyDescent="0.35">
      <c r="J525">
        <v>0</v>
      </c>
    </row>
    <row r="526" spans="10:10" x14ac:dyDescent="0.35">
      <c r="J526">
        <v>0</v>
      </c>
    </row>
    <row r="527" spans="10:10" x14ac:dyDescent="0.35">
      <c r="J527">
        <v>0</v>
      </c>
    </row>
    <row r="528" spans="10:10" x14ac:dyDescent="0.35">
      <c r="J528">
        <v>0</v>
      </c>
    </row>
    <row r="529" spans="10:10" x14ac:dyDescent="0.35">
      <c r="J529">
        <v>0</v>
      </c>
    </row>
    <row r="530" spans="10:10" x14ac:dyDescent="0.35">
      <c r="J530">
        <v>0</v>
      </c>
    </row>
    <row r="531" spans="10:10" x14ac:dyDescent="0.35">
      <c r="J531">
        <v>0</v>
      </c>
    </row>
    <row r="532" spans="10:10" x14ac:dyDescent="0.35">
      <c r="J532">
        <v>0</v>
      </c>
    </row>
    <row r="533" spans="10:10" x14ac:dyDescent="0.35">
      <c r="J533">
        <v>0</v>
      </c>
    </row>
    <row r="534" spans="10:10" x14ac:dyDescent="0.35">
      <c r="J534">
        <v>0</v>
      </c>
    </row>
    <row r="535" spans="10:10" x14ac:dyDescent="0.35">
      <c r="J535">
        <v>0</v>
      </c>
    </row>
    <row r="536" spans="10:10" x14ac:dyDescent="0.35">
      <c r="J536">
        <v>0</v>
      </c>
    </row>
    <row r="537" spans="10:10" x14ac:dyDescent="0.35">
      <c r="J537">
        <v>0</v>
      </c>
    </row>
    <row r="538" spans="10:10" x14ac:dyDescent="0.35">
      <c r="J538">
        <v>0</v>
      </c>
    </row>
    <row r="539" spans="10:10" x14ac:dyDescent="0.35">
      <c r="J539">
        <v>0</v>
      </c>
    </row>
    <row r="540" spans="10:10" x14ac:dyDescent="0.35">
      <c r="J540">
        <v>0</v>
      </c>
    </row>
    <row r="541" spans="10:10" x14ac:dyDescent="0.35">
      <c r="J541">
        <v>0</v>
      </c>
    </row>
    <row r="542" spans="10:10" x14ac:dyDescent="0.35">
      <c r="J542">
        <v>0</v>
      </c>
    </row>
    <row r="543" spans="10:10" x14ac:dyDescent="0.35">
      <c r="J543">
        <v>0</v>
      </c>
    </row>
    <row r="544" spans="10:10" x14ac:dyDescent="0.35">
      <c r="J544">
        <v>0</v>
      </c>
    </row>
    <row r="545" spans="10:10" x14ac:dyDescent="0.35">
      <c r="J545">
        <v>0</v>
      </c>
    </row>
    <row r="548" spans="10:10" x14ac:dyDescent="0.35">
      <c r="J548">
        <v>0</v>
      </c>
    </row>
    <row r="549" spans="10:10" x14ac:dyDescent="0.35">
      <c r="J549">
        <v>0</v>
      </c>
    </row>
    <row r="550" spans="10:10" x14ac:dyDescent="0.35">
      <c r="J550">
        <v>0</v>
      </c>
    </row>
    <row r="551" spans="10:10" x14ac:dyDescent="0.35">
      <c r="J551">
        <v>0</v>
      </c>
    </row>
    <row r="552" spans="10:10" x14ac:dyDescent="0.35">
      <c r="J552">
        <v>0</v>
      </c>
    </row>
    <row r="553" spans="10:10" x14ac:dyDescent="0.35">
      <c r="J553">
        <v>0</v>
      </c>
    </row>
    <row r="554" spans="10:10" x14ac:dyDescent="0.35">
      <c r="J554">
        <v>0</v>
      </c>
    </row>
    <row r="555" spans="10:10" x14ac:dyDescent="0.35">
      <c r="J555">
        <v>0</v>
      </c>
    </row>
    <row r="556" spans="10:10" x14ac:dyDescent="0.35">
      <c r="J556">
        <v>0</v>
      </c>
    </row>
    <row r="557" spans="10:10" x14ac:dyDescent="0.35">
      <c r="J557">
        <v>0</v>
      </c>
    </row>
    <row r="558" spans="10:10" x14ac:dyDescent="0.35">
      <c r="J558">
        <v>0</v>
      </c>
    </row>
    <row r="559" spans="10:10" x14ac:dyDescent="0.35">
      <c r="J559">
        <v>0</v>
      </c>
    </row>
    <row r="560" spans="10:10" x14ac:dyDescent="0.35">
      <c r="J560">
        <v>0</v>
      </c>
    </row>
    <row r="561" spans="10:10" x14ac:dyDescent="0.35">
      <c r="J561">
        <v>0</v>
      </c>
    </row>
    <row r="562" spans="10:10" x14ac:dyDescent="0.35">
      <c r="J562">
        <v>0</v>
      </c>
    </row>
    <row r="563" spans="10:10" x14ac:dyDescent="0.35">
      <c r="J563">
        <v>0</v>
      </c>
    </row>
    <row r="564" spans="10:10" x14ac:dyDescent="0.35">
      <c r="J564">
        <v>0</v>
      </c>
    </row>
    <row r="565" spans="10:10" x14ac:dyDescent="0.35">
      <c r="J565">
        <v>0</v>
      </c>
    </row>
    <row r="566" spans="10:10" x14ac:dyDescent="0.35">
      <c r="J566">
        <v>0</v>
      </c>
    </row>
    <row r="567" spans="10:10" x14ac:dyDescent="0.35">
      <c r="J567">
        <v>0</v>
      </c>
    </row>
    <row r="568" spans="10:10" x14ac:dyDescent="0.35">
      <c r="J568">
        <v>0</v>
      </c>
    </row>
    <row r="569" spans="10:10" x14ac:dyDescent="0.35">
      <c r="J569">
        <v>0</v>
      </c>
    </row>
    <row r="570" spans="10:10" x14ac:dyDescent="0.35">
      <c r="J570">
        <v>0</v>
      </c>
    </row>
    <row r="571" spans="10:10" x14ac:dyDescent="0.35">
      <c r="J571">
        <v>0</v>
      </c>
    </row>
    <row r="572" spans="10:10" x14ac:dyDescent="0.35">
      <c r="J572">
        <v>0</v>
      </c>
    </row>
    <row r="573" spans="10:10" x14ac:dyDescent="0.35">
      <c r="J573">
        <v>0</v>
      </c>
    </row>
    <row r="574" spans="10:10" x14ac:dyDescent="0.35">
      <c r="J574">
        <v>0</v>
      </c>
    </row>
    <row r="575" spans="10:10" x14ac:dyDescent="0.35">
      <c r="J575">
        <v>0</v>
      </c>
    </row>
    <row r="576" spans="10:10" x14ac:dyDescent="0.35">
      <c r="J576">
        <v>0</v>
      </c>
    </row>
    <row r="577" spans="10:10" x14ac:dyDescent="0.35">
      <c r="J577">
        <v>0</v>
      </c>
    </row>
    <row r="578" spans="10:10" x14ac:dyDescent="0.35">
      <c r="J578">
        <v>0</v>
      </c>
    </row>
    <row r="579" spans="10:10" x14ac:dyDescent="0.35">
      <c r="J579">
        <v>0</v>
      </c>
    </row>
    <row r="580" spans="10:10" x14ac:dyDescent="0.35">
      <c r="J580">
        <v>0</v>
      </c>
    </row>
    <row r="581" spans="10:10" x14ac:dyDescent="0.35">
      <c r="J581">
        <v>0</v>
      </c>
    </row>
    <row r="582" spans="10:10" x14ac:dyDescent="0.35">
      <c r="J582">
        <v>0</v>
      </c>
    </row>
    <row r="583" spans="10:10" x14ac:dyDescent="0.35">
      <c r="J583">
        <v>0</v>
      </c>
    </row>
    <row r="584" spans="10:10" x14ac:dyDescent="0.35">
      <c r="J584">
        <v>0</v>
      </c>
    </row>
    <row r="585" spans="10:10" x14ac:dyDescent="0.35">
      <c r="J585">
        <v>0</v>
      </c>
    </row>
    <row r="586" spans="10:10" x14ac:dyDescent="0.35">
      <c r="J586">
        <v>0</v>
      </c>
    </row>
    <row r="587" spans="10:10" x14ac:dyDescent="0.35">
      <c r="J587">
        <v>0</v>
      </c>
    </row>
    <row r="590" spans="10:10" x14ac:dyDescent="0.35">
      <c r="J590">
        <v>0</v>
      </c>
    </row>
    <row r="591" spans="10:10" x14ac:dyDescent="0.35">
      <c r="J591">
        <v>0</v>
      </c>
    </row>
    <row r="592" spans="10:10" x14ac:dyDescent="0.35">
      <c r="J592">
        <v>0</v>
      </c>
    </row>
    <row r="593" spans="10:10" x14ac:dyDescent="0.35">
      <c r="J593">
        <v>0</v>
      </c>
    </row>
    <row r="594" spans="10:10" x14ac:dyDescent="0.35">
      <c r="J594">
        <v>0</v>
      </c>
    </row>
    <row r="595" spans="10:10" x14ac:dyDescent="0.35">
      <c r="J595">
        <v>0</v>
      </c>
    </row>
    <row r="596" spans="10:10" x14ac:dyDescent="0.35">
      <c r="J596">
        <v>0</v>
      </c>
    </row>
    <row r="597" spans="10:10" x14ac:dyDescent="0.35">
      <c r="J597">
        <v>0</v>
      </c>
    </row>
    <row r="598" spans="10:10" x14ac:dyDescent="0.35">
      <c r="J598">
        <v>0</v>
      </c>
    </row>
    <row r="599" spans="10:10" x14ac:dyDescent="0.35">
      <c r="J599">
        <v>0</v>
      </c>
    </row>
    <row r="600" spans="10:10" x14ac:dyDescent="0.35">
      <c r="J600">
        <v>0</v>
      </c>
    </row>
    <row r="601" spans="10:10" x14ac:dyDescent="0.35">
      <c r="J601">
        <v>0</v>
      </c>
    </row>
    <row r="602" spans="10:10" x14ac:dyDescent="0.35">
      <c r="J602">
        <v>0</v>
      </c>
    </row>
    <row r="603" spans="10:10" x14ac:dyDescent="0.35">
      <c r="J603">
        <v>0</v>
      </c>
    </row>
    <row r="604" spans="10:10" x14ac:dyDescent="0.35">
      <c r="J604">
        <v>0</v>
      </c>
    </row>
    <row r="605" spans="10:10" x14ac:dyDescent="0.35">
      <c r="J605">
        <v>0</v>
      </c>
    </row>
    <row r="606" spans="10:10" x14ac:dyDescent="0.35">
      <c r="J606">
        <v>0</v>
      </c>
    </row>
    <row r="607" spans="10:10" x14ac:dyDescent="0.35">
      <c r="J607">
        <v>0</v>
      </c>
    </row>
    <row r="608" spans="10:10" x14ac:dyDescent="0.35">
      <c r="J608">
        <v>0</v>
      </c>
    </row>
    <row r="609" spans="10:10" x14ac:dyDescent="0.35">
      <c r="J609">
        <v>0</v>
      </c>
    </row>
    <row r="610" spans="10:10" x14ac:dyDescent="0.35">
      <c r="J610">
        <v>0</v>
      </c>
    </row>
    <row r="611" spans="10:10" x14ac:dyDescent="0.35">
      <c r="J611">
        <v>0</v>
      </c>
    </row>
    <row r="612" spans="10:10" x14ac:dyDescent="0.35">
      <c r="J612">
        <v>0</v>
      </c>
    </row>
    <row r="613" spans="10:10" x14ac:dyDescent="0.35">
      <c r="J613">
        <v>0</v>
      </c>
    </row>
    <row r="614" spans="10:10" x14ac:dyDescent="0.35">
      <c r="J614">
        <v>0</v>
      </c>
    </row>
    <row r="615" spans="10:10" x14ac:dyDescent="0.35">
      <c r="J615">
        <v>0</v>
      </c>
    </row>
    <row r="616" spans="10:10" x14ac:dyDescent="0.35">
      <c r="J616">
        <v>0</v>
      </c>
    </row>
    <row r="617" spans="10:10" x14ac:dyDescent="0.35">
      <c r="J617">
        <v>0</v>
      </c>
    </row>
    <row r="618" spans="10:10" x14ac:dyDescent="0.35">
      <c r="J618">
        <v>0</v>
      </c>
    </row>
    <row r="619" spans="10:10" x14ac:dyDescent="0.35">
      <c r="J619">
        <v>0</v>
      </c>
    </row>
    <row r="620" spans="10:10" x14ac:dyDescent="0.35">
      <c r="J620">
        <v>0</v>
      </c>
    </row>
    <row r="621" spans="10:10" x14ac:dyDescent="0.35">
      <c r="J621">
        <v>0</v>
      </c>
    </row>
    <row r="622" spans="10:10" x14ac:dyDescent="0.35">
      <c r="J622">
        <v>0</v>
      </c>
    </row>
    <row r="623" spans="10:10" x14ac:dyDescent="0.35">
      <c r="J623">
        <v>0</v>
      </c>
    </row>
    <row r="624" spans="10:10" x14ac:dyDescent="0.35">
      <c r="J624">
        <v>0</v>
      </c>
    </row>
    <row r="625" spans="10:10" x14ac:dyDescent="0.35">
      <c r="J625">
        <v>0</v>
      </c>
    </row>
    <row r="626" spans="10:10" x14ac:dyDescent="0.35">
      <c r="J626">
        <v>0</v>
      </c>
    </row>
    <row r="627" spans="10:10" x14ac:dyDescent="0.35">
      <c r="J627">
        <v>0</v>
      </c>
    </row>
    <row r="628" spans="10:10" x14ac:dyDescent="0.35">
      <c r="J628">
        <v>0</v>
      </c>
    </row>
    <row r="629" spans="10:10" x14ac:dyDescent="0.35">
      <c r="J629">
        <v>0</v>
      </c>
    </row>
    <row r="632" spans="10:10" x14ac:dyDescent="0.35">
      <c r="J632">
        <v>0</v>
      </c>
    </row>
    <row r="633" spans="10:10" x14ac:dyDescent="0.35">
      <c r="J633">
        <v>0</v>
      </c>
    </row>
    <row r="634" spans="10:10" x14ac:dyDescent="0.35">
      <c r="J634">
        <v>0</v>
      </c>
    </row>
    <row r="635" spans="10:10" x14ac:dyDescent="0.35">
      <c r="J635">
        <v>0</v>
      </c>
    </row>
    <row r="636" spans="10:10" x14ac:dyDescent="0.35">
      <c r="J636">
        <v>0</v>
      </c>
    </row>
    <row r="637" spans="10:10" x14ac:dyDescent="0.35">
      <c r="J637">
        <v>0</v>
      </c>
    </row>
    <row r="638" spans="10:10" x14ac:dyDescent="0.35">
      <c r="J638">
        <v>0</v>
      </c>
    </row>
    <row r="639" spans="10:10" x14ac:dyDescent="0.35">
      <c r="J639">
        <v>0</v>
      </c>
    </row>
    <row r="640" spans="10:10" x14ac:dyDescent="0.35">
      <c r="J640">
        <v>0</v>
      </c>
    </row>
    <row r="641" spans="10:10" x14ac:dyDescent="0.35">
      <c r="J641">
        <v>0</v>
      </c>
    </row>
    <row r="642" spans="10:10" x14ac:dyDescent="0.35">
      <c r="J642">
        <v>0</v>
      </c>
    </row>
    <row r="643" spans="10:10" x14ac:dyDescent="0.35">
      <c r="J643">
        <v>0</v>
      </c>
    </row>
    <row r="644" spans="10:10" x14ac:dyDescent="0.35">
      <c r="J644">
        <v>0</v>
      </c>
    </row>
    <row r="645" spans="10:10" x14ac:dyDescent="0.35">
      <c r="J645">
        <v>0</v>
      </c>
    </row>
    <row r="646" spans="10:10" x14ac:dyDescent="0.35">
      <c r="J646">
        <v>0</v>
      </c>
    </row>
    <row r="647" spans="10:10" x14ac:dyDescent="0.35">
      <c r="J647">
        <v>0</v>
      </c>
    </row>
    <row r="648" spans="10:10" x14ac:dyDescent="0.35">
      <c r="J648">
        <v>0</v>
      </c>
    </row>
    <row r="649" spans="10:10" x14ac:dyDescent="0.35">
      <c r="J649">
        <v>0</v>
      </c>
    </row>
    <row r="650" spans="10:10" x14ac:dyDescent="0.35">
      <c r="J650">
        <v>0</v>
      </c>
    </row>
    <row r="651" spans="10:10" x14ac:dyDescent="0.35">
      <c r="J651">
        <v>0</v>
      </c>
    </row>
    <row r="652" spans="10:10" x14ac:dyDescent="0.35">
      <c r="J652">
        <v>0</v>
      </c>
    </row>
    <row r="653" spans="10:10" x14ac:dyDescent="0.35">
      <c r="J653">
        <v>0</v>
      </c>
    </row>
    <row r="654" spans="10:10" x14ac:dyDescent="0.35">
      <c r="J654">
        <v>0</v>
      </c>
    </row>
    <row r="655" spans="10:10" x14ac:dyDescent="0.35">
      <c r="J655">
        <v>0</v>
      </c>
    </row>
    <row r="656" spans="10:10" x14ac:dyDescent="0.35">
      <c r="J656">
        <v>0</v>
      </c>
    </row>
    <row r="657" spans="10:10" x14ac:dyDescent="0.35">
      <c r="J657">
        <v>0</v>
      </c>
    </row>
    <row r="658" spans="10:10" x14ac:dyDescent="0.35">
      <c r="J658">
        <v>0</v>
      </c>
    </row>
    <row r="659" spans="10:10" x14ac:dyDescent="0.35">
      <c r="J659">
        <v>0</v>
      </c>
    </row>
    <row r="660" spans="10:10" x14ac:dyDescent="0.35">
      <c r="J660">
        <v>0</v>
      </c>
    </row>
    <row r="661" spans="10:10" x14ac:dyDescent="0.35">
      <c r="J661">
        <v>0</v>
      </c>
    </row>
    <row r="662" spans="10:10" x14ac:dyDescent="0.35">
      <c r="J662">
        <v>0</v>
      </c>
    </row>
    <row r="663" spans="10:10" x14ac:dyDescent="0.35">
      <c r="J663">
        <v>0</v>
      </c>
    </row>
    <row r="664" spans="10:10" x14ac:dyDescent="0.35">
      <c r="J664">
        <v>0</v>
      </c>
    </row>
    <row r="665" spans="10:10" x14ac:dyDescent="0.35">
      <c r="J665">
        <v>0</v>
      </c>
    </row>
    <row r="666" spans="10:10" x14ac:dyDescent="0.35">
      <c r="J666">
        <v>0</v>
      </c>
    </row>
    <row r="667" spans="10:10" x14ac:dyDescent="0.35">
      <c r="J667">
        <v>0</v>
      </c>
    </row>
    <row r="668" spans="10:10" x14ac:dyDescent="0.35">
      <c r="J668">
        <v>0</v>
      </c>
    </row>
    <row r="669" spans="10:10" x14ac:dyDescent="0.35">
      <c r="J669">
        <v>0</v>
      </c>
    </row>
    <row r="670" spans="10:10" x14ac:dyDescent="0.35">
      <c r="J670">
        <v>0</v>
      </c>
    </row>
    <row r="671" spans="10:10" x14ac:dyDescent="0.35">
      <c r="J671">
        <v>0</v>
      </c>
    </row>
    <row r="674" spans="10:10" x14ac:dyDescent="0.35">
      <c r="J674">
        <v>0</v>
      </c>
    </row>
    <row r="675" spans="10:10" x14ac:dyDescent="0.35">
      <c r="J675">
        <v>0</v>
      </c>
    </row>
    <row r="676" spans="10:10" x14ac:dyDescent="0.35">
      <c r="J676">
        <v>0</v>
      </c>
    </row>
    <row r="677" spans="10:10" x14ac:dyDescent="0.35">
      <c r="J677">
        <v>0</v>
      </c>
    </row>
    <row r="678" spans="10:10" x14ac:dyDescent="0.35">
      <c r="J678">
        <v>0</v>
      </c>
    </row>
    <row r="679" spans="10:10" x14ac:dyDescent="0.35">
      <c r="J679">
        <v>0</v>
      </c>
    </row>
    <row r="680" spans="10:10" x14ac:dyDescent="0.35">
      <c r="J680">
        <v>0</v>
      </c>
    </row>
    <row r="681" spans="10:10" x14ac:dyDescent="0.35">
      <c r="J681">
        <v>0</v>
      </c>
    </row>
    <row r="682" spans="10:10" x14ac:dyDescent="0.35">
      <c r="J682">
        <v>0</v>
      </c>
    </row>
    <row r="683" spans="10:10" x14ac:dyDescent="0.35">
      <c r="J683">
        <v>0</v>
      </c>
    </row>
    <row r="684" spans="10:10" x14ac:dyDescent="0.35">
      <c r="J684">
        <v>0</v>
      </c>
    </row>
    <row r="685" spans="10:10" x14ac:dyDescent="0.35">
      <c r="J685">
        <v>0</v>
      </c>
    </row>
    <row r="686" spans="10:10" x14ac:dyDescent="0.35">
      <c r="J686">
        <v>0</v>
      </c>
    </row>
    <row r="687" spans="10:10" x14ac:dyDescent="0.35">
      <c r="J687">
        <v>0</v>
      </c>
    </row>
    <row r="688" spans="10:10" x14ac:dyDescent="0.35">
      <c r="J688">
        <v>0</v>
      </c>
    </row>
    <row r="689" spans="10:10" x14ac:dyDescent="0.35">
      <c r="J689">
        <v>0</v>
      </c>
    </row>
    <row r="690" spans="10:10" x14ac:dyDescent="0.35">
      <c r="J690">
        <v>0</v>
      </c>
    </row>
    <row r="691" spans="10:10" x14ac:dyDescent="0.35">
      <c r="J691">
        <v>0</v>
      </c>
    </row>
    <row r="692" spans="10:10" x14ac:dyDescent="0.35">
      <c r="J692">
        <v>0</v>
      </c>
    </row>
    <row r="693" spans="10:10" x14ac:dyDescent="0.35">
      <c r="J693">
        <v>0</v>
      </c>
    </row>
    <row r="694" spans="10:10" x14ac:dyDescent="0.35">
      <c r="J694">
        <v>0</v>
      </c>
    </row>
    <row r="695" spans="10:10" x14ac:dyDescent="0.35">
      <c r="J695">
        <v>0</v>
      </c>
    </row>
    <row r="696" spans="10:10" x14ac:dyDescent="0.35">
      <c r="J696">
        <v>0</v>
      </c>
    </row>
    <row r="697" spans="10:10" x14ac:dyDescent="0.35">
      <c r="J697">
        <v>0</v>
      </c>
    </row>
    <row r="700" spans="10:10" x14ac:dyDescent="0.35">
      <c r="J700">
        <v>0</v>
      </c>
    </row>
    <row r="701" spans="10:10" x14ac:dyDescent="0.35">
      <c r="J701">
        <v>0</v>
      </c>
    </row>
    <row r="702" spans="10:10" x14ac:dyDescent="0.35">
      <c r="J702">
        <v>0</v>
      </c>
    </row>
    <row r="703" spans="10:10" x14ac:dyDescent="0.35">
      <c r="J703">
        <v>0</v>
      </c>
    </row>
    <row r="704" spans="10:10" x14ac:dyDescent="0.35">
      <c r="J704">
        <v>0</v>
      </c>
    </row>
    <row r="705" spans="10:10" x14ac:dyDescent="0.35">
      <c r="J705">
        <v>0</v>
      </c>
    </row>
    <row r="706" spans="10:10" x14ac:dyDescent="0.35">
      <c r="J706">
        <v>0</v>
      </c>
    </row>
    <row r="707" spans="10:10" x14ac:dyDescent="0.35">
      <c r="J707">
        <v>0</v>
      </c>
    </row>
    <row r="708" spans="10:10" x14ac:dyDescent="0.35">
      <c r="J708">
        <v>0</v>
      </c>
    </row>
    <row r="709" spans="10:10" x14ac:dyDescent="0.35">
      <c r="J709">
        <v>0</v>
      </c>
    </row>
    <row r="710" spans="10:10" x14ac:dyDescent="0.35">
      <c r="J710">
        <v>0</v>
      </c>
    </row>
    <row r="711" spans="10:10" x14ac:dyDescent="0.35">
      <c r="J711">
        <v>0</v>
      </c>
    </row>
    <row r="712" spans="10:10" x14ac:dyDescent="0.35">
      <c r="J712">
        <v>0</v>
      </c>
    </row>
    <row r="713" spans="10:10" x14ac:dyDescent="0.35">
      <c r="J713">
        <v>0</v>
      </c>
    </row>
    <row r="714" spans="10:10" x14ac:dyDescent="0.35">
      <c r="J714">
        <v>0</v>
      </c>
    </row>
    <row r="715" spans="10:10" x14ac:dyDescent="0.35">
      <c r="J715">
        <v>0</v>
      </c>
    </row>
    <row r="716" spans="10:10" x14ac:dyDescent="0.35">
      <c r="J716">
        <v>0</v>
      </c>
    </row>
    <row r="717" spans="10:10" x14ac:dyDescent="0.35">
      <c r="J717">
        <v>0</v>
      </c>
    </row>
    <row r="718" spans="10:10" x14ac:dyDescent="0.35">
      <c r="J718">
        <v>0</v>
      </c>
    </row>
    <row r="719" spans="10:10" x14ac:dyDescent="0.35">
      <c r="J719">
        <v>0</v>
      </c>
    </row>
    <row r="720" spans="10:10" x14ac:dyDescent="0.35">
      <c r="J720">
        <v>0</v>
      </c>
    </row>
    <row r="721" spans="10:10" x14ac:dyDescent="0.35">
      <c r="J721">
        <v>0</v>
      </c>
    </row>
    <row r="722" spans="10:10" x14ac:dyDescent="0.35">
      <c r="J722">
        <v>0</v>
      </c>
    </row>
    <row r="723" spans="10:10" x14ac:dyDescent="0.35">
      <c r="J723">
        <v>0</v>
      </c>
    </row>
    <row r="726" spans="10:10" x14ac:dyDescent="0.35">
      <c r="J726">
        <v>0</v>
      </c>
    </row>
    <row r="727" spans="10:10" x14ac:dyDescent="0.35">
      <c r="J727">
        <v>0</v>
      </c>
    </row>
    <row r="728" spans="10:10" x14ac:dyDescent="0.35">
      <c r="J728">
        <v>0</v>
      </c>
    </row>
    <row r="729" spans="10:10" x14ac:dyDescent="0.35">
      <c r="J729">
        <v>0</v>
      </c>
    </row>
    <row r="730" spans="10:10" x14ac:dyDescent="0.35">
      <c r="J730">
        <v>0</v>
      </c>
    </row>
    <row r="731" spans="10:10" x14ac:dyDescent="0.35">
      <c r="J731">
        <v>0</v>
      </c>
    </row>
    <row r="732" spans="10:10" x14ac:dyDescent="0.35">
      <c r="J732">
        <v>0</v>
      </c>
    </row>
    <row r="733" spans="10:10" x14ac:dyDescent="0.35">
      <c r="J733">
        <v>0</v>
      </c>
    </row>
    <row r="734" spans="10:10" x14ac:dyDescent="0.35">
      <c r="J734">
        <v>0</v>
      </c>
    </row>
    <row r="735" spans="10:10" x14ac:dyDescent="0.35">
      <c r="J735">
        <v>0</v>
      </c>
    </row>
    <row r="736" spans="10:10" x14ac:dyDescent="0.35">
      <c r="J736">
        <v>0</v>
      </c>
    </row>
    <row r="737" spans="10:10" x14ac:dyDescent="0.35">
      <c r="J737">
        <v>0</v>
      </c>
    </row>
    <row r="738" spans="10:10" x14ac:dyDescent="0.35">
      <c r="J738">
        <v>0</v>
      </c>
    </row>
    <row r="739" spans="10:10" x14ac:dyDescent="0.35">
      <c r="J739">
        <v>0</v>
      </c>
    </row>
    <row r="740" spans="10:10" x14ac:dyDescent="0.35">
      <c r="J740">
        <v>0</v>
      </c>
    </row>
    <row r="741" spans="10:10" x14ac:dyDescent="0.35">
      <c r="J741">
        <v>0</v>
      </c>
    </row>
    <row r="742" spans="10:10" x14ac:dyDescent="0.35">
      <c r="J742">
        <v>0</v>
      </c>
    </row>
    <row r="743" spans="10:10" x14ac:dyDescent="0.35">
      <c r="J743">
        <v>0</v>
      </c>
    </row>
    <row r="744" spans="10:10" x14ac:dyDescent="0.35">
      <c r="J744">
        <v>0</v>
      </c>
    </row>
    <row r="745" spans="10:10" x14ac:dyDescent="0.35">
      <c r="J745">
        <v>0</v>
      </c>
    </row>
    <row r="746" spans="10:10" x14ac:dyDescent="0.35">
      <c r="J746">
        <v>0</v>
      </c>
    </row>
    <row r="747" spans="10:10" x14ac:dyDescent="0.35">
      <c r="J747">
        <v>0</v>
      </c>
    </row>
    <row r="748" spans="10:10" x14ac:dyDescent="0.35">
      <c r="J748">
        <v>0</v>
      </c>
    </row>
    <row r="749" spans="10:10" x14ac:dyDescent="0.35">
      <c r="J749">
        <v>0</v>
      </c>
    </row>
    <row r="752" spans="10:10" x14ac:dyDescent="0.35">
      <c r="J752">
        <v>0</v>
      </c>
    </row>
    <row r="753" spans="10:10" x14ac:dyDescent="0.35">
      <c r="J753">
        <v>0</v>
      </c>
    </row>
    <row r="754" spans="10:10" x14ac:dyDescent="0.35">
      <c r="J754">
        <v>0</v>
      </c>
    </row>
    <row r="755" spans="10:10" x14ac:dyDescent="0.35">
      <c r="J755">
        <v>0</v>
      </c>
    </row>
    <row r="756" spans="10:10" x14ac:dyDescent="0.35">
      <c r="J756">
        <v>0</v>
      </c>
    </row>
    <row r="757" spans="10:10" x14ac:dyDescent="0.35">
      <c r="J757">
        <v>0</v>
      </c>
    </row>
    <row r="758" spans="10:10" x14ac:dyDescent="0.35">
      <c r="J758">
        <v>0</v>
      </c>
    </row>
    <row r="759" spans="10:10" x14ac:dyDescent="0.35">
      <c r="J759">
        <v>0</v>
      </c>
    </row>
    <row r="760" spans="10:10" x14ac:dyDescent="0.35">
      <c r="J760">
        <v>0</v>
      </c>
    </row>
    <row r="761" spans="10:10" x14ac:dyDescent="0.35">
      <c r="J761">
        <v>0</v>
      </c>
    </row>
    <row r="762" spans="10:10" x14ac:dyDescent="0.35">
      <c r="J762">
        <v>0</v>
      </c>
    </row>
    <row r="763" spans="10:10" x14ac:dyDescent="0.35">
      <c r="J763">
        <v>0</v>
      </c>
    </row>
    <row r="764" spans="10:10" x14ac:dyDescent="0.35">
      <c r="J764">
        <v>0</v>
      </c>
    </row>
    <row r="765" spans="10:10" x14ac:dyDescent="0.35">
      <c r="J765">
        <v>0</v>
      </c>
    </row>
    <row r="766" spans="10:10" x14ac:dyDescent="0.35">
      <c r="J766">
        <v>0</v>
      </c>
    </row>
    <row r="767" spans="10:10" x14ac:dyDescent="0.35">
      <c r="J767">
        <v>0</v>
      </c>
    </row>
    <row r="768" spans="10:10" x14ac:dyDescent="0.35">
      <c r="J768">
        <v>0</v>
      </c>
    </row>
    <row r="769" spans="10:10" x14ac:dyDescent="0.35">
      <c r="J769">
        <v>0</v>
      </c>
    </row>
    <row r="770" spans="10:10" x14ac:dyDescent="0.35">
      <c r="J770">
        <v>0</v>
      </c>
    </row>
    <row r="771" spans="10:10" x14ac:dyDescent="0.35">
      <c r="J771">
        <v>0</v>
      </c>
    </row>
    <row r="772" spans="10:10" x14ac:dyDescent="0.35">
      <c r="J772">
        <v>0</v>
      </c>
    </row>
    <row r="773" spans="10:10" x14ac:dyDescent="0.35">
      <c r="J773">
        <v>0</v>
      </c>
    </row>
    <row r="774" spans="10:10" x14ac:dyDescent="0.35">
      <c r="J774">
        <v>0</v>
      </c>
    </row>
    <row r="775" spans="10:10" x14ac:dyDescent="0.35">
      <c r="J775">
        <v>0</v>
      </c>
    </row>
    <row r="778" spans="10:10" x14ac:dyDescent="0.35">
      <c r="J778">
        <v>35.543033456752923</v>
      </c>
    </row>
    <row r="779" spans="10:10" x14ac:dyDescent="0.35">
      <c r="J779">
        <v>29.94752663116989</v>
      </c>
    </row>
    <row r="780" spans="10:10" x14ac:dyDescent="0.35">
      <c r="J780">
        <v>20.97697514243815</v>
      </c>
    </row>
    <row r="781" spans="10:10" x14ac:dyDescent="0.35">
      <c r="J781">
        <v>20.578611314289741</v>
      </c>
    </row>
    <row r="782" spans="10:10" x14ac:dyDescent="0.35">
      <c r="J782">
        <v>17.99009135066084</v>
      </c>
    </row>
    <row r="783" spans="10:10" x14ac:dyDescent="0.35">
      <c r="J783">
        <v>0</v>
      </c>
    </row>
    <row r="784" spans="10:10" x14ac:dyDescent="0.35">
      <c r="J784">
        <v>0</v>
      </c>
    </row>
    <row r="785" spans="10:10" x14ac:dyDescent="0.35">
      <c r="J785">
        <v>0</v>
      </c>
    </row>
    <row r="786" spans="10:10" x14ac:dyDescent="0.35">
      <c r="J786">
        <v>0</v>
      </c>
    </row>
    <row r="787" spans="10:10" x14ac:dyDescent="0.35">
      <c r="J787">
        <v>0</v>
      </c>
    </row>
    <row r="788" spans="10:10" x14ac:dyDescent="0.35">
      <c r="J788">
        <v>78.009346384914963</v>
      </c>
    </row>
    <row r="789" spans="10:10" x14ac:dyDescent="0.35">
      <c r="J789">
        <v>57.490884904814067</v>
      </c>
    </row>
    <row r="790" spans="10:10" x14ac:dyDescent="0.35">
      <c r="J790">
        <v>22.213184925342791</v>
      </c>
    </row>
    <row r="791" spans="10:10" x14ac:dyDescent="0.35">
      <c r="J791">
        <v>15.95504072489379</v>
      </c>
    </row>
    <row r="792" spans="10:10" x14ac:dyDescent="0.35">
      <c r="J792">
        <v>15.74225283874099</v>
      </c>
    </row>
    <row r="793" spans="10:10" x14ac:dyDescent="0.35">
      <c r="J793">
        <v>0</v>
      </c>
    </row>
    <row r="794" spans="10:10" x14ac:dyDescent="0.35">
      <c r="J794">
        <v>0</v>
      </c>
    </row>
    <row r="795" spans="10:10" x14ac:dyDescent="0.35">
      <c r="J795">
        <v>0</v>
      </c>
    </row>
    <row r="796" spans="10:10" x14ac:dyDescent="0.35">
      <c r="J796">
        <v>0</v>
      </c>
    </row>
    <row r="797" spans="10:10" x14ac:dyDescent="0.35">
      <c r="J797">
        <v>0</v>
      </c>
    </row>
    <row r="798" spans="10:10" x14ac:dyDescent="0.35">
      <c r="J798">
        <v>47.686768923537457</v>
      </c>
    </row>
    <row r="799" spans="10:10" x14ac:dyDescent="0.35">
      <c r="J799">
        <v>34.020010584352733</v>
      </c>
    </row>
    <row r="800" spans="10:10" x14ac:dyDescent="0.35">
      <c r="J800">
        <v>20.433072900730121</v>
      </c>
    </row>
    <row r="801" spans="10:10" x14ac:dyDescent="0.35">
      <c r="J801">
        <v>18.301909255165349</v>
      </c>
    </row>
    <row r="802" spans="10:10" x14ac:dyDescent="0.35">
      <c r="J802">
        <v>19.087884810694572</v>
      </c>
    </row>
    <row r="803" spans="10:10" x14ac:dyDescent="0.35">
      <c r="J803">
        <v>0</v>
      </c>
    </row>
    <row r="804" spans="10:10" x14ac:dyDescent="0.35">
      <c r="J804">
        <v>0</v>
      </c>
    </row>
    <row r="805" spans="10:10" x14ac:dyDescent="0.35">
      <c r="J805">
        <v>0</v>
      </c>
    </row>
    <row r="806" spans="10:10" x14ac:dyDescent="0.35">
      <c r="J806">
        <v>0</v>
      </c>
    </row>
    <row r="807" spans="10:10" x14ac:dyDescent="0.35">
      <c r="J807">
        <v>0</v>
      </c>
    </row>
    <row r="808" spans="10:10" x14ac:dyDescent="0.35">
      <c r="J808">
        <v>5.6463551499095059</v>
      </c>
    </row>
    <row r="809" spans="10:10" x14ac:dyDescent="0.35">
      <c r="J809">
        <v>5.3641862697039491</v>
      </c>
    </row>
    <row r="810" spans="10:10" x14ac:dyDescent="0.35">
      <c r="J810">
        <v>5.449986191054899</v>
      </c>
    </row>
    <row r="811" spans="10:10" x14ac:dyDescent="0.35">
      <c r="J811">
        <v>5.6179151979011772</v>
      </c>
    </row>
    <row r="812" spans="10:10" x14ac:dyDescent="0.35">
      <c r="J812">
        <v>5.8156448665007243</v>
      </c>
    </row>
    <row r="813" spans="10:10" x14ac:dyDescent="0.35">
      <c r="J813">
        <v>0</v>
      </c>
    </row>
    <row r="814" spans="10:10" x14ac:dyDescent="0.35">
      <c r="J814">
        <v>0</v>
      </c>
    </row>
    <row r="815" spans="10:10" x14ac:dyDescent="0.35">
      <c r="J815">
        <v>0</v>
      </c>
    </row>
    <row r="816" spans="10:10" x14ac:dyDescent="0.35">
      <c r="J816">
        <v>0</v>
      </c>
    </row>
    <row r="817" spans="10:10" x14ac:dyDescent="0.35">
      <c r="J817">
        <v>0</v>
      </c>
    </row>
    <row r="820" spans="10:10" x14ac:dyDescent="0.35">
      <c r="J820">
        <v>26858.686193074991</v>
      </c>
    </row>
    <row r="821" spans="10:10" x14ac:dyDescent="0.35">
      <c r="J821">
        <v>24553.799931241949</v>
      </c>
    </row>
    <row r="822" spans="10:10" x14ac:dyDescent="0.35">
      <c r="J822">
        <v>18612.605841352572</v>
      </c>
    </row>
    <row r="823" spans="10:10" x14ac:dyDescent="0.35">
      <c r="J823">
        <v>18297.887897247601</v>
      </c>
    </row>
    <row r="824" spans="10:10" x14ac:dyDescent="0.35">
      <c r="J824">
        <v>15451.842200138461</v>
      </c>
    </row>
    <row r="825" spans="10:10" x14ac:dyDescent="0.35">
      <c r="J825">
        <v>0</v>
      </c>
    </row>
    <row r="826" spans="10:10" x14ac:dyDescent="0.35">
      <c r="J826">
        <v>0</v>
      </c>
    </row>
    <row r="827" spans="10:10" x14ac:dyDescent="0.35">
      <c r="J827">
        <v>0</v>
      </c>
    </row>
    <row r="828" spans="10:10" x14ac:dyDescent="0.35">
      <c r="J828">
        <v>0</v>
      </c>
    </row>
    <row r="829" spans="10:10" x14ac:dyDescent="0.35">
      <c r="J829">
        <v>0</v>
      </c>
    </row>
    <row r="830" spans="10:10" x14ac:dyDescent="0.35">
      <c r="J830">
        <v>20311.461189157399</v>
      </c>
    </row>
    <row r="831" spans="10:10" x14ac:dyDescent="0.35">
      <c r="J831">
        <v>15919.43387147465</v>
      </c>
    </row>
    <row r="832" spans="10:10" x14ac:dyDescent="0.35">
      <c r="J832">
        <v>7805.8005272709079</v>
      </c>
    </row>
    <row r="833" spans="10:10" x14ac:dyDescent="0.35">
      <c r="J833">
        <v>4683.160733975642</v>
      </c>
    </row>
    <row r="834" spans="10:10" x14ac:dyDescent="0.35">
      <c r="J834">
        <v>3503.778060271612</v>
      </c>
    </row>
    <row r="835" spans="10:10" x14ac:dyDescent="0.35">
      <c r="J835">
        <v>0</v>
      </c>
    </row>
    <row r="836" spans="10:10" x14ac:dyDescent="0.35">
      <c r="J836">
        <v>0</v>
      </c>
    </row>
    <row r="837" spans="10:10" x14ac:dyDescent="0.35">
      <c r="J837">
        <v>0</v>
      </c>
    </row>
    <row r="838" spans="10:10" x14ac:dyDescent="0.35">
      <c r="J838">
        <v>0</v>
      </c>
    </row>
    <row r="839" spans="10:10" x14ac:dyDescent="0.35">
      <c r="J839">
        <v>0</v>
      </c>
    </row>
    <row r="840" spans="10:10" x14ac:dyDescent="0.35">
      <c r="J840">
        <v>34450.741432467337</v>
      </c>
    </row>
    <row r="841" spans="10:10" x14ac:dyDescent="0.35">
      <c r="J841">
        <v>25393.3572190948</v>
      </c>
    </row>
    <row r="842" spans="10:10" x14ac:dyDescent="0.35">
      <c r="J842">
        <v>14925.35844680461</v>
      </c>
    </row>
    <row r="843" spans="10:10" x14ac:dyDescent="0.35">
      <c r="J843">
        <v>12757.62769793077</v>
      </c>
    </row>
    <row r="844" spans="10:10" x14ac:dyDescent="0.35">
      <c r="J844">
        <v>12936.12355613977</v>
      </c>
    </row>
    <row r="845" spans="10:10" x14ac:dyDescent="0.35">
      <c r="J845">
        <v>0</v>
      </c>
    </row>
    <row r="846" spans="10:10" x14ac:dyDescent="0.35">
      <c r="J846">
        <v>0</v>
      </c>
    </row>
    <row r="847" spans="10:10" x14ac:dyDescent="0.35">
      <c r="J847">
        <v>0</v>
      </c>
    </row>
    <row r="848" spans="10:10" x14ac:dyDescent="0.35">
      <c r="J848">
        <v>0</v>
      </c>
    </row>
    <row r="849" spans="10:10" x14ac:dyDescent="0.35">
      <c r="J849">
        <v>0</v>
      </c>
    </row>
    <row r="850" spans="10:10" x14ac:dyDescent="0.35">
      <c r="J850">
        <v>125672.4717524591</v>
      </c>
    </row>
    <row r="851" spans="10:10" x14ac:dyDescent="0.35">
      <c r="J851">
        <v>111846.7743544706</v>
      </c>
    </row>
    <row r="852" spans="10:10" x14ac:dyDescent="0.35">
      <c r="J852">
        <v>112196.4360087122</v>
      </c>
    </row>
    <row r="853" spans="10:10" x14ac:dyDescent="0.35">
      <c r="J853">
        <v>116582.9599120801</v>
      </c>
    </row>
    <row r="854" spans="10:10" x14ac:dyDescent="0.35">
      <c r="J854">
        <v>122232.1729282398</v>
      </c>
    </row>
    <row r="855" spans="10:10" x14ac:dyDescent="0.35">
      <c r="J855">
        <v>0</v>
      </c>
    </row>
    <row r="856" spans="10:10" x14ac:dyDescent="0.35">
      <c r="J856">
        <v>0</v>
      </c>
    </row>
    <row r="857" spans="10:10" x14ac:dyDescent="0.35">
      <c r="J857">
        <v>0</v>
      </c>
    </row>
    <row r="858" spans="10:10" x14ac:dyDescent="0.35">
      <c r="J858">
        <v>0</v>
      </c>
    </row>
    <row r="859" spans="10:10" x14ac:dyDescent="0.35">
      <c r="J859">
        <v>0</v>
      </c>
    </row>
    <row r="862" spans="10:10" x14ac:dyDescent="0.35">
      <c r="J862">
        <v>77404.697178678252</v>
      </c>
    </row>
    <row r="863" spans="10:10" x14ac:dyDescent="0.35">
      <c r="J863">
        <v>68879.188908203621</v>
      </c>
    </row>
    <row r="864" spans="10:10" x14ac:dyDescent="0.35">
      <c r="J864">
        <v>52551.782597147147</v>
      </c>
    </row>
    <row r="865" spans="10:10" x14ac:dyDescent="0.35">
      <c r="J865">
        <v>52894.993558038077</v>
      </c>
    </row>
    <row r="866" spans="10:10" x14ac:dyDescent="0.35">
      <c r="J866">
        <v>46175.411181899639</v>
      </c>
    </row>
    <row r="867" spans="10:10" x14ac:dyDescent="0.35">
      <c r="J867">
        <v>0</v>
      </c>
    </row>
    <row r="868" spans="10:10" x14ac:dyDescent="0.35">
      <c r="J868">
        <v>0</v>
      </c>
    </row>
    <row r="869" spans="10:10" x14ac:dyDescent="0.35">
      <c r="J869">
        <v>0</v>
      </c>
    </row>
    <row r="870" spans="10:10" x14ac:dyDescent="0.35">
      <c r="J870">
        <v>0</v>
      </c>
    </row>
    <row r="871" spans="10:10" x14ac:dyDescent="0.35">
      <c r="J871">
        <v>0</v>
      </c>
    </row>
    <row r="872" spans="10:10" x14ac:dyDescent="0.35">
      <c r="J872">
        <v>58260.644681068952</v>
      </c>
    </row>
    <row r="873" spans="10:10" x14ac:dyDescent="0.35">
      <c r="J873">
        <v>44062.986579188182</v>
      </c>
    </row>
    <row r="874" spans="10:10" x14ac:dyDescent="0.35">
      <c r="J874">
        <v>20033.207016121101</v>
      </c>
    </row>
    <row r="875" spans="10:10" x14ac:dyDescent="0.35">
      <c r="J875">
        <v>13771.613024273591</v>
      </c>
    </row>
    <row r="876" spans="10:10" x14ac:dyDescent="0.35">
      <c r="J876">
        <v>12197.392246314979</v>
      </c>
    </row>
    <row r="877" spans="10:10" x14ac:dyDescent="0.35">
      <c r="J877">
        <v>0</v>
      </c>
    </row>
    <row r="878" spans="10:10" x14ac:dyDescent="0.35">
      <c r="J878">
        <v>0</v>
      </c>
    </row>
    <row r="879" spans="10:10" x14ac:dyDescent="0.35">
      <c r="J879">
        <v>0</v>
      </c>
    </row>
    <row r="880" spans="10:10" x14ac:dyDescent="0.35">
      <c r="J880">
        <v>0</v>
      </c>
    </row>
    <row r="881" spans="10:10" x14ac:dyDescent="0.35">
      <c r="J881">
        <v>0</v>
      </c>
    </row>
    <row r="882" spans="10:10" x14ac:dyDescent="0.35">
      <c r="J882">
        <v>106468.4581777891</v>
      </c>
    </row>
    <row r="883" spans="10:10" x14ac:dyDescent="0.35">
      <c r="J883">
        <v>76837.099957436483</v>
      </c>
    </row>
    <row r="884" spans="10:10" x14ac:dyDescent="0.35">
      <c r="J884">
        <v>47582.760189424742</v>
      </c>
    </row>
    <row r="885" spans="10:10" x14ac:dyDescent="0.35">
      <c r="J885">
        <v>43487.724673073193</v>
      </c>
    </row>
    <row r="886" spans="10:10" x14ac:dyDescent="0.35">
      <c r="J886">
        <v>45290.856329897368</v>
      </c>
    </row>
    <row r="887" spans="10:10" x14ac:dyDescent="0.35">
      <c r="J887">
        <v>0</v>
      </c>
    </row>
    <row r="888" spans="10:10" x14ac:dyDescent="0.35">
      <c r="J888">
        <v>0</v>
      </c>
    </row>
    <row r="889" spans="10:10" x14ac:dyDescent="0.35">
      <c r="J889">
        <v>0</v>
      </c>
    </row>
    <row r="890" spans="10:10" x14ac:dyDescent="0.35">
      <c r="J890">
        <v>0</v>
      </c>
    </row>
    <row r="891" spans="10:10" x14ac:dyDescent="0.35">
      <c r="J891">
        <v>0</v>
      </c>
    </row>
    <row r="892" spans="10:10" x14ac:dyDescent="0.35">
      <c r="J892">
        <v>248697.63530887931</v>
      </c>
    </row>
    <row r="893" spans="10:10" x14ac:dyDescent="0.35">
      <c r="J893">
        <v>235348.09043441451</v>
      </c>
    </row>
    <row r="894" spans="10:10" x14ac:dyDescent="0.35">
      <c r="J894">
        <v>243863.80647133611</v>
      </c>
    </row>
    <row r="895" spans="10:10" x14ac:dyDescent="0.35">
      <c r="J895">
        <v>258747.641264726</v>
      </c>
    </row>
    <row r="896" spans="10:10" x14ac:dyDescent="0.35">
      <c r="J896">
        <v>276267.07363485667</v>
      </c>
    </row>
    <row r="897" spans="10:10" x14ac:dyDescent="0.35">
      <c r="J897">
        <v>0</v>
      </c>
    </row>
    <row r="898" spans="10:10" x14ac:dyDescent="0.35">
      <c r="J898">
        <v>0</v>
      </c>
    </row>
    <row r="899" spans="10:10" x14ac:dyDescent="0.35">
      <c r="J899">
        <v>0</v>
      </c>
    </row>
    <row r="900" spans="10:10" x14ac:dyDescent="0.35">
      <c r="J900">
        <v>0</v>
      </c>
    </row>
    <row r="901" spans="10:10" x14ac:dyDescent="0.35">
      <c r="J901">
        <v>0</v>
      </c>
    </row>
    <row r="904" spans="10:10" x14ac:dyDescent="0.35">
      <c r="J904">
        <v>31090.846223703371</v>
      </c>
    </row>
    <row r="905" spans="10:10" x14ac:dyDescent="0.35">
      <c r="J905">
        <v>26316.827745325711</v>
      </c>
    </row>
    <row r="906" spans="10:10" x14ac:dyDescent="0.35">
      <c r="J906">
        <v>20195.389530328091</v>
      </c>
    </row>
    <row r="907" spans="10:10" x14ac:dyDescent="0.35">
      <c r="J907">
        <v>21053.46120154751</v>
      </c>
    </row>
    <row r="908" spans="10:10" x14ac:dyDescent="0.35">
      <c r="J908">
        <v>16673.317083226069</v>
      </c>
    </row>
    <row r="909" spans="10:10" x14ac:dyDescent="0.35">
      <c r="J909">
        <v>0</v>
      </c>
    </row>
    <row r="910" spans="10:10" x14ac:dyDescent="0.35">
      <c r="J910">
        <v>0</v>
      </c>
    </row>
    <row r="911" spans="10:10" x14ac:dyDescent="0.35">
      <c r="J911">
        <v>0</v>
      </c>
    </row>
    <row r="912" spans="10:10" x14ac:dyDescent="0.35">
      <c r="J912">
        <v>0</v>
      </c>
    </row>
    <row r="913" spans="10:10" x14ac:dyDescent="0.35">
      <c r="J913">
        <v>0</v>
      </c>
    </row>
    <row r="914" spans="10:10" x14ac:dyDescent="0.35">
      <c r="J914">
        <v>22362.40249484724</v>
      </c>
    </row>
    <row r="915" spans="10:10" x14ac:dyDescent="0.35">
      <c r="J915">
        <v>14010.90941025372</v>
      </c>
    </row>
    <row r="916" spans="10:10" x14ac:dyDescent="0.35">
      <c r="J916">
        <v>3438.609363879224</v>
      </c>
    </row>
    <row r="917" spans="10:10" x14ac:dyDescent="0.35">
      <c r="J917">
        <v>2307.4884345994501</v>
      </c>
    </row>
    <row r="918" spans="10:10" x14ac:dyDescent="0.35">
      <c r="J918">
        <v>2346.9966652866328</v>
      </c>
    </row>
    <row r="919" spans="10:10" x14ac:dyDescent="0.35">
      <c r="J919">
        <v>0</v>
      </c>
    </row>
    <row r="920" spans="10:10" x14ac:dyDescent="0.35">
      <c r="J920">
        <v>0</v>
      </c>
    </row>
    <row r="921" spans="10:10" x14ac:dyDescent="0.35">
      <c r="J921">
        <v>0</v>
      </c>
    </row>
    <row r="922" spans="10:10" x14ac:dyDescent="0.35">
      <c r="J922">
        <v>0</v>
      </c>
    </row>
    <row r="923" spans="10:10" x14ac:dyDescent="0.35">
      <c r="J923">
        <v>0</v>
      </c>
    </row>
    <row r="924" spans="10:10" x14ac:dyDescent="0.35">
      <c r="J924">
        <v>39344.919721647282</v>
      </c>
    </row>
    <row r="925" spans="10:10" x14ac:dyDescent="0.35">
      <c r="J925">
        <v>22617.12592717569</v>
      </c>
    </row>
    <row r="926" spans="10:10" x14ac:dyDescent="0.35">
      <c r="J926">
        <v>10744.586625568219</v>
      </c>
    </row>
    <row r="927" spans="10:10" x14ac:dyDescent="0.35">
      <c r="J927">
        <v>10271.5303851795</v>
      </c>
    </row>
    <row r="928" spans="10:10" x14ac:dyDescent="0.35">
      <c r="J928">
        <v>10621.207539168799</v>
      </c>
    </row>
    <row r="929" spans="10:10" x14ac:dyDescent="0.35">
      <c r="J929">
        <v>0</v>
      </c>
    </row>
    <row r="930" spans="10:10" x14ac:dyDescent="0.35">
      <c r="J930">
        <v>0</v>
      </c>
    </row>
    <row r="931" spans="10:10" x14ac:dyDescent="0.35">
      <c r="J931">
        <v>0</v>
      </c>
    </row>
    <row r="932" spans="10:10" x14ac:dyDescent="0.35">
      <c r="J932">
        <v>0</v>
      </c>
    </row>
    <row r="933" spans="10:10" x14ac:dyDescent="0.35">
      <c r="J933">
        <v>0</v>
      </c>
    </row>
    <row r="934" spans="10:10" x14ac:dyDescent="0.35">
      <c r="J934">
        <v>19556.855351383008</v>
      </c>
    </row>
    <row r="935" spans="10:10" x14ac:dyDescent="0.35">
      <c r="J935">
        <v>21216.68027141827</v>
      </c>
    </row>
    <row r="936" spans="10:10" x14ac:dyDescent="0.35">
      <c r="J936">
        <v>23264.244540605989</v>
      </c>
    </row>
    <row r="937" spans="10:10" x14ac:dyDescent="0.35">
      <c r="J937">
        <v>25046.492724702261</v>
      </c>
    </row>
    <row r="938" spans="10:10" x14ac:dyDescent="0.35">
      <c r="J938">
        <v>26870.971733787621</v>
      </c>
    </row>
    <row r="939" spans="10:10" x14ac:dyDescent="0.35">
      <c r="J939">
        <v>0</v>
      </c>
    </row>
    <row r="940" spans="10:10" x14ac:dyDescent="0.35">
      <c r="J940">
        <v>0</v>
      </c>
    </row>
    <row r="941" spans="10:10" x14ac:dyDescent="0.35">
      <c r="J941">
        <v>0</v>
      </c>
    </row>
    <row r="942" spans="10:10" x14ac:dyDescent="0.35">
      <c r="J942">
        <v>0</v>
      </c>
    </row>
    <row r="943" spans="10:10" x14ac:dyDescent="0.35">
      <c r="J94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J8:J943"/>
  <sheetViews>
    <sheetView workbookViewId="0"/>
  </sheetViews>
  <sheetFormatPr defaultRowHeight="14.5" x14ac:dyDescent="0.35"/>
  <sheetData>
    <row r="8" spans="10:10" x14ac:dyDescent="0.35">
      <c r="J8" t="s">
        <v>952</v>
      </c>
    </row>
    <row r="9" spans="10:10" x14ac:dyDescent="0.35">
      <c r="J9" t="s">
        <v>921</v>
      </c>
    </row>
    <row r="10" spans="10:10" x14ac:dyDescent="0.35">
      <c r="J10" t="s">
        <v>922</v>
      </c>
    </row>
    <row r="11" spans="10:10" x14ac:dyDescent="0.35">
      <c r="J11" t="s">
        <v>923</v>
      </c>
    </row>
    <row r="12" spans="10:10" x14ac:dyDescent="0.35">
      <c r="J12" t="s">
        <v>924</v>
      </c>
    </row>
    <row r="13" spans="10:10" x14ac:dyDescent="0.35">
      <c r="J13" t="s">
        <v>925</v>
      </c>
    </row>
    <row r="14" spans="10:10" x14ac:dyDescent="0.35">
      <c r="J14" t="s">
        <v>926</v>
      </c>
    </row>
    <row r="15" spans="10:10" x14ac:dyDescent="0.35">
      <c r="J15" t="s">
        <v>927</v>
      </c>
    </row>
    <row r="16" spans="10:10" x14ac:dyDescent="0.35">
      <c r="J16" t="s">
        <v>928</v>
      </c>
    </row>
    <row r="17" spans="10:10" x14ac:dyDescent="0.35">
      <c r="J17" t="s">
        <v>929</v>
      </c>
    </row>
    <row r="18" spans="10:10" x14ac:dyDescent="0.35">
      <c r="J18" t="s">
        <v>930</v>
      </c>
    </row>
    <row r="19" spans="10:10" x14ac:dyDescent="0.35">
      <c r="J19" t="s">
        <v>931</v>
      </c>
    </row>
    <row r="20" spans="10:10" x14ac:dyDescent="0.35">
      <c r="J20" t="s">
        <v>932</v>
      </c>
    </row>
    <row r="21" spans="10:10" x14ac:dyDescent="0.35">
      <c r="J21" t="s">
        <v>950</v>
      </c>
    </row>
    <row r="22" spans="10:10" x14ac:dyDescent="0.35">
      <c r="J22" t="s">
        <v>934</v>
      </c>
    </row>
    <row r="23" spans="10:10" x14ac:dyDescent="0.35">
      <c r="J23" t="s">
        <v>934</v>
      </c>
    </row>
    <row r="24" spans="10:10" x14ac:dyDescent="0.35">
      <c r="J24" t="s">
        <v>934</v>
      </c>
    </row>
    <row r="25" spans="10:10" x14ac:dyDescent="0.35">
      <c r="J25" t="s">
        <v>934</v>
      </c>
    </row>
    <row r="26" spans="10:10" x14ac:dyDescent="0.35">
      <c r="J26" t="s">
        <v>934</v>
      </c>
    </row>
    <row r="27" spans="10:10" x14ac:dyDescent="0.35">
      <c r="J27" t="s">
        <v>934</v>
      </c>
    </row>
    <row r="28" spans="10:10" x14ac:dyDescent="0.35">
      <c r="J28" t="s">
        <v>934</v>
      </c>
    </row>
    <row r="29" spans="10:10" x14ac:dyDescent="0.35">
      <c r="J29" t="s">
        <v>934</v>
      </c>
    </row>
    <row r="30" spans="10:10" x14ac:dyDescent="0.35">
      <c r="J30" t="s">
        <v>934</v>
      </c>
    </row>
    <row r="31" spans="10:10" x14ac:dyDescent="0.35">
      <c r="J31" t="s">
        <v>934</v>
      </c>
    </row>
    <row r="32" spans="10:10" x14ac:dyDescent="0.35">
      <c r="J32" t="s">
        <v>934</v>
      </c>
    </row>
    <row r="33" spans="10:10" x14ac:dyDescent="0.35">
      <c r="J33" t="s">
        <v>934</v>
      </c>
    </row>
    <row r="34" spans="10:10" x14ac:dyDescent="0.35">
      <c r="J34" t="s">
        <v>934</v>
      </c>
    </row>
    <row r="35" spans="10:10" x14ac:dyDescent="0.35">
      <c r="J35" t="s">
        <v>934</v>
      </c>
    </row>
    <row r="36" spans="10:10" x14ac:dyDescent="0.35">
      <c r="J36" t="s">
        <v>934</v>
      </c>
    </row>
    <row r="37" spans="10:10" x14ac:dyDescent="0.35">
      <c r="J37" t="s">
        <v>934</v>
      </c>
    </row>
    <row r="38" spans="10:10" x14ac:dyDescent="0.35">
      <c r="J38" t="s">
        <v>922</v>
      </c>
    </row>
    <row r="39" spans="10:10" x14ac:dyDescent="0.35">
      <c r="J39" t="s">
        <v>922</v>
      </c>
    </row>
    <row r="40" spans="10:10" x14ac:dyDescent="0.35">
      <c r="J40" t="s">
        <v>935</v>
      </c>
    </row>
    <row r="41" spans="10:10" x14ac:dyDescent="0.35">
      <c r="J41" t="s">
        <v>936</v>
      </c>
    </row>
    <row r="42" spans="10:10" x14ac:dyDescent="0.35">
      <c r="J42" t="s">
        <v>936</v>
      </c>
    </row>
    <row r="43" spans="10:10" x14ac:dyDescent="0.35">
      <c r="J43" t="s">
        <v>937</v>
      </c>
    </row>
    <row r="44" spans="10:10" x14ac:dyDescent="0.35">
      <c r="J44" t="s">
        <v>937</v>
      </c>
    </row>
    <row r="45" spans="10:10" x14ac:dyDescent="0.35">
      <c r="J45" t="s">
        <v>937</v>
      </c>
    </row>
    <row r="46" spans="10:10" x14ac:dyDescent="0.35">
      <c r="J46" t="s">
        <v>936</v>
      </c>
    </row>
    <row r="47" spans="10:10" x14ac:dyDescent="0.35">
      <c r="J47" t="s">
        <v>936</v>
      </c>
    </row>
    <row r="50" spans="10:10" x14ac:dyDescent="0.35">
      <c r="J50" t="s">
        <v>922</v>
      </c>
    </row>
    <row r="51" spans="10:10" x14ac:dyDescent="0.35">
      <c r="J51" t="s">
        <v>922</v>
      </c>
    </row>
    <row r="52" spans="10:10" x14ac:dyDescent="0.35">
      <c r="J52">
        <v>0</v>
      </c>
    </row>
    <row r="53" spans="10:10" x14ac:dyDescent="0.35">
      <c r="J53">
        <v>0</v>
      </c>
    </row>
    <row r="54" spans="10:10" x14ac:dyDescent="0.35">
      <c r="J54" t="s">
        <v>938</v>
      </c>
    </row>
    <row r="55" spans="10:10" x14ac:dyDescent="0.35">
      <c r="J55" t="s">
        <v>922</v>
      </c>
    </row>
    <row r="58" spans="10:10" x14ac:dyDescent="0.35">
      <c r="J58" t="s">
        <v>939</v>
      </c>
    </row>
    <row r="59" spans="10:10" x14ac:dyDescent="0.35">
      <c r="J59" t="s">
        <v>939</v>
      </c>
    </row>
    <row r="60" spans="10:10" x14ac:dyDescent="0.35">
      <c r="J60" t="s">
        <v>940</v>
      </c>
    </row>
    <row r="61" spans="10:10" x14ac:dyDescent="0.35">
      <c r="J61" t="s">
        <v>941</v>
      </c>
    </row>
    <row r="62" spans="10:10" x14ac:dyDescent="0.35">
      <c r="J62" t="s">
        <v>939</v>
      </c>
    </row>
    <row r="63" spans="10:10" x14ac:dyDescent="0.35">
      <c r="J63" t="s">
        <v>942</v>
      </c>
    </row>
    <row r="64" spans="10:10" x14ac:dyDescent="0.35">
      <c r="J64" t="s">
        <v>941</v>
      </c>
    </row>
    <row r="65" spans="10:10" x14ac:dyDescent="0.35">
      <c r="J65">
        <v>6</v>
      </c>
    </row>
    <row r="66" spans="10:10" x14ac:dyDescent="0.35">
      <c r="J66" t="s">
        <v>941</v>
      </c>
    </row>
    <row r="67" spans="10:10" x14ac:dyDescent="0.35">
      <c r="J67">
        <v>3</v>
      </c>
    </row>
    <row r="68" spans="10:10" x14ac:dyDescent="0.35">
      <c r="J68" t="s">
        <v>942</v>
      </c>
    </row>
    <row r="69" spans="10:10" x14ac:dyDescent="0.35">
      <c r="J69" t="s">
        <v>941</v>
      </c>
    </row>
    <row r="70" spans="10:10" x14ac:dyDescent="0.35">
      <c r="J70" t="s">
        <v>942</v>
      </c>
    </row>
    <row r="71" spans="10:10" x14ac:dyDescent="0.35">
      <c r="J71" t="s">
        <v>942</v>
      </c>
    </row>
    <row r="72" spans="10:10" x14ac:dyDescent="0.35">
      <c r="J72" t="s">
        <v>942</v>
      </c>
    </row>
    <row r="73" spans="10:10" x14ac:dyDescent="0.35">
      <c r="J73" t="s">
        <v>943</v>
      </c>
    </row>
    <row r="74" spans="10:10" x14ac:dyDescent="0.35">
      <c r="J74" t="s">
        <v>951</v>
      </c>
    </row>
    <row r="75" spans="10:10" x14ac:dyDescent="0.35">
      <c r="J75" t="s">
        <v>948</v>
      </c>
    </row>
    <row r="76" spans="10:10" x14ac:dyDescent="0.35">
      <c r="J76" t="s">
        <v>942</v>
      </c>
    </row>
    <row r="77" spans="10:10" x14ac:dyDescent="0.35">
      <c r="J77" t="s">
        <v>922</v>
      </c>
    </row>
    <row r="80" spans="10:10" x14ac:dyDescent="0.35">
      <c r="J80">
        <v>187.16396849610479</v>
      </c>
    </row>
    <row r="81" spans="10:10" x14ac:dyDescent="0.35">
      <c r="J81">
        <v>182.5449871008847</v>
      </c>
    </row>
    <row r="82" spans="10:10" x14ac:dyDescent="0.35">
      <c r="J82">
        <v>174.91569080585799</v>
      </c>
    </row>
    <row r="83" spans="10:10" x14ac:dyDescent="0.35">
      <c r="J83">
        <v>172.0284689037081</v>
      </c>
    </row>
    <row r="84" spans="10:10" x14ac:dyDescent="0.35">
      <c r="J84">
        <v>173.5268701303838</v>
      </c>
    </row>
    <row r="85" spans="10:10" x14ac:dyDescent="0.35">
      <c r="J85">
        <v>16.139339219095369</v>
      </c>
    </row>
    <row r="86" spans="10:10" x14ac:dyDescent="0.35">
      <c r="J86">
        <v>27.97460041324873</v>
      </c>
    </row>
    <row r="87" spans="10:10" x14ac:dyDescent="0.35">
      <c r="J87">
        <v>43.444955394193549</v>
      </c>
    </row>
    <row r="88" spans="10:10" x14ac:dyDescent="0.35">
      <c r="J88">
        <v>55.925791352306391</v>
      </c>
    </row>
    <row r="89" spans="10:10" x14ac:dyDescent="0.35">
      <c r="J89">
        <v>66.871252263573325</v>
      </c>
    </row>
    <row r="90" spans="10:10" x14ac:dyDescent="0.35">
      <c r="J90">
        <v>246.61086821717859</v>
      </c>
    </row>
    <row r="91" spans="10:10" x14ac:dyDescent="0.35">
      <c r="J91">
        <v>211.94005679986549</v>
      </c>
    </row>
    <row r="92" spans="10:10" x14ac:dyDescent="0.35">
      <c r="J92">
        <v>172.60099896528899</v>
      </c>
    </row>
    <row r="93" spans="10:10" x14ac:dyDescent="0.35">
      <c r="J93">
        <v>160.24960786757919</v>
      </c>
    </row>
    <row r="94" spans="10:10" x14ac:dyDescent="0.35">
      <c r="J94">
        <v>152.14477410920051</v>
      </c>
    </row>
    <row r="95" spans="10:10" x14ac:dyDescent="0.35">
      <c r="J95">
        <v>15.28323078924136</v>
      </c>
    </row>
    <row r="96" spans="10:10" x14ac:dyDescent="0.35">
      <c r="J96">
        <v>53.6615257936988</v>
      </c>
    </row>
    <row r="97" spans="10:10" x14ac:dyDescent="0.35">
      <c r="J97">
        <v>96.698388643491455</v>
      </c>
    </row>
    <row r="98" spans="10:10" x14ac:dyDescent="0.35">
      <c r="J98">
        <v>113.26140020861661</v>
      </c>
    </row>
    <row r="99" spans="10:10" x14ac:dyDescent="0.35">
      <c r="J99">
        <v>126.8276481798227</v>
      </c>
    </row>
    <row r="100" spans="10:10" x14ac:dyDescent="0.35">
      <c r="J100">
        <v>137.3682225639248</v>
      </c>
    </row>
    <row r="101" spans="10:10" x14ac:dyDescent="0.35">
      <c r="J101">
        <v>119.82897048586671</v>
      </c>
    </row>
    <row r="102" spans="10:10" x14ac:dyDescent="0.35">
      <c r="J102">
        <v>106.70075159552439</v>
      </c>
    </row>
    <row r="103" spans="10:10" x14ac:dyDescent="0.35">
      <c r="J103">
        <v>105.5423941593059</v>
      </c>
    </row>
    <row r="104" spans="10:10" x14ac:dyDescent="0.35">
      <c r="J104">
        <v>106.57126528763941</v>
      </c>
    </row>
    <row r="105" spans="10:10" x14ac:dyDescent="0.35">
      <c r="J105">
        <v>26.779603359060658</v>
      </c>
    </row>
    <row r="106" spans="10:10" x14ac:dyDescent="0.35">
      <c r="J106">
        <v>49.07583759150608</v>
      </c>
    </row>
    <row r="107" spans="10:10" x14ac:dyDescent="0.35">
      <c r="J107">
        <v>67.138030386417398</v>
      </c>
    </row>
    <row r="108" spans="10:10" x14ac:dyDescent="0.35">
      <c r="J108">
        <v>73.575949672846448</v>
      </c>
    </row>
    <row r="109" spans="10:10" x14ac:dyDescent="0.35">
      <c r="J109">
        <v>78.723796624673895</v>
      </c>
    </row>
    <row r="110" spans="10:10" x14ac:dyDescent="0.35">
      <c r="J110">
        <v>30.915923705557532</v>
      </c>
    </row>
    <row r="111" spans="10:10" x14ac:dyDescent="0.35">
      <c r="J111">
        <v>30.345012707920962</v>
      </c>
    </row>
    <row r="112" spans="10:10" x14ac:dyDescent="0.35">
      <c r="J112">
        <v>24.99486090085691</v>
      </c>
    </row>
    <row r="113" spans="10:10" x14ac:dyDescent="0.35">
      <c r="J113">
        <v>22.527097103315612</v>
      </c>
    </row>
    <row r="114" spans="10:10" x14ac:dyDescent="0.35">
      <c r="J114">
        <v>22.938309226403401</v>
      </c>
    </row>
    <row r="115" spans="10:10" x14ac:dyDescent="0.35">
      <c r="J115">
        <v>5.3747615063715699</v>
      </c>
    </row>
    <row r="116" spans="10:10" x14ac:dyDescent="0.35">
      <c r="J116">
        <v>6.903512951895598</v>
      </c>
    </row>
    <row r="117" spans="10:10" x14ac:dyDescent="0.35">
      <c r="J117">
        <v>13.43865589303577</v>
      </c>
    </row>
    <row r="118" spans="10:10" x14ac:dyDescent="0.35">
      <c r="J118">
        <v>16.918572914585528</v>
      </c>
    </row>
    <row r="119" spans="10:10" x14ac:dyDescent="0.35">
      <c r="J119">
        <v>17.62195068806713</v>
      </c>
    </row>
    <row r="122" spans="10:10" x14ac:dyDescent="0.35">
      <c r="J122">
        <v>187.08513600881329</v>
      </c>
    </row>
    <row r="123" spans="10:10" x14ac:dyDescent="0.35">
      <c r="J123">
        <v>182.46819356112621</v>
      </c>
    </row>
    <row r="124" spans="10:10" x14ac:dyDescent="0.35">
      <c r="J124">
        <v>174.8389391735046</v>
      </c>
    </row>
    <row r="125" spans="10:10" x14ac:dyDescent="0.35">
      <c r="J125">
        <v>171.9511122059549</v>
      </c>
    </row>
    <row r="126" spans="10:10" x14ac:dyDescent="0.35">
      <c r="J126">
        <v>173.44915640717059</v>
      </c>
    </row>
    <row r="127" spans="10:10" x14ac:dyDescent="0.35">
      <c r="J127">
        <v>16.139339219095369</v>
      </c>
    </row>
    <row r="128" spans="10:10" x14ac:dyDescent="0.35">
      <c r="J128">
        <v>27.97460041324873</v>
      </c>
    </row>
    <row r="129" spans="10:10" x14ac:dyDescent="0.35">
      <c r="J129">
        <v>43.444955394193549</v>
      </c>
    </row>
    <row r="130" spans="10:10" x14ac:dyDescent="0.35">
      <c r="J130">
        <v>55.925791352306391</v>
      </c>
    </row>
    <row r="131" spans="10:10" x14ac:dyDescent="0.35">
      <c r="J131">
        <v>66.871252263573325</v>
      </c>
    </row>
    <row r="132" spans="10:10" x14ac:dyDescent="0.35">
      <c r="J132">
        <v>245.9573786449713</v>
      </c>
    </row>
    <row r="133" spans="10:10" x14ac:dyDescent="0.35">
      <c r="J133">
        <v>211.38145231319729</v>
      </c>
    </row>
    <row r="134" spans="10:10" x14ac:dyDescent="0.35">
      <c r="J134">
        <v>172.04378263971589</v>
      </c>
    </row>
    <row r="135" spans="10:10" x14ac:dyDescent="0.35">
      <c r="J135">
        <v>159.69807309167339</v>
      </c>
    </row>
    <row r="136" spans="10:10" x14ac:dyDescent="0.35">
      <c r="J136">
        <v>151.60564620934261</v>
      </c>
    </row>
    <row r="137" spans="10:10" x14ac:dyDescent="0.35">
      <c r="J137">
        <v>15.28323078924136</v>
      </c>
    </row>
    <row r="138" spans="10:10" x14ac:dyDescent="0.35">
      <c r="J138">
        <v>53.6615257936988</v>
      </c>
    </row>
    <row r="139" spans="10:10" x14ac:dyDescent="0.35">
      <c r="J139">
        <v>96.698388643491455</v>
      </c>
    </row>
    <row r="140" spans="10:10" x14ac:dyDescent="0.35">
      <c r="J140">
        <v>113.26140020861661</v>
      </c>
    </row>
    <row r="141" spans="10:10" x14ac:dyDescent="0.35">
      <c r="J141">
        <v>126.8276481798227</v>
      </c>
    </row>
    <row r="142" spans="10:10" x14ac:dyDescent="0.35">
      <c r="J142">
        <v>137.26427270719819</v>
      </c>
    </row>
    <row r="143" spans="10:10" x14ac:dyDescent="0.35">
      <c r="J143">
        <v>119.7481542667485</v>
      </c>
    </row>
    <row r="144" spans="10:10" x14ac:dyDescent="0.35">
      <c r="J144">
        <v>106.6178728859603</v>
      </c>
    </row>
    <row r="145" spans="10:10" x14ac:dyDescent="0.35">
      <c r="J145">
        <v>105.4571636945571</v>
      </c>
    </row>
    <row r="146" spans="10:10" x14ac:dyDescent="0.35">
      <c r="J146">
        <v>106.49698834322901</v>
      </c>
    </row>
    <row r="147" spans="10:10" x14ac:dyDescent="0.35">
      <c r="J147">
        <v>26.779603359060658</v>
      </c>
    </row>
    <row r="148" spans="10:10" x14ac:dyDescent="0.35">
      <c r="J148">
        <v>49.07583759150608</v>
      </c>
    </row>
    <row r="149" spans="10:10" x14ac:dyDescent="0.35">
      <c r="J149">
        <v>67.138030386417398</v>
      </c>
    </row>
    <row r="150" spans="10:10" x14ac:dyDescent="0.35">
      <c r="J150">
        <v>73.575949672846448</v>
      </c>
    </row>
    <row r="151" spans="10:10" x14ac:dyDescent="0.35">
      <c r="J151">
        <v>78.723796624673895</v>
      </c>
    </row>
    <row r="152" spans="10:10" x14ac:dyDescent="0.35">
      <c r="J152">
        <v>11.58058377152279</v>
      </c>
    </row>
    <row r="153" spans="10:10" x14ac:dyDescent="0.35">
      <c r="J153">
        <v>10.100451067171919</v>
      </c>
    </row>
    <row r="154" spans="10:10" x14ac:dyDescent="0.35">
      <c r="J154">
        <v>9.1328767875437187</v>
      </c>
    </row>
    <row r="155" spans="10:10" x14ac:dyDescent="0.35">
      <c r="J155">
        <v>9.2128303064691206</v>
      </c>
    </row>
    <row r="156" spans="10:10" x14ac:dyDescent="0.35">
      <c r="J156">
        <v>9.4132373947372745</v>
      </c>
    </row>
    <row r="157" spans="10:10" x14ac:dyDescent="0.35">
      <c r="J157">
        <v>1.752641354997631</v>
      </c>
    </row>
    <row r="158" spans="10:10" x14ac:dyDescent="0.35">
      <c r="J158">
        <v>2.0092834305135692</v>
      </c>
    </row>
    <row r="159" spans="10:10" x14ac:dyDescent="0.35">
      <c r="J159">
        <v>2.957028410286457</v>
      </c>
    </row>
    <row r="160" spans="10:10" x14ac:dyDescent="0.35">
      <c r="J160">
        <v>2.910809602758254</v>
      </c>
    </row>
    <row r="161" spans="10:10" x14ac:dyDescent="0.35">
      <c r="J161">
        <v>2.7924003979051362</v>
      </c>
    </row>
    <row r="164" spans="10:10" x14ac:dyDescent="0.35">
      <c r="J164">
        <v>1260.582016927367</v>
      </c>
    </row>
    <row r="165" spans="10:10" x14ac:dyDescent="0.35">
      <c r="J165">
        <v>1327.6504431284579</v>
      </c>
    </row>
    <row r="166" spans="10:10" x14ac:dyDescent="0.35">
      <c r="J166">
        <v>1424.176666959944</v>
      </c>
    </row>
    <row r="167" spans="10:10" x14ac:dyDescent="0.35">
      <c r="J167">
        <v>1597.551947895322</v>
      </c>
    </row>
    <row r="168" spans="10:10" x14ac:dyDescent="0.35">
      <c r="J168">
        <v>1730.867377726815</v>
      </c>
    </row>
    <row r="169" spans="10:10" x14ac:dyDescent="0.35">
      <c r="J169">
        <v>1641.4338307438461</v>
      </c>
    </row>
    <row r="170" spans="10:10" x14ac:dyDescent="0.35">
      <c r="J170">
        <v>1741.5715035000071</v>
      </c>
    </row>
    <row r="171" spans="10:10" x14ac:dyDescent="0.35">
      <c r="J171">
        <v>1681.2776035570771</v>
      </c>
    </row>
    <row r="172" spans="10:10" x14ac:dyDescent="0.35">
      <c r="J172">
        <v>1555.1807368526461</v>
      </c>
    </row>
    <row r="173" spans="10:10" x14ac:dyDescent="0.35">
      <c r="J173">
        <v>1643.589276722247</v>
      </c>
    </row>
    <row r="174" spans="10:10" x14ac:dyDescent="0.35">
      <c r="J174">
        <v>675.90850629290878</v>
      </c>
    </row>
    <row r="175" spans="10:10" x14ac:dyDescent="0.35">
      <c r="J175">
        <v>701.93827906522483</v>
      </c>
    </row>
    <row r="176" spans="10:10" x14ac:dyDescent="0.35">
      <c r="J176">
        <v>741.57743572772665</v>
      </c>
    </row>
    <row r="177" spans="10:10" x14ac:dyDescent="0.35">
      <c r="J177">
        <v>765.13866476289081</v>
      </c>
    </row>
    <row r="178" spans="10:10" x14ac:dyDescent="0.35">
      <c r="J178">
        <v>799.17217058085657</v>
      </c>
    </row>
    <row r="179" spans="10:10" x14ac:dyDescent="0.35">
      <c r="J179">
        <v>588.37462685936771</v>
      </c>
    </row>
    <row r="180" spans="10:10" x14ac:dyDescent="0.35">
      <c r="J180">
        <v>633.75468942277928</v>
      </c>
    </row>
    <row r="181" spans="10:10" x14ac:dyDescent="0.35">
      <c r="J181">
        <v>637.74857056454766</v>
      </c>
    </row>
    <row r="182" spans="10:10" x14ac:dyDescent="0.35">
      <c r="J182">
        <v>672.99993857016716</v>
      </c>
    </row>
    <row r="183" spans="10:10" x14ac:dyDescent="0.35">
      <c r="J183">
        <v>697.11632773592612</v>
      </c>
    </row>
    <row r="184" spans="10:10" x14ac:dyDescent="0.35">
      <c r="J184">
        <v>1872.644401598101</v>
      </c>
    </row>
    <row r="185" spans="10:10" x14ac:dyDescent="0.35">
      <c r="J185">
        <v>1904.0138290349701</v>
      </c>
    </row>
    <row r="186" spans="10:10" x14ac:dyDescent="0.35">
      <c r="J186">
        <v>1951.0986785898599</v>
      </c>
    </row>
    <row r="187" spans="10:10" x14ac:dyDescent="0.35">
      <c r="J187">
        <v>2039.620849712446</v>
      </c>
    </row>
    <row r="188" spans="10:10" x14ac:dyDescent="0.35">
      <c r="J188">
        <v>2135.286627523295</v>
      </c>
    </row>
    <row r="189" spans="10:10" x14ac:dyDescent="0.35">
      <c r="J189">
        <v>1635.517697833116</v>
      </c>
    </row>
    <row r="190" spans="10:10" x14ac:dyDescent="0.35">
      <c r="J190">
        <v>1816.502530221657</v>
      </c>
    </row>
    <row r="191" spans="10:10" x14ac:dyDescent="0.35">
      <c r="J191">
        <v>1896.257077346366</v>
      </c>
    </row>
    <row r="192" spans="10:10" x14ac:dyDescent="0.35">
      <c r="J192">
        <v>1944.2703893991811</v>
      </c>
    </row>
    <row r="193" spans="10:10" x14ac:dyDescent="0.35">
      <c r="J193">
        <v>1996.685743610652</v>
      </c>
    </row>
    <row r="194" spans="10:10" x14ac:dyDescent="0.35">
      <c r="J194">
        <v>22573.60087929005</v>
      </c>
    </row>
    <row r="195" spans="10:10" x14ac:dyDescent="0.35">
      <c r="J195">
        <v>21728.311822130261</v>
      </c>
    </row>
    <row r="196" spans="10:10" x14ac:dyDescent="0.35">
      <c r="J196">
        <v>22653.576726509811</v>
      </c>
    </row>
    <row r="197" spans="10:10" x14ac:dyDescent="0.35">
      <c r="J197">
        <v>23306.94556863268</v>
      </c>
    </row>
    <row r="198" spans="10:10" x14ac:dyDescent="0.35">
      <c r="J198">
        <v>24077.958697134891</v>
      </c>
    </row>
    <row r="199" spans="10:10" x14ac:dyDescent="0.35">
      <c r="J199">
        <v>18137.618117948168</v>
      </c>
    </row>
    <row r="200" spans="10:10" x14ac:dyDescent="0.35">
      <c r="J200">
        <v>26090.17828404723</v>
      </c>
    </row>
    <row r="201" spans="10:10" x14ac:dyDescent="0.35">
      <c r="J201">
        <v>23870.966438452881</v>
      </c>
    </row>
    <row r="202" spans="10:10" x14ac:dyDescent="0.35">
      <c r="J202">
        <v>24363.23630506156</v>
      </c>
    </row>
    <row r="203" spans="10:10" x14ac:dyDescent="0.35">
      <c r="J203">
        <v>25306.179957318091</v>
      </c>
    </row>
    <row r="206" spans="10:10" x14ac:dyDescent="0.35">
      <c r="J206">
        <v>1260.582016927367</v>
      </c>
    </row>
    <row r="207" spans="10:10" x14ac:dyDescent="0.35">
      <c r="J207">
        <v>1327.6504431284579</v>
      </c>
    </row>
    <row r="208" spans="10:10" x14ac:dyDescent="0.35">
      <c r="J208">
        <v>1424.176666959944</v>
      </c>
    </row>
    <row r="209" spans="10:10" x14ac:dyDescent="0.35">
      <c r="J209">
        <v>1597.551947895322</v>
      </c>
    </row>
    <row r="210" spans="10:10" x14ac:dyDescent="0.35">
      <c r="J210">
        <v>1730.867377726815</v>
      </c>
    </row>
    <row r="211" spans="10:10" x14ac:dyDescent="0.35">
      <c r="J211">
        <v>1641.4338307438461</v>
      </c>
    </row>
    <row r="212" spans="10:10" x14ac:dyDescent="0.35">
      <c r="J212">
        <v>1741.5715035000071</v>
      </c>
    </row>
    <row r="213" spans="10:10" x14ac:dyDescent="0.35">
      <c r="J213">
        <v>1681.2776035570771</v>
      </c>
    </row>
    <row r="214" spans="10:10" x14ac:dyDescent="0.35">
      <c r="J214">
        <v>1555.1807368526461</v>
      </c>
    </row>
    <row r="215" spans="10:10" x14ac:dyDescent="0.35">
      <c r="J215">
        <v>1643.589276722247</v>
      </c>
    </row>
    <row r="216" spans="10:10" x14ac:dyDescent="0.35">
      <c r="J216">
        <v>675.9085062929089</v>
      </c>
    </row>
    <row r="217" spans="10:10" x14ac:dyDescent="0.35">
      <c r="J217">
        <v>701.93827906522472</v>
      </c>
    </row>
    <row r="218" spans="10:10" x14ac:dyDescent="0.35">
      <c r="J218">
        <v>741.57743572772654</v>
      </c>
    </row>
    <row r="219" spans="10:10" x14ac:dyDescent="0.35">
      <c r="J219">
        <v>765.13866476289081</v>
      </c>
    </row>
    <row r="220" spans="10:10" x14ac:dyDescent="0.35">
      <c r="J220">
        <v>799.17217058085669</v>
      </c>
    </row>
    <row r="221" spans="10:10" x14ac:dyDescent="0.35">
      <c r="J221">
        <v>588.37462685936771</v>
      </c>
    </row>
    <row r="222" spans="10:10" x14ac:dyDescent="0.35">
      <c r="J222">
        <v>633.75468942277928</v>
      </c>
    </row>
    <row r="223" spans="10:10" x14ac:dyDescent="0.35">
      <c r="J223">
        <v>637.74857056454766</v>
      </c>
    </row>
    <row r="224" spans="10:10" x14ac:dyDescent="0.35">
      <c r="J224">
        <v>672.99993857016716</v>
      </c>
    </row>
    <row r="225" spans="10:10" x14ac:dyDescent="0.35">
      <c r="J225">
        <v>697.11632773592612</v>
      </c>
    </row>
    <row r="226" spans="10:10" x14ac:dyDescent="0.35">
      <c r="J226">
        <v>1872.644401598101</v>
      </c>
    </row>
    <row r="227" spans="10:10" x14ac:dyDescent="0.35">
      <c r="J227">
        <v>1904.0138290349689</v>
      </c>
    </row>
    <row r="228" spans="10:10" x14ac:dyDescent="0.35">
      <c r="J228">
        <v>1951.098678589859</v>
      </c>
    </row>
    <row r="229" spans="10:10" x14ac:dyDescent="0.35">
      <c r="J229">
        <v>2039.620849712446</v>
      </c>
    </row>
    <row r="230" spans="10:10" x14ac:dyDescent="0.35">
      <c r="J230">
        <v>2135.286627523295</v>
      </c>
    </row>
    <row r="231" spans="10:10" x14ac:dyDescent="0.35">
      <c r="J231">
        <v>1635.517697833116</v>
      </c>
    </row>
    <row r="232" spans="10:10" x14ac:dyDescent="0.35">
      <c r="J232">
        <v>1816.502530221657</v>
      </c>
    </row>
    <row r="233" spans="10:10" x14ac:dyDescent="0.35">
      <c r="J233">
        <v>1896.257077346366</v>
      </c>
    </row>
    <row r="234" spans="10:10" x14ac:dyDescent="0.35">
      <c r="J234">
        <v>1944.2703893991811</v>
      </c>
    </row>
    <row r="235" spans="10:10" x14ac:dyDescent="0.35">
      <c r="J235">
        <v>1996.685743610652</v>
      </c>
    </row>
    <row r="236" spans="10:10" x14ac:dyDescent="0.35">
      <c r="J236">
        <v>27657.149108257989</v>
      </c>
    </row>
    <row r="237" spans="10:10" x14ac:dyDescent="0.35">
      <c r="J237">
        <v>25306.126266214571</v>
      </c>
    </row>
    <row r="238" spans="10:10" x14ac:dyDescent="0.35">
      <c r="J238">
        <v>28611.535767046818</v>
      </c>
    </row>
    <row r="239" spans="10:10" x14ac:dyDescent="0.35">
      <c r="J239">
        <v>29990.786614381032</v>
      </c>
    </row>
    <row r="240" spans="10:10" x14ac:dyDescent="0.35">
      <c r="J240">
        <v>31276.330928186992</v>
      </c>
    </row>
    <row r="241" spans="10:10" x14ac:dyDescent="0.35">
      <c r="J241">
        <v>7396.4911428977302</v>
      </c>
    </row>
    <row r="242" spans="10:10" x14ac:dyDescent="0.35">
      <c r="J242">
        <v>7093.4356303884106</v>
      </c>
    </row>
    <row r="243" spans="10:10" x14ac:dyDescent="0.35">
      <c r="J243">
        <v>6012.0832533333714</v>
      </c>
    </row>
    <row r="244" spans="10:10" x14ac:dyDescent="0.35">
      <c r="J244">
        <v>6316.7030319387914</v>
      </c>
    </row>
    <row r="245" spans="10:10" x14ac:dyDescent="0.35">
      <c r="J245">
        <v>6719.1264857276856</v>
      </c>
    </row>
    <row r="248" spans="10:10" x14ac:dyDescent="0.35">
      <c r="J248">
        <v>173</v>
      </c>
    </row>
    <row r="249" spans="10:10" x14ac:dyDescent="0.35">
      <c r="J249">
        <v>0</v>
      </c>
    </row>
    <row r="250" spans="10:10" x14ac:dyDescent="0.35">
      <c r="J250">
        <v>192</v>
      </c>
    </row>
    <row r="251" spans="10:10" x14ac:dyDescent="0.35">
      <c r="J251">
        <v>0</v>
      </c>
    </row>
    <row r="252" spans="10:10" x14ac:dyDescent="0.35">
      <c r="J252">
        <v>146</v>
      </c>
    </row>
    <row r="253" spans="10:10" x14ac:dyDescent="0.35">
      <c r="J253">
        <v>0</v>
      </c>
    </row>
    <row r="254" spans="10:10" x14ac:dyDescent="0.35">
      <c r="J254">
        <v>14</v>
      </c>
    </row>
    <row r="255" spans="10:10" x14ac:dyDescent="0.35">
      <c r="J255">
        <v>0</v>
      </c>
    </row>
    <row r="256" spans="10:10" x14ac:dyDescent="0.35">
      <c r="J256">
        <v>20</v>
      </c>
    </row>
    <row r="257" spans="10:10" x14ac:dyDescent="0.35">
      <c r="J257">
        <v>0</v>
      </c>
    </row>
    <row r="258" spans="10:10" x14ac:dyDescent="0.35">
      <c r="J258">
        <v>64</v>
      </c>
    </row>
    <row r="259" spans="10:10" x14ac:dyDescent="0.35">
      <c r="J259">
        <v>0</v>
      </c>
    </row>
    <row r="260" spans="10:10" x14ac:dyDescent="0.35">
      <c r="J260">
        <v>12</v>
      </c>
    </row>
    <row r="261" spans="10:10" x14ac:dyDescent="0.35">
      <c r="J261">
        <v>0</v>
      </c>
    </row>
    <row r="262" spans="10:10" x14ac:dyDescent="0.35">
      <c r="J262">
        <v>20</v>
      </c>
    </row>
    <row r="263" spans="10:10" x14ac:dyDescent="0.35">
      <c r="J263">
        <v>0</v>
      </c>
    </row>
    <row r="264" spans="10:10" x14ac:dyDescent="0.35">
      <c r="J264">
        <v>193</v>
      </c>
    </row>
    <row r="265" spans="10:10" x14ac:dyDescent="0.35">
      <c r="J265">
        <v>0</v>
      </c>
    </row>
    <row r="266" spans="10:10" x14ac:dyDescent="0.35">
      <c r="J266">
        <v>256</v>
      </c>
    </row>
    <row r="267" spans="10:10" x14ac:dyDescent="0.35">
      <c r="J267">
        <v>0</v>
      </c>
    </row>
    <row r="268" spans="10:10" x14ac:dyDescent="0.35">
      <c r="J268">
        <v>158</v>
      </c>
    </row>
    <row r="269" spans="10:10" x14ac:dyDescent="0.35">
      <c r="J269">
        <v>0</v>
      </c>
    </row>
    <row r="270" spans="10:10" x14ac:dyDescent="0.35">
      <c r="J270">
        <v>34</v>
      </c>
    </row>
    <row r="271" spans="10:10" x14ac:dyDescent="0.35">
      <c r="J271">
        <v>0</v>
      </c>
    </row>
    <row r="274" spans="10:10" x14ac:dyDescent="0.35">
      <c r="J274">
        <v>173</v>
      </c>
    </row>
    <row r="275" spans="10:10" x14ac:dyDescent="0.35">
      <c r="J275">
        <v>0</v>
      </c>
    </row>
    <row r="276" spans="10:10" x14ac:dyDescent="0.35">
      <c r="J276">
        <v>192</v>
      </c>
    </row>
    <row r="277" spans="10:10" x14ac:dyDescent="0.35">
      <c r="J277">
        <v>0</v>
      </c>
    </row>
    <row r="278" spans="10:10" x14ac:dyDescent="0.35">
      <c r="J278">
        <v>146</v>
      </c>
    </row>
    <row r="279" spans="10:10" x14ac:dyDescent="0.35">
      <c r="J279">
        <v>0</v>
      </c>
    </row>
    <row r="280" spans="10:10" x14ac:dyDescent="0.35">
      <c r="J280">
        <v>8</v>
      </c>
    </row>
    <row r="281" spans="10:10" x14ac:dyDescent="0.35">
      <c r="J281">
        <v>0</v>
      </c>
    </row>
    <row r="282" spans="10:10" x14ac:dyDescent="0.35">
      <c r="J282">
        <v>20</v>
      </c>
    </row>
    <row r="283" spans="10:10" x14ac:dyDescent="0.35">
      <c r="J283">
        <v>0</v>
      </c>
    </row>
    <row r="284" spans="10:10" x14ac:dyDescent="0.35">
      <c r="J284">
        <v>64</v>
      </c>
    </row>
    <row r="285" spans="10:10" x14ac:dyDescent="0.35">
      <c r="J285">
        <v>0</v>
      </c>
    </row>
    <row r="286" spans="10:10" x14ac:dyDescent="0.35">
      <c r="J286">
        <v>12</v>
      </c>
    </row>
    <row r="287" spans="10:10" x14ac:dyDescent="0.35">
      <c r="J287">
        <v>0</v>
      </c>
    </row>
    <row r="288" spans="10:10" x14ac:dyDescent="0.35">
      <c r="J288">
        <v>6</v>
      </c>
    </row>
    <row r="289" spans="10:10" x14ac:dyDescent="0.35">
      <c r="J289">
        <v>0</v>
      </c>
    </row>
    <row r="290" spans="10:10" x14ac:dyDescent="0.35">
      <c r="J290">
        <v>193</v>
      </c>
    </row>
    <row r="291" spans="10:10" x14ac:dyDescent="0.35">
      <c r="J291">
        <v>0</v>
      </c>
    </row>
    <row r="292" spans="10:10" x14ac:dyDescent="0.35">
      <c r="J292">
        <v>256</v>
      </c>
    </row>
    <row r="293" spans="10:10" x14ac:dyDescent="0.35">
      <c r="J293">
        <v>0</v>
      </c>
    </row>
    <row r="294" spans="10:10" x14ac:dyDescent="0.35">
      <c r="J294">
        <v>158</v>
      </c>
    </row>
    <row r="295" spans="10:10" x14ac:dyDescent="0.35">
      <c r="J295">
        <v>0</v>
      </c>
    </row>
    <row r="296" spans="10:10" x14ac:dyDescent="0.35">
      <c r="J296">
        <v>14</v>
      </c>
    </row>
    <row r="297" spans="10:10" x14ac:dyDescent="0.35">
      <c r="J297">
        <v>0</v>
      </c>
    </row>
    <row r="300" spans="10:10" x14ac:dyDescent="0.35">
      <c r="J300">
        <v>1203.2979933898571</v>
      </c>
    </row>
    <row r="301" spans="10:10" x14ac:dyDescent="0.35">
      <c r="J301">
        <v>0</v>
      </c>
    </row>
    <row r="302" spans="10:10" x14ac:dyDescent="0.35">
      <c r="J302">
        <v>623.59754614035285</v>
      </c>
    </row>
    <row r="303" spans="10:10" x14ac:dyDescent="0.35">
      <c r="J303">
        <v>0</v>
      </c>
    </row>
    <row r="304" spans="10:10" x14ac:dyDescent="0.35">
      <c r="J304">
        <v>1870.0006196008969</v>
      </c>
    </row>
    <row r="305" spans="10:10" x14ac:dyDescent="0.35">
      <c r="J305">
        <v>0</v>
      </c>
    </row>
    <row r="306" spans="10:10" x14ac:dyDescent="0.35">
      <c r="J306">
        <v>13215.92278180804</v>
      </c>
    </row>
    <row r="307" spans="10:10" x14ac:dyDescent="0.35">
      <c r="J307">
        <v>0</v>
      </c>
    </row>
    <row r="308" spans="10:10" x14ac:dyDescent="0.35">
      <c r="J308">
        <v>737.4659804344177</v>
      </c>
    </row>
    <row r="309" spans="10:10" x14ac:dyDescent="0.35">
      <c r="J309">
        <v>0</v>
      </c>
    </row>
    <row r="310" spans="10:10" x14ac:dyDescent="0.35">
      <c r="J310">
        <v>665.04691880941391</v>
      </c>
    </row>
    <row r="311" spans="10:10" x14ac:dyDescent="0.35">
      <c r="J311">
        <v>0</v>
      </c>
    </row>
    <row r="312" spans="10:10" x14ac:dyDescent="0.35">
      <c r="J312">
        <v>1052.840006510417</v>
      </c>
    </row>
    <row r="313" spans="10:10" x14ac:dyDescent="0.35">
      <c r="J313">
        <v>0</v>
      </c>
    </row>
    <row r="314" spans="10:10" x14ac:dyDescent="0.35">
      <c r="J314">
        <v>26030.743847656249</v>
      </c>
    </row>
    <row r="315" spans="10:10" x14ac:dyDescent="0.35">
      <c r="J315">
        <v>0</v>
      </c>
    </row>
    <row r="316" spans="10:10" x14ac:dyDescent="0.35">
      <c r="J316">
        <v>1155.0252459333351</v>
      </c>
    </row>
    <row r="317" spans="10:10" x14ac:dyDescent="0.35">
      <c r="J317">
        <v>0</v>
      </c>
    </row>
    <row r="318" spans="10:10" x14ac:dyDescent="0.35">
      <c r="J318">
        <v>633.95988930761814</v>
      </c>
    </row>
    <row r="319" spans="10:10" x14ac:dyDescent="0.35">
      <c r="J319">
        <v>0</v>
      </c>
    </row>
    <row r="320" spans="10:10" x14ac:dyDescent="0.35">
      <c r="J320">
        <v>1807.9377882269359</v>
      </c>
    </row>
    <row r="321" spans="10:10" x14ac:dyDescent="0.35">
      <c r="J321">
        <v>0</v>
      </c>
    </row>
    <row r="322" spans="10:10" x14ac:dyDescent="0.35">
      <c r="J322">
        <v>20754.052820542282</v>
      </c>
    </row>
    <row r="323" spans="10:10" x14ac:dyDescent="0.35">
      <c r="J323">
        <v>0</v>
      </c>
    </row>
    <row r="326" spans="10:10" x14ac:dyDescent="0.35">
      <c r="J326">
        <v>1203.2979933898571</v>
      </c>
    </row>
    <row r="327" spans="10:10" x14ac:dyDescent="0.35">
      <c r="J327">
        <v>0</v>
      </c>
    </row>
    <row r="328" spans="10:10" x14ac:dyDescent="0.35">
      <c r="J328">
        <v>623.59754614035285</v>
      </c>
    </row>
    <row r="329" spans="10:10" x14ac:dyDescent="0.35">
      <c r="J329">
        <v>0</v>
      </c>
    </row>
    <row r="330" spans="10:10" x14ac:dyDescent="0.35">
      <c r="J330">
        <v>1870.0006196008969</v>
      </c>
    </row>
    <row r="331" spans="10:10" x14ac:dyDescent="0.35">
      <c r="J331">
        <v>0</v>
      </c>
    </row>
    <row r="332" spans="10:10" x14ac:dyDescent="0.35">
      <c r="J332">
        <v>14623.809692382811</v>
      </c>
    </row>
    <row r="333" spans="10:10" x14ac:dyDescent="0.35">
      <c r="J333">
        <v>0</v>
      </c>
    </row>
    <row r="334" spans="10:10" x14ac:dyDescent="0.35">
      <c r="J334">
        <v>737.4659804344177</v>
      </c>
    </row>
    <row r="335" spans="10:10" x14ac:dyDescent="0.35">
      <c r="J335">
        <v>0</v>
      </c>
    </row>
    <row r="336" spans="10:10" x14ac:dyDescent="0.35">
      <c r="J336">
        <v>665.04691880941391</v>
      </c>
    </row>
    <row r="337" spans="10:10" x14ac:dyDescent="0.35">
      <c r="J337">
        <v>0</v>
      </c>
    </row>
    <row r="338" spans="10:10" x14ac:dyDescent="0.35">
      <c r="J338">
        <v>1052.840006510417</v>
      </c>
    </row>
    <row r="339" spans="10:10" x14ac:dyDescent="0.35">
      <c r="J339">
        <v>0</v>
      </c>
    </row>
    <row r="340" spans="10:10" x14ac:dyDescent="0.35">
      <c r="J340">
        <v>40258.972819010407</v>
      </c>
    </row>
    <row r="341" spans="10:10" x14ac:dyDescent="0.35">
      <c r="J341">
        <v>0</v>
      </c>
    </row>
    <row r="342" spans="10:10" x14ac:dyDescent="0.35">
      <c r="J342">
        <v>1155.0252459333351</v>
      </c>
    </row>
    <row r="343" spans="10:10" x14ac:dyDescent="0.35">
      <c r="J343">
        <v>0</v>
      </c>
    </row>
    <row r="344" spans="10:10" x14ac:dyDescent="0.35">
      <c r="J344">
        <v>633.95988930761814</v>
      </c>
    </row>
    <row r="345" spans="10:10" x14ac:dyDescent="0.35">
      <c r="J345">
        <v>0</v>
      </c>
    </row>
    <row r="346" spans="10:10" x14ac:dyDescent="0.35">
      <c r="J346">
        <v>1807.9377882269359</v>
      </c>
    </row>
    <row r="347" spans="10:10" x14ac:dyDescent="0.35">
      <c r="J347">
        <v>0</v>
      </c>
    </row>
    <row r="348" spans="10:10" x14ac:dyDescent="0.35">
      <c r="J348">
        <v>25610.30817522321</v>
      </c>
    </row>
    <row r="349" spans="10:10" x14ac:dyDescent="0.35">
      <c r="J349">
        <v>0</v>
      </c>
    </row>
    <row r="352" spans="10:10" x14ac:dyDescent="0.35">
      <c r="J352">
        <v>235.78128211946549</v>
      </c>
    </row>
    <row r="353" spans="10:10" x14ac:dyDescent="0.35">
      <c r="J353">
        <v>277.40525395814967</v>
      </c>
    </row>
    <row r="354" spans="10:10" x14ac:dyDescent="0.35">
      <c r="J354">
        <v>354.9865336887749</v>
      </c>
    </row>
    <row r="355" spans="10:10" x14ac:dyDescent="0.35">
      <c r="J355">
        <v>447.11373677000569</v>
      </c>
    </row>
    <row r="356" spans="10:10" x14ac:dyDescent="0.35">
      <c r="J356">
        <v>510.15447373824873</v>
      </c>
    </row>
    <row r="357" spans="10:10" x14ac:dyDescent="0.35">
      <c r="J357">
        <v>105.7484828645251</v>
      </c>
    </row>
    <row r="358" spans="10:10" x14ac:dyDescent="0.35">
      <c r="J358">
        <v>116.76553114568991</v>
      </c>
    </row>
    <row r="359" spans="10:10" x14ac:dyDescent="0.35">
      <c r="J359">
        <v>152.90879337611861</v>
      </c>
    </row>
    <row r="360" spans="10:10" x14ac:dyDescent="0.35">
      <c r="J360">
        <v>161.14844980245499</v>
      </c>
    </row>
    <row r="361" spans="10:10" x14ac:dyDescent="0.35">
      <c r="J361">
        <v>172.14172934545141</v>
      </c>
    </row>
    <row r="362" spans="10:10" x14ac:dyDescent="0.35">
      <c r="J362">
        <v>160.84388264225061</v>
      </c>
    </row>
    <row r="363" spans="10:10" x14ac:dyDescent="0.35">
      <c r="J363">
        <v>182.35807297127289</v>
      </c>
    </row>
    <row r="364" spans="10:10" x14ac:dyDescent="0.35">
      <c r="J364">
        <v>237.39395202746169</v>
      </c>
    </row>
    <row r="365" spans="10:10" x14ac:dyDescent="0.35">
      <c r="J365">
        <v>278.33794179383131</v>
      </c>
    </row>
    <row r="366" spans="10:10" x14ac:dyDescent="0.35">
      <c r="J366">
        <v>306.66352294257081</v>
      </c>
    </row>
    <row r="367" spans="10:10" x14ac:dyDescent="0.35">
      <c r="J367">
        <v>59.517476803848503</v>
      </c>
    </row>
    <row r="368" spans="10:10" x14ac:dyDescent="0.35">
      <c r="J368">
        <v>76.61770850774063</v>
      </c>
    </row>
    <row r="369" spans="10:10" x14ac:dyDescent="0.35">
      <c r="J369">
        <v>95.758544811327212</v>
      </c>
    </row>
    <row r="370" spans="10:10" x14ac:dyDescent="0.35">
      <c r="J370">
        <v>104.91185547724371</v>
      </c>
    </row>
    <row r="371" spans="10:10" x14ac:dyDescent="0.35">
      <c r="J371">
        <v>113.0486101803218</v>
      </c>
    </row>
    <row r="374" spans="10:10" x14ac:dyDescent="0.35">
      <c r="J374">
        <v>0</v>
      </c>
    </row>
    <row r="375" spans="10:10" x14ac:dyDescent="0.35">
      <c r="J375">
        <v>0</v>
      </c>
    </row>
    <row r="376" spans="10:10" x14ac:dyDescent="0.35">
      <c r="J376">
        <v>0</v>
      </c>
    </row>
    <row r="377" spans="10:10" x14ac:dyDescent="0.35">
      <c r="J377">
        <v>0</v>
      </c>
    </row>
    <row r="378" spans="10:10" x14ac:dyDescent="0.35">
      <c r="J378">
        <v>0</v>
      </c>
    </row>
    <row r="379" spans="10:10" x14ac:dyDescent="0.35">
      <c r="J379">
        <v>0</v>
      </c>
    </row>
    <row r="380" spans="10:10" x14ac:dyDescent="0.35">
      <c r="J380">
        <v>0</v>
      </c>
    </row>
    <row r="381" spans="10:10" x14ac:dyDescent="0.35">
      <c r="J381">
        <v>0</v>
      </c>
    </row>
    <row r="382" spans="10:10" x14ac:dyDescent="0.35">
      <c r="J382">
        <v>0</v>
      </c>
    </row>
    <row r="383" spans="10:10" x14ac:dyDescent="0.35">
      <c r="J383">
        <v>0</v>
      </c>
    </row>
    <row r="384" spans="10:10" x14ac:dyDescent="0.35">
      <c r="J384">
        <v>0</v>
      </c>
    </row>
    <row r="385" spans="10:10" x14ac:dyDescent="0.35">
      <c r="J385">
        <v>0</v>
      </c>
    </row>
    <row r="386" spans="10:10" x14ac:dyDescent="0.35">
      <c r="J386">
        <v>0</v>
      </c>
    </row>
    <row r="387" spans="10:10" x14ac:dyDescent="0.35">
      <c r="J387">
        <v>0</v>
      </c>
    </row>
    <row r="388" spans="10:10" x14ac:dyDescent="0.35">
      <c r="J388">
        <v>0</v>
      </c>
    </row>
    <row r="389" spans="10:10" x14ac:dyDescent="0.35">
      <c r="J389">
        <v>0</v>
      </c>
    </row>
    <row r="390" spans="10:10" x14ac:dyDescent="0.35">
      <c r="J390">
        <v>0</v>
      </c>
    </row>
    <row r="391" spans="10:10" x14ac:dyDescent="0.35">
      <c r="J391">
        <v>0</v>
      </c>
    </row>
    <row r="392" spans="10:10" x14ac:dyDescent="0.35">
      <c r="J392">
        <v>0</v>
      </c>
    </row>
    <row r="393" spans="10:10" x14ac:dyDescent="0.35">
      <c r="J393">
        <v>0</v>
      </c>
    </row>
    <row r="396" spans="10:10" x14ac:dyDescent="0.35">
      <c r="J396">
        <v>0</v>
      </c>
    </row>
    <row r="397" spans="10:10" x14ac:dyDescent="0.35">
      <c r="J397">
        <v>0</v>
      </c>
    </row>
    <row r="398" spans="10:10" x14ac:dyDescent="0.35">
      <c r="J398">
        <v>0</v>
      </c>
    </row>
    <row r="399" spans="10:10" x14ac:dyDescent="0.35">
      <c r="J399">
        <v>0</v>
      </c>
    </row>
    <row r="400" spans="10:10" x14ac:dyDescent="0.35">
      <c r="J400">
        <v>0</v>
      </c>
    </row>
    <row r="401" spans="10:10" x14ac:dyDescent="0.35">
      <c r="J401">
        <v>3.8807734131455968E-2</v>
      </c>
    </row>
    <row r="402" spans="10:10" x14ac:dyDescent="0.35">
      <c r="J402">
        <v>0</v>
      </c>
    </row>
    <row r="403" spans="10:10" x14ac:dyDescent="0.35">
      <c r="J403">
        <v>0</v>
      </c>
    </row>
    <row r="404" spans="10:10" x14ac:dyDescent="0.35">
      <c r="J404">
        <v>0</v>
      </c>
    </row>
    <row r="405" spans="10:10" x14ac:dyDescent="0.35">
      <c r="J405">
        <v>0</v>
      </c>
    </row>
    <row r="406" spans="10:10" x14ac:dyDescent="0.35">
      <c r="J406">
        <v>0.40282239865716968</v>
      </c>
    </row>
    <row r="407" spans="10:10" x14ac:dyDescent="0.35">
      <c r="J407">
        <v>0</v>
      </c>
    </row>
    <row r="408" spans="10:10" x14ac:dyDescent="0.35">
      <c r="J408">
        <v>0</v>
      </c>
    </row>
    <row r="409" spans="10:10" x14ac:dyDescent="0.35">
      <c r="J409">
        <v>0</v>
      </c>
    </row>
    <row r="410" spans="10:10" x14ac:dyDescent="0.35">
      <c r="J410">
        <v>0</v>
      </c>
    </row>
    <row r="411" spans="10:10" x14ac:dyDescent="0.35">
      <c r="J411">
        <v>0</v>
      </c>
    </row>
    <row r="412" spans="10:10" x14ac:dyDescent="0.35">
      <c r="J412">
        <v>0</v>
      </c>
    </row>
    <row r="413" spans="10:10" x14ac:dyDescent="0.35">
      <c r="J413">
        <v>0</v>
      </c>
    </row>
    <row r="414" spans="10:10" x14ac:dyDescent="0.35">
      <c r="J414">
        <v>0</v>
      </c>
    </row>
    <row r="415" spans="10:10" x14ac:dyDescent="0.35">
      <c r="J415">
        <v>0</v>
      </c>
    </row>
    <row r="418" spans="10:10" x14ac:dyDescent="0.35">
      <c r="J418">
        <v>0.27644747297177907</v>
      </c>
    </row>
    <row r="419" spans="10:10" x14ac:dyDescent="0.35">
      <c r="J419">
        <v>0.41866876626435162</v>
      </c>
    </row>
    <row r="420" spans="10:10" x14ac:dyDescent="0.35">
      <c r="J420">
        <v>0.64168076788022677</v>
      </c>
    </row>
    <row r="421" spans="10:10" x14ac:dyDescent="0.35">
      <c r="J421">
        <v>1.1301651249664291</v>
      </c>
    </row>
    <row r="422" spans="10:10" x14ac:dyDescent="0.35">
      <c r="J422">
        <v>2.0176913662637368</v>
      </c>
    </row>
    <row r="423" spans="10:10" x14ac:dyDescent="0.35">
      <c r="J423">
        <v>0.52670112432858984</v>
      </c>
    </row>
    <row r="424" spans="10:10" x14ac:dyDescent="0.35">
      <c r="J424">
        <v>0.337945033643482</v>
      </c>
    </row>
    <row r="425" spans="10:10" x14ac:dyDescent="0.35">
      <c r="J425">
        <v>0.190823903672386</v>
      </c>
    </row>
    <row r="426" spans="10:10" x14ac:dyDescent="0.35">
      <c r="J426">
        <v>9.1834622267633226E-2</v>
      </c>
    </row>
    <row r="427" spans="10:10" x14ac:dyDescent="0.35">
      <c r="J427">
        <v>0.10621898612555621</v>
      </c>
    </row>
    <row r="428" spans="10:10" x14ac:dyDescent="0.35">
      <c r="J428">
        <v>0.91692659014270983</v>
      </c>
    </row>
    <row r="429" spans="10:10" x14ac:dyDescent="0.35">
      <c r="J429">
        <v>0.56663157888062587</v>
      </c>
    </row>
    <row r="430" spans="10:10" x14ac:dyDescent="0.35">
      <c r="J430">
        <v>0.71926265132429346</v>
      </c>
    </row>
    <row r="431" spans="10:10" x14ac:dyDescent="0.35">
      <c r="J431">
        <v>0.79960062910024621</v>
      </c>
    </row>
    <row r="432" spans="10:10" x14ac:dyDescent="0.35">
      <c r="J432">
        <v>0.86680033829977721</v>
      </c>
    </row>
    <row r="433" spans="10:10" x14ac:dyDescent="0.35">
      <c r="J433">
        <v>5.8464271301257584</v>
      </c>
    </row>
    <row r="434" spans="10:10" x14ac:dyDescent="0.35">
      <c r="J434">
        <v>7.1759125442290959</v>
      </c>
    </row>
    <row r="435" spans="10:10" x14ac:dyDescent="0.35">
      <c r="J435">
        <v>8.5295590997060362</v>
      </c>
    </row>
    <row r="436" spans="10:10" x14ac:dyDescent="0.35">
      <c r="J436">
        <v>9.0140553698429127</v>
      </c>
    </row>
    <row r="437" spans="10:10" x14ac:dyDescent="0.35">
      <c r="J437">
        <v>9.4095757434225025</v>
      </c>
    </row>
    <row r="440" spans="10:10" x14ac:dyDescent="0.35">
      <c r="J440">
        <v>236.05772959243731</v>
      </c>
    </row>
    <row r="441" spans="10:10" x14ac:dyDescent="0.35">
      <c r="J441">
        <v>277.82392272441399</v>
      </c>
    </row>
    <row r="442" spans="10:10" x14ac:dyDescent="0.35">
      <c r="J442">
        <v>355.62821445665509</v>
      </c>
    </row>
    <row r="443" spans="10:10" x14ac:dyDescent="0.35">
      <c r="J443">
        <v>448.24390189497223</v>
      </c>
    </row>
    <row r="444" spans="10:10" x14ac:dyDescent="0.35">
      <c r="J444">
        <v>512.17216510451249</v>
      </c>
    </row>
    <row r="445" spans="10:10" x14ac:dyDescent="0.35">
      <c r="J445">
        <v>106.31399172298509</v>
      </c>
    </row>
    <row r="446" spans="10:10" x14ac:dyDescent="0.35">
      <c r="J446">
        <v>117.1034761793334</v>
      </c>
    </row>
    <row r="447" spans="10:10" x14ac:dyDescent="0.35">
      <c r="J447">
        <v>153.099617279791</v>
      </c>
    </row>
    <row r="448" spans="10:10" x14ac:dyDescent="0.35">
      <c r="J448">
        <v>161.2402844247226</v>
      </c>
    </row>
    <row r="449" spans="10:10" x14ac:dyDescent="0.35">
      <c r="J449">
        <v>172.24794833157691</v>
      </c>
    </row>
    <row r="450" spans="10:10" x14ac:dyDescent="0.35">
      <c r="J450">
        <v>162.16363163105049</v>
      </c>
    </row>
    <row r="451" spans="10:10" x14ac:dyDescent="0.35">
      <c r="J451">
        <v>182.92470455015351</v>
      </c>
    </row>
    <row r="452" spans="10:10" x14ac:dyDescent="0.35">
      <c r="J452">
        <v>238.11321467878599</v>
      </c>
    </row>
    <row r="453" spans="10:10" x14ac:dyDescent="0.35">
      <c r="J453">
        <v>279.13754242293157</v>
      </c>
    </row>
    <row r="454" spans="10:10" x14ac:dyDescent="0.35">
      <c r="J454">
        <v>307.53032328087062</v>
      </c>
    </row>
    <row r="455" spans="10:10" x14ac:dyDescent="0.35">
      <c r="J455">
        <v>65.363903933974257</v>
      </c>
    </row>
    <row r="456" spans="10:10" x14ac:dyDescent="0.35">
      <c r="J456">
        <v>83.793621051969723</v>
      </c>
    </row>
    <row r="457" spans="10:10" x14ac:dyDescent="0.35">
      <c r="J457">
        <v>104.2881039110332</v>
      </c>
    </row>
    <row r="458" spans="10:10" x14ac:dyDescent="0.35">
      <c r="J458">
        <v>113.9259108470866</v>
      </c>
    </row>
    <row r="459" spans="10:10" x14ac:dyDescent="0.35">
      <c r="J459">
        <v>122.4581859237443</v>
      </c>
    </row>
    <row r="462" spans="10:10" x14ac:dyDescent="0.35">
      <c r="J462">
        <v>0</v>
      </c>
    </row>
    <row r="463" spans="10:10" x14ac:dyDescent="0.35">
      <c r="J463">
        <v>0</v>
      </c>
    </row>
    <row r="464" spans="10:10" x14ac:dyDescent="0.35">
      <c r="J464">
        <v>0</v>
      </c>
    </row>
    <row r="465" spans="10:10" x14ac:dyDescent="0.35">
      <c r="J465">
        <v>0</v>
      </c>
    </row>
    <row r="466" spans="10:10" x14ac:dyDescent="0.35">
      <c r="J466">
        <v>0</v>
      </c>
    </row>
    <row r="467" spans="10:10" x14ac:dyDescent="0.35">
      <c r="J467">
        <v>0</v>
      </c>
    </row>
    <row r="468" spans="10:10" x14ac:dyDescent="0.35">
      <c r="J468">
        <v>0</v>
      </c>
    </row>
    <row r="469" spans="10:10" x14ac:dyDescent="0.35">
      <c r="J469">
        <v>0</v>
      </c>
    </row>
    <row r="470" spans="10:10" x14ac:dyDescent="0.35">
      <c r="J470">
        <v>0</v>
      </c>
    </row>
    <row r="471" spans="10:10" x14ac:dyDescent="0.35">
      <c r="J471">
        <v>0</v>
      </c>
    </row>
    <row r="472" spans="10:10" x14ac:dyDescent="0.35">
      <c r="J472">
        <v>0</v>
      </c>
    </row>
    <row r="473" spans="10:10" x14ac:dyDescent="0.35">
      <c r="J473">
        <v>0</v>
      </c>
    </row>
    <row r="474" spans="10:10" x14ac:dyDescent="0.35">
      <c r="J474">
        <v>0</v>
      </c>
    </row>
    <row r="475" spans="10:10" x14ac:dyDescent="0.35">
      <c r="J475">
        <v>0</v>
      </c>
    </row>
    <row r="476" spans="10:10" x14ac:dyDescent="0.35">
      <c r="J476">
        <v>0</v>
      </c>
    </row>
    <row r="477" spans="10:10" x14ac:dyDescent="0.35">
      <c r="J477">
        <v>0</v>
      </c>
    </row>
    <row r="478" spans="10:10" x14ac:dyDescent="0.35">
      <c r="J478">
        <v>0</v>
      </c>
    </row>
    <row r="479" spans="10:10" x14ac:dyDescent="0.35">
      <c r="J479">
        <v>0</v>
      </c>
    </row>
    <row r="480" spans="10:10" x14ac:dyDescent="0.35">
      <c r="J480">
        <v>0</v>
      </c>
    </row>
    <row r="481" spans="10:10" x14ac:dyDescent="0.35">
      <c r="J481">
        <v>0</v>
      </c>
    </row>
    <row r="484" spans="10:10" x14ac:dyDescent="0.35">
      <c r="J484">
        <v>87044.396578999862</v>
      </c>
    </row>
    <row r="485" spans="10:10" x14ac:dyDescent="0.35">
      <c r="J485">
        <v>98221.214034416145</v>
      </c>
    </row>
    <row r="486" spans="10:10" x14ac:dyDescent="0.35">
      <c r="J486">
        <v>118074.6446467027</v>
      </c>
    </row>
    <row r="487" spans="10:10" x14ac:dyDescent="0.35">
      <c r="J487">
        <v>143792.8567846877</v>
      </c>
    </row>
    <row r="488" spans="10:10" x14ac:dyDescent="0.35">
      <c r="J488">
        <v>167985.46862464299</v>
      </c>
    </row>
    <row r="489" spans="10:10" x14ac:dyDescent="0.35">
      <c r="J489">
        <v>51510.468961655613</v>
      </c>
    </row>
    <row r="490" spans="10:10" x14ac:dyDescent="0.35">
      <c r="J490">
        <v>45683.408205264946</v>
      </c>
    </row>
    <row r="491" spans="10:10" x14ac:dyDescent="0.35">
      <c r="J491">
        <v>48343.572274776132</v>
      </c>
    </row>
    <row r="492" spans="10:10" x14ac:dyDescent="0.35">
      <c r="J492">
        <v>48057.818277028433</v>
      </c>
    </row>
    <row r="493" spans="10:10" x14ac:dyDescent="0.35">
      <c r="J493">
        <v>47697.935757245759</v>
      </c>
    </row>
    <row r="494" spans="10:10" x14ac:dyDescent="0.35">
      <c r="J494">
        <v>41103.103715362842</v>
      </c>
    </row>
    <row r="495" spans="10:10" x14ac:dyDescent="0.35">
      <c r="J495">
        <v>36865.065927803887</v>
      </c>
    </row>
    <row r="496" spans="10:10" x14ac:dyDescent="0.35">
      <c r="J496">
        <v>41841.64950422672</v>
      </c>
    </row>
    <row r="497" spans="10:10" x14ac:dyDescent="0.35">
      <c r="J497">
        <v>47635.207209539811</v>
      </c>
    </row>
    <row r="498" spans="10:10" x14ac:dyDescent="0.35">
      <c r="J498">
        <v>52780.077147786833</v>
      </c>
    </row>
    <row r="499" spans="10:10" x14ac:dyDescent="0.35">
      <c r="J499">
        <v>4418.0147400046053</v>
      </c>
    </row>
    <row r="500" spans="10:10" x14ac:dyDescent="0.35">
      <c r="J500">
        <v>4765.8108772309597</v>
      </c>
    </row>
    <row r="501" spans="10:10" x14ac:dyDescent="0.35">
      <c r="J501">
        <v>5168.9809071332093</v>
      </c>
    </row>
    <row r="502" spans="10:10" x14ac:dyDescent="0.35">
      <c r="J502">
        <v>5552.0482186970976</v>
      </c>
    </row>
    <row r="503" spans="10:10" x14ac:dyDescent="0.35">
      <c r="J503">
        <v>5959.0229582589609</v>
      </c>
    </row>
    <row r="506" spans="10:10" x14ac:dyDescent="0.35">
      <c r="J506">
        <v>0</v>
      </c>
    </row>
    <row r="507" spans="10:10" x14ac:dyDescent="0.35">
      <c r="J507">
        <v>0</v>
      </c>
    </row>
    <row r="508" spans="10:10" x14ac:dyDescent="0.35">
      <c r="J508">
        <v>0</v>
      </c>
    </row>
    <row r="509" spans="10:10" x14ac:dyDescent="0.35">
      <c r="J509">
        <v>0</v>
      </c>
    </row>
    <row r="510" spans="10:10" x14ac:dyDescent="0.35">
      <c r="J510">
        <v>0</v>
      </c>
    </row>
    <row r="511" spans="10:10" x14ac:dyDescent="0.35">
      <c r="J511">
        <v>0</v>
      </c>
    </row>
    <row r="512" spans="10:10" x14ac:dyDescent="0.35">
      <c r="J512">
        <v>0</v>
      </c>
    </row>
    <row r="513" spans="10:10" x14ac:dyDescent="0.35">
      <c r="J513">
        <v>0</v>
      </c>
    </row>
    <row r="514" spans="10:10" x14ac:dyDescent="0.35">
      <c r="J514">
        <v>0</v>
      </c>
    </row>
    <row r="515" spans="10:10" x14ac:dyDescent="0.35">
      <c r="J515">
        <v>0</v>
      </c>
    </row>
    <row r="516" spans="10:10" x14ac:dyDescent="0.35">
      <c r="J516">
        <v>0</v>
      </c>
    </row>
    <row r="517" spans="10:10" x14ac:dyDescent="0.35">
      <c r="J517">
        <v>0</v>
      </c>
    </row>
    <row r="518" spans="10:10" x14ac:dyDescent="0.35">
      <c r="J518">
        <v>0</v>
      </c>
    </row>
    <row r="519" spans="10:10" x14ac:dyDescent="0.35">
      <c r="J519">
        <v>0</v>
      </c>
    </row>
    <row r="520" spans="10:10" x14ac:dyDescent="0.35">
      <c r="J520">
        <v>0</v>
      </c>
    </row>
    <row r="521" spans="10:10" x14ac:dyDescent="0.35">
      <c r="J521">
        <v>0</v>
      </c>
    </row>
    <row r="522" spans="10:10" x14ac:dyDescent="0.35">
      <c r="J522">
        <v>0</v>
      </c>
    </row>
    <row r="523" spans="10:10" x14ac:dyDescent="0.35">
      <c r="J523">
        <v>0</v>
      </c>
    </row>
    <row r="524" spans="10:10" x14ac:dyDescent="0.35">
      <c r="J524">
        <v>0</v>
      </c>
    </row>
    <row r="525" spans="10:10" x14ac:dyDescent="0.35">
      <c r="J525">
        <v>0</v>
      </c>
    </row>
    <row r="526" spans="10:10" x14ac:dyDescent="0.35">
      <c r="J526">
        <v>0</v>
      </c>
    </row>
    <row r="527" spans="10:10" x14ac:dyDescent="0.35">
      <c r="J527">
        <v>0</v>
      </c>
    </row>
    <row r="528" spans="10:10" x14ac:dyDescent="0.35">
      <c r="J528">
        <v>0</v>
      </c>
    </row>
    <row r="529" spans="10:10" x14ac:dyDescent="0.35">
      <c r="J529">
        <v>0</v>
      </c>
    </row>
    <row r="530" spans="10:10" x14ac:dyDescent="0.35">
      <c r="J530">
        <v>0</v>
      </c>
    </row>
    <row r="531" spans="10:10" x14ac:dyDescent="0.35">
      <c r="J531">
        <v>0</v>
      </c>
    </row>
    <row r="532" spans="10:10" x14ac:dyDescent="0.35">
      <c r="J532">
        <v>0</v>
      </c>
    </row>
    <row r="533" spans="10:10" x14ac:dyDescent="0.35">
      <c r="J533">
        <v>0</v>
      </c>
    </row>
    <row r="534" spans="10:10" x14ac:dyDescent="0.35">
      <c r="J534">
        <v>0</v>
      </c>
    </row>
    <row r="535" spans="10:10" x14ac:dyDescent="0.35">
      <c r="J535">
        <v>0</v>
      </c>
    </row>
    <row r="536" spans="10:10" x14ac:dyDescent="0.35">
      <c r="J536">
        <v>0</v>
      </c>
    </row>
    <row r="537" spans="10:10" x14ac:dyDescent="0.35">
      <c r="J537">
        <v>0</v>
      </c>
    </row>
    <row r="538" spans="10:10" x14ac:dyDescent="0.35">
      <c r="J538">
        <v>0</v>
      </c>
    </row>
    <row r="539" spans="10:10" x14ac:dyDescent="0.35">
      <c r="J539">
        <v>0</v>
      </c>
    </row>
    <row r="540" spans="10:10" x14ac:dyDescent="0.35">
      <c r="J540">
        <v>0</v>
      </c>
    </row>
    <row r="541" spans="10:10" x14ac:dyDescent="0.35">
      <c r="J541">
        <v>0</v>
      </c>
    </row>
    <row r="542" spans="10:10" x14ac:dyDescent="0.35">
      <c r="J542">
        <v>0</v>
      </c>
    </row>
    <row r="543" spans="10:10" x14ac:dyDescent="0.35">
      <c r="J543">
        <v>0</v>
      </c>
    </row>
    <row r="544" spans="10:10" x14ac:dyDescent="0.35">
      <c r="J544">
        <v>0</v>
      </c>
    </row>
    <row r="545" spans="10:10" x14ac:dyDescent="0.35">
      <c r="J545">
        <v>0</v>
      </c>
    </row>
    <row r="548" spans="10:10" x14ac:dyDescent="0.35">
      <c r="J548">
        <v>0</v>
      </c>
    </row>
    <row r="549" spans="10:10" x14ac:dyDescent="0.35">
      <c r="J549">
        <v>0</v>
      </c>
    </row>
    <row r="550" spans="10:10" x14ac:dyDescent="0.35">
      <c r="J550">
        <v>0</v>
      </c>
    </row>
    <row r="551" spans="10:10" x14ac:dyDescent="0.35">
      <c r="J551">
        <v>0</v>
      </c>
    </row>
    <row r="552" spans="10:10" x14ac:dyDescent="0.35">
      <c r="J552">
        <v>0</v>
      </c>
    </row>
    <row r="553" spans="10:10" x14ac:dyDescent="0.35">
      <c r="J553">
        <v>0</v>
      </c>
    </row>
    <row r="554" spans="10:10" x14ac:dyDescent="0.35">
      <c r="J554">
        <v>0</v>
      </c>
    </row>
    <row r="555" spans="10:10" x14ac:dyDescent="0.35">
      <c r="J555">
        <v>0</v>
      </c>
    </row>
    <row r="556" spans="10:10" x14ac:dyDescent="0.35">
      <c r="J556">
        <v>0</v>
      </c>
    </row>
    <row r="557" spans="10:10" x14ac:dyDescent="0.35">
      <c r="J557">
        <v>0</v>
      </c>
    </row>
    <row r="558" spans="10:10" x14ac:dyDescent="0.35">
      <c r="J558">
        <v>0</v>
      </c>
    </row>
    <row r="559" spans="10:10" x14ac:dyDescent="0.35">
      <c r="J559">
        <v>0</v>
      </c>
    </row>
    <row r="560" spans="10:10" x14ac:dyDescent="0.35">
      <c r="J560">
        <v>0</v>
      </c>
    </row>
    <row r="561" spans="10:10" x14ac:dyDescent="0.35">
      <c r="J561">
        <v>0</v>
      </c>
    </row>
    <row r="562" spans="10:10" x14ac:dyDescent="0.35">
      <c r="J562">
        <v>0</v>
      </c>
    </row>
    <row r="563" spans="10:10" x14ac:dyDescent="0.35">
      <c r="J563">
        <v>0</v>
      </c>
    </row>
    <row r="564" spans="10:10" x14ac:dyDescent="0.35">
      <c r="J564">
        <v>0</v>
      </c>
    </row>
    <row r="565" spans="10:10" x14ac:dyDescent="0.35">
      <c r="J565">
        <v>0</v>
      </c>
    </row>
    <row r="566" spans="10:10" x14ac:dyDescent="0.35">
      <c r="J566">
        <v>0</v>
      </c>
    </row>
    <row r="567" spans="10:10" x14ac:dyDescent="0.35">
      <c r="J567">
        <v>0</v>
      </c>
    </row>
    <row r="568" spans="10:10" x14ac:dyDescent="0.35">
      <c r="J568">
        <v>0</v>
      </c>
    </row>
    <row r="569" spans="10:10" x14ac:dyDescent="0.35">
      <c r="J569">
        <v>0</v>
      </c>
    </row>
    <row r="570" spans="10:10" x14ac:dyDescent="0.35">
      <c r="J570">
        <v>0</v>
      </c>
    </row>
    <row r="571" spans="10:10" x14ac:dyDescent="0.35">
      <c r="J571">
        <v>0</v>
      </c>
    </row>
    <row r="572" spans="10:10" x14ac:dyDescent="0.35">
      <c r="J572">
        <v>0</v>
      </c>
    </row>
    <row r="573" spans="10:10" x14ac:dyDescent="0.35">
      <c r="J573">
        <v>0</v>
      </c>
    </row>
    <row r="574" spans="10:10" x14ac:dyDescent="0.35">
      <c r="J574">
        <v>0</v>
      </c>
    </row>
    <row r="575" spans="10:10" x14ac:dyDescent="0.35">
      <c r="J575">
        <v>0</v>
      </c>
    </row>
    <row r="576" spans="10:10" x14ac:dyDescent="0.35">
      <c r="J576">
        <v>0</v>
      </c>
    </row>
    <row r="577" spans="10:10" x14ac:dyDescent="0.35">
      <c r="J577">
        <v>0</v>
      </c>
    </row>
    <row r="578" spans="10:10" x14ac:dyDescent="0.35">
      <c r="J578">
        <v>0</v>
      </c>
    </row>
    <row r="579" spans="10:10" x14ac:dyDescent="0.35">
      <c r="J579">
        <v>0</v>
      </c>
    </row>
    <row r="580" spans="10:10" x14ac:dyDescent="0.35">
      <c r="J580">
        <v>0</v>
      </c>
    </row>
    <row r="581" spans="10:10" x14ac:dyDescent="0.35">
      <c r="J581">
        <v>0</v>
      </c>
    </row>
    <row r="582" spans="10:10" x14ac:dyDescent="0.35">
      <c r="J582">
        <v>0</v>
      </c>
    </row>
    <row r="583" spans="10:10" x14ac:dyDescent="0.35">
      <c r="J583">
        <v>0</v>
      </c>
    </row>
    <row r="584" spans="10:10" x14ac:dyDescent="0.35">
      <c r="J584">
        <v>0</v>
      </c>
    </row>
    <row r="585" spans="10:10" x14ac:dyDescent="0.35">
      <c r="J585">
        <v>0</v>
      </c>
    </row>
    <row r="586" spans="10:10" x14ac:dyDescent="0.35">
      <c r="J586">
        <v>0</v>
      </c>
    </row>
    <row r="587" spans="10:10" x14ac:dyDescent="0.35">
      <c r="J587">
        <v>0</v>
      </c>
    </row>
    <row r="590" spans="10:10" x14ac:dyDescent="0.35">
      <c r="J590">
        <v>0</v>
      </c>
    </row>
    <row r="591" spans="10:10" x14ac:dyDescent="0.35">
      <c r="J591">
        <v>0</v>
      </c>
    </row>
    <row r="592" spans="10:10" x14ac:dyDescent="0.35">
      <c r="J592">
        <v>0</v>
      </c>
    </row>
    <row r="593" spans="10:10" x14ac:dyDescent="0.35">
      <c r="J593">
        <v>0</v>
      </c>
    </row>
    <row r="594" spans="10:10" x14ac:dyDescent="0.35">
      <c r="J594">
        <v>0</v>
      </c>
    </row>
    <row r="595" spans="10:10" x14ac:dyDescent="0.35">
      <c r="J595">
        <v>0</v>
      </c>
    </row>
    <row r="596" spans="10:10" x14ac:dyDescent="0.35">
      <c r="J596">
        <v>0</v>
      </c>
    </row>
    <row r="597" spans="10:10" x14ac:dyDescent="0.35">
      <c r="J597">
        <v>0</v>
      </c>
    </row>
    <row r="598" spans="10:10" x14ac:dyDescent="0.35">
      <c r="J598">
        <v>0</v>
      </c>
    </row>
    <row r="599" spans="10:10" x14ac:dyDescent="0.35">
      <c r="J599">
        <v>0</v>
      </c>
    </row>
    <row r="600" spans="10:10" x14ac:dyDescent="0.35">
      <c r="J600">
        <v>0</v>
      </c>
    </row>
    <row r="601" spans="10:10" x14ac:dyDescent="0.35">
      <c r="J601">
        <v>0</v>
      </c>
    </row>
    <row r="602" spans="10:10" x14ac:dyDescent="0.35">
      <c r="J602">
        <v>0</v>
      </c>
    </row>
    <row r="603" spans="10:10" x14ac:dyDescent="0.35">
      <c r="J603">
        <v>0</v>
      </c>
    </row>
    <row r="604" spans="10:10" x14ac:dyDescent="0.35">
      <c r="J604">
        <v>0</v>
      </c>
    </row>
    <row r="605" spans="10:10" x14ac:dyDescent="0.35">
      <c r="J605">
        <v>0</v>
      </c>
    </row>
    <row r="606" spans="10:10" x14ac:dyDescent="0.35">
      <c r="J606">
        <v>0</v>
      </c>
    </row>
    <row r="607" spans="10:10" x14ac:dyDescent="0.35">
      <c r="J607">
        <v>0</v>
      </c>
    </row>
    <row r="608" spans="10:10" x14ac:dyDescent="0.35">
      <c r="J608">
        <v>0</v>
      </c>
    </row>
    <row r="609" spans="10:10" x14ac:dyDescent="0.35">
      <c r="J609">
        <v>0</v>
      </c>
    </row>
    <row r="610" spans="10:10" x14ac:dyDescent="0.35">
      <c r="J610">
        <v>0</v>
      </c>
    </row>
    <row r="611" spans="10:10" x14ac:dyDescent="0.35">
      <c r="J611">
        <v>0</v>
      </c>
    </row>
    <row r="612" spans="10:10" x14ac:dyDescent="0.35">
      <c r="J612">
        <v>0</v>
      </c>
    </row>
    <row r="613" spans="10:10" x14ac:dyDescent="0.35">
      <c r="J613">
        <v>0</v>
      </c>
    </row>
    <row r="614" spans="10:10" x14ac:dyDescent="0.35">
      <c r="J614">
        <v>0</v>
      </c>
    </row>
    <row r="615" spans="10:10" x14ac:dyDescent="0.35">
      <c r="J615">
        <v>0</v>
      </c>
    </row>
    <row r="616" spans="10:10" x14ac:dyDescent="0.35">
      <c r="J616">
        <v>0</v>
      </c>
    </row>
    <row r="617" spans="10:10" x14ac:dyDescent="0.35">
      <c r="J617">
        <v>0</v>
      </c>
    </row>
    <row r="618" spans="10:10" x14ac:dyDescent="0.35">
      <c r="J618">
        <v>0</v>
      </c>
    </row>
    <row r="619" spans="10:10" x14ac:dyDescent="0.35">
      <c r="J619">
        <v>0</v>
      </c>
    </row>
    <row r="620" spans="10:10" x14ac:dyDescent="0.35">
      <c r="J620">
        <v>0</v>
      </c>
    </row>
    <row r="621" spans="10:10" x14ac:dyDescent="0.35">
      <c r="J621">
        <v>0</v>
      </c>
    </row>
    <row r="622" spans="10:10" x14ac:dyDescent="0.35">
      <c r="J622">
        <v>0</v>
      </c>
    </row>
    <row r="623" spans="10:10" x14ac:dyDescent="0.35">
      <c r="J623">
        <v>0</v>
      </c>
    </row>
    <row r="624" spans="10:10" x14ac:dyDescent="0.35">
      <c r="J624">
        <v>0</v>
      </c>
    </row>
    <row r="625" spans="10:10" x14ac:dyDescent="0.35">
      <c r="J625">
        <v>0</v>
      </c>
    </row>
    <row r="626" spans="10:10" x14ac:dyDescent="0.35">
      <c r="J626">
        <v>0</v>
      </c>
    </row>
    <row r="627" spans="10:10" x14ac:dyDescent="0.35">
      <c r="J627">
        <v>0</v>
      </c>
    </row>
    <row r="628" spans="10:10" x14ac:dyDescent="0.35">
      <c r="J628">
        <v>0</v>
      </c>
    </row>
    <row r="629" spans="10:10" x14ac:dyDescent="0.35">
      <c r="J629">
        <v>0</v>
      </c>
    </row>
    <row r="632" spans="10:10" x14ac:dyDescent="0.35">
      <c r="J632">
        <v>0</v>
      </c>
    </row>
    <row r="633" spans="10:10" x14ac:dyDescent="0.35">
      <c r="J633">
        <v>0</v>
      </c>
    </row>
    <row r="634" spans="10:10" x14ac:dyDescent="0.35">
      <c r="J634">
        <v>0</v>
      </c>
    </row>
    <row r="635" spans="10:10" x14ac:dyDescent="0.35">
      <c r="J635">
        <v>0</v>
      </c>
    </row>
    <row r="636" spans="10:10" x14ac:dyDescent="0.35">
      <c r="J636">
        <v>0</v>
      </c>
    </row>
    <row r="637" spans="10:10" x14ac:dyDescent="0.35">
      <c r="J637">
        <v>0</v>
      </c>
    </row>
    <row r="638" spans="10:10" x14ac:dyDescent="0.35">
      <c r="J638">
        <v>0</v>
      </c>
    </row>
    <row r="639" spans="10:10" x14ac:dyDescent="0.35">
      <c r="J639">
        <v>0</v>
      </c>
    </row>
    <row r="640" spans="10:10" x14ac:dyDescent="0.35">
      <c r="J640">
        <v>0</v>
      </c>
    </row>
    <row r="641" spans="10:10" x14ac:dyDescent="0.35">
      <c r="J641">
        <v>0</v>
      </c>
    </row>
    <row r="642" spans="10:10" x14ac:dyDescent="0.35">
      <c r="J642">
        <v>0</v>
      </c>
    </row>
    <row r="643" spans="10:10" x14ac:dyDescent="0.35">
      <c r="J643">
        <v>0</v>
      </c>
    </row>
    <row r="644" spans="10:10" x14ac:dyDescent="0.35">
      <c r="J644">
        <v>0</v>
      </c>
    </row>
    <row r="645" spans="10:10" x14ac:dyDescent="0.35">
      <c r="J645">
        <v>0</v>
      </c>
    </row>
    <row r="646" spans="10:10" x14ac:dyDescent="0.35">
      <c r="J646">
        <v>0</v>
      </c>
    </row>
    <row r="647" spans="10:10" x14ac:dyDescent="0.35">
      <c r="J647">
        <v>0</v>
      </c>
    </row>
    <row r="648" spans="10:10" x14ac:dyDescent="0.35">
      <c r="J648">
        <v>0</v>
      </c>
    </row>
    <row r="649" spans="10:10" x14ac:dyDescent="0.35">
      <c r="J649">
        <v>0</v>
      </c>
    </row>
    <row r="650" spans="10:10" x14ac:dyDescent="0.35">
      <c r="J650">
        <v>0</v>
      </c>
    </row>
    <row r="651" spans="10:10" x14ac:dyDescent="0.35">
      <c r="J651">
        <v>0</v>
      </c>
    </row>
    <row r="652" spans="10:10" x14ac:dyDescent="0.35">
      <c r="J652">
        <v>0</v>
      </c>
    </row>
    <row r="653" spans="10:10" x14ac:dyDescent="0.35">
      <c r="J653">
        <v>0</v>
      </c>
    </row>
    <row r="654" spans="10:10" x14ac:dyDescent="0.35">
      <c r="J654">
        <v>0</v>
      </c>
    </row>
    <row r="655" spans="10:10" x14ac:dyDescent="0.35">
      <c r="J655">
        <v>0</v>
      </c>
    </row>
    <row r="656" spans="10:10" x14ac:dyDescent="0.35">
      <c r="J656">
        <v>0</v>
      </c>
    </row>
    <row r="657" spans="10:10" x14ac:dyDescent="0.35">
      <c r="J657">
        <v>0</v>
      </c>
    </row>
    <row r="658" spans="10:10" x14ac:dyDescent="0.35">
      <c r="J658">
        <v>0</v>
      </c>
    </row>
    <row r="659" spans="10:10" x14ac:dyDescent="0.35">
      <c r="J659">
        <v>0</v>
      </c>
    </row>
    <row r="660" spans="10:10" x14ac:dyDescent="0.35">
      <c r="J660">
        <v>0</v>
      </c>
    </row>
    <row r="661" spans="10:10" x14ac:dyDescent="0.35">
      <c r="J661">
        <v>0</v>
      </c>
    </row>
    <row r="662" spans="10:10" x14ac:dyDescent="0.35">
      <c r="J662">
        <v>0</v>
      </c>
    </row>
    <row r="663" spans="10:10" x14ac:dyDescent="0.35">
      <c r="J663">
        <v>0</v>
      </c>
    </row>
    <row r="664" spans="10:10" x14ac:dyDescent="0.35">
      <c r="J664">
        <v>0</v>
      </c>
    </row>
    <row r="665" spans="10:10" x14ac:dyDescent="0.35">
      <c r="J665">
        <v>0</v>
      </c>
    </row>
    <row r="666" spans="10:10" x14ac:dyDescent="0.35">
      <c r="J666">
        <v>0</v>
      </c>
    </row>
    <row r="667" spans="10:10" x14ac:dyDescent="0.35">
      <c r="J667">
        <v>0</v>
      </c>
    </row>
    <row r="668" spans="10:10" x14ac:dyDescent="0.35">
      <c r="J668">
        <v>0</v>
      </c>
    </row>
    <row r="669" spans="10:10" x14ac:dyDescent="0.35">
      <c r="J669">
        <v>0</v>
      </c>
    </row>
    <row r="670" spans="10:10" x14ac:dyDescent="0.35">
      <c r="J670">
        <v>0</v>
      </c>
    </row>
    <row r="671" spans="10:10" x14ac:dyDescent="0.35">
      <c r="J671">
        <v>0</v>
      </c>
    </row>
    <row r="674" spans="10:10" x14ac:dyDescent="0.35">
      <c r="J674">
        <v>0</v>
      </c>
    </row>
    <row r="675" spans="10:10" x14ac:dyDescent="0.35">
      <c r="J675">
        <v>0</v>
      </c>
    </row>
    <row r="676" spans="10:10" x14ac:dyDescent="0.35">
      <c r="J676">
        <v>0</v>
      </c>
    </row>
    <row r="677" spans="10:10" x14ac:dyDescent="0.35">
      <c r="J677">
        <v>0</v>
      </c>
    </row>
    <row r="678" spans="10:10" x14ac:dyDescent="0.35">
      <c r="J678">
        <v>0</v>
      </c>
    </row>
    <row r="679" spans="10:10" x14ac:dyDescent="0.35">
      <c r="J679">
        <v>0</v>
      </c>
    </row>
    <row r="680" spans="10:10" x14ac:dyDescent="0.35">
      <c r="J680">
        <v>0</v>
      </c>
    </row>
    <row r="681" spans="10:10" x14ac:dyDescent="0.35">
      <c r="J681">
        <v>0</v>
      </c>
    </row>
    <row r="682" spans="10:10" x14ac:dyDescent="0.35">
      <c r="J682">
        <v>0</v>
      </c>
    </row>
    <row r="683" spans="10:10" x14ac:dyDescent="0.35">
      <c r="J683">
        <v>0</v>
      </c>
    </row>
    <row r="684" spans="10:10" x14ac:dyDescent="0.35">
      <c r="J684">
        <v>0</v>
      </c>
    </row>
    <row r="685" spans="10:10" x14ac:dyDescent="0.35">
      <c r="J685">
        <v>0</v>
      </c>
    </row>
    <row r="686" spans="10:10" x14ac:dyDescent="0.35">
      <c r="J686">
        <v>0</v>
      </c>
    </row>
    <row r="687" spans="10:10" x14ac:dyDescent="0.35">
      <c r="J687">
        <v>0</v>
      </c>
    </row>
    <row r="688" spans="10:10" x14ac:dyDescent="0.35">
      <c r="J688">
        <v>0</v>
      </c>
    </row>
    <row r="689" spans="10:10" x14ac:dyDescent="0.35">
      <c r="J689">
        <v>0</v>
      </c>
    </row>
    <row r="690" spans="10:10" x14ac:dyDescent="0.35">
      <c r="J690">
        <v>0</v>
      </c>
    </row>
    <row r="691" spans="10:10" x14ac:dyDescent="0.35">
      <c r="J691">
        <v>0</v>
      </c>
    </row>
    <row r="692" spans="10:10" x14ac:dyDescent="0.35">
      <c r="J692">
        <v>0</v>
      </c>
    </row>
    <row r="693" spans="10:10" x14ac:dyDescent="0.35">
      <c r="J693">
        <v>0</v>
      </c>
    </row>
    <row r="694" spans="10:10" x14ac:dyDescent="0.35">
      <c r="J694">
        <v>0</v>
      </c>
    </row>
    <row r="695" spans="10:10" x14ac:dyDescent="0.35">
      <c r="J695">
        <v>0</v>
      </c>
    </row>
    <row r="696" spans="10:10" x14ac:dyDescent="0.35">
      <c r="J696">
        <v>0</v>
      </c>
    </row>
    <row r="697" spans="10:10" x14ac:dyDescent="0.35">
      <c r="J697">
        <v>0</v>
      </c>
    </row>
    <row r="700" spans="10:10" x14ac:dyDescent="0.35">
      <c r="J700">
        <v>0</v>
      </c>
    </row>
    <row r="701" spans="10:10" x14ac:dyDescent="0.35">
      <c r="J701">
        <v>0</v>
      </c>
    </row>
    <row r="702" spans="10:10" x14ac:dyDescent="0.35">
      <c r="J702">
        <v>0</v>
      </c>
    </row>
    <row r="703" spans="10:10" x14ac:dyDescent="0.35">
      <c r="J703">
        <v>0</v>
      </c>
    </row>
    <row r="704" spans="10:10" x14ac:dyDescent="0.35">
      <c r="J704">
        <v>0</v>
      </c>
    </row>
    <row r="705" spans="10:10" x14ac:dyDescent="0.35">
      <c r="J705">
        <v>0</v>
      </c>
    </row>
    <row r="706" spans="10:10" x14ac:dyDescent="0.35">
      <c r="J706">
        <v>0</v>
      </c>
    </row>
    <row r="707" spans="10:10" x14ac:dyDescent="0.35">
      <c r="J707">
        <v>0</v>
      </c>
    </row>
    <row r="708" spans="10:10" x14ac:dyDescent="0.35">
      <c r="J708">
        <v>0</v>
      </c>
    </row>
    <row r="709" spans="10:10" x14ac:dyDescent="0.35">
      <c r="J709">
        <v>0</v>
      </c>
    </row>
    <row r="710" spans="10:10" x14ac:dyDescent="0.35">
      <c r="J710">
        <v>0</v>
      </c>
    </row>
    <row r="711" spans="10:10" x14ac:dyDescent="0.35">
      <c r="J711">
        <v>0</v>
      </c>
    </row>
    <row r="712" spans="10:10" x14ac:dyDescent="0.35">
      <c r="J712">
        <v>0</v>
      </c>
    </row>
    <row r="713" spans="10:10" x14ac:dyDescent="0.35">
      <c r="J713">
        <v>0</v>
      </c>
    </row>
    <row r="714" spans="10:10" x14ac:dyDescent="0.35">
      <c r="J714">
        <v>0</v>
      </c>
    </row>
    <row r="715" spans="10:10" x14ac:dyDescent="0.35">
      <c r="J715">
        <v>0</v>
      </c>
    </row>
    <row r="716" spans="10:10" x14ac:dyDescent="0.35">
      <c r="J716">
        <v>0</v>
      </c>
    </row>
    <row r="717" spans="10:10" x14ac:dyDescent="0.35">
      <c r="J717">
        <v>0</v>
      </c>
    </row>
    <row r="718" spans="10:10" x14ac:dyDescent="0.35">
      <c r="J718">
        <v>0</v>
      </c>
    </row>
    <row r="719" spans="10:10" x14ac:dyDescent="0.35">
      <c r="J719">
        <v>0</v>
      </c>
    </row>
    <row r="720" spans="10:10" x14ac:dyDescent="0.35">
      <c r="J720">
        <v>0</v>
      </c>
    </row>
    <row r="721" spans="10:10" x14ac:dyDescent="0.35">
      <c r="J721">
        <v>0</v>
      </c>
    </row>
    <row r="722" spans="10:10" x14ac:dyDescent="0.35">
      <c r="J722">
        <v>0</v>
      </c>
    </row>
    <row r="723" spans="10:10" x14ac:dyDescent="0.35">
      <c r="J723">
        <v>0</v>
      </c>
    </row>
    <row r="726" spans="10:10" x14ac:dyDescent="0.35">
      <c r="J726">
        <v>0</v>
      </c>
    </row>
    <row r="727" spans="10:10" x14ac:dyDescent="0.35">
      <c r="J727">
        <v>0</v>
      </c>
    </row>
    <row r="728" spans="10:10" x14ac:dyDescent="0.35">
      <c r="J728">
        <v>0</v>
      </c>
    </row>
    <row r="729" spans="10:10" x14ac:dyDescent="0.35">
      <c r="J729">
        <v>0</v>
      </c>
    </row>
    <row r="730" spans="10:10" x14ac:dyDescent="0.35">
      <c r="J730">
        <v>0</v>
      </c>
    </row>
    <row r="731" spans="10:10" x14ac:dyDescent="0.35">
      <c r="J731">
        <v>0</v>
      </c>
    </row>
    <row r="732" spans="10:10" x14ac:dyDescent="0.35">
      <c r="J732">
        <v>0</v>
      </c>
    </row>
    <row r="733" spans="10:10" x14ac:dyDescent="0.35">
      <c r="J733">
        <v>0</v>
      </c>
    </row>
    <row r="734" spans="10:10" x14ac:dyDescent="0.35">
      <c r="J734">
        <v>0</v>
      </c>
    </row>
    <row r="735" spans="10:10" x14ac:dyDescent="0.35">
      <c r="J735">
        <v>0</v>
      </c>
    </row>
    <row r="736" spans="10:10" x14ac:dyDescent="0.35">
      <c r="J736">
        <v>0</v>
      </c>
    </row>
    <row r="737" spans="10:10" x14ac:dyDescent="0.35">
      <c r="J737">
        <v>0</v>
      </c>
    </row>
    <row r="738" spans="10:10" x14ac:dyDescent="0.35">
      <c r="J738">
        <v>0</v>
      </c>
    </row>
    <row r="739" spans="10:10" x14ac:dyDescent="0.35">
      <c r="J739">
        <v>0</v>
      </c>
    </row>
    <row r="740" spans="10:10" x14ac:dyDescent="0.35">
      <c r="J740">
        <v>0</v>
      </c>
    </row>
    <row r="741" spans="10:10" x14ac:dyDescent="0.35">
      <c r="J741">
        <v>0</v>
      </c>
    </row>
    <row r="742" spans="10:10" x14ac:dyDescent="0.35">
      <c r="J742">
        <v>0</v>
      </c>
    </row>
    <row r="743" spans="10:10" x14ac:dyDescent="0.35">
      <c r="J743">
        <v>0</v>
      </c>
    </row>
    <row r="744" spans="10:10" x14ac:dyDescent="0.35">
      <c r="J744">
        <v>0</v>
      </c>
    </row>
    <row r="745" spans="10:10" x14ac:dyDescent="0.35">
      <c r="J745">
        <v>0</v>
      </c>
    </row>
    <row r="746" spans="10:10" x14ac:dyDescent="0.35">
      <c r="J746">
        <v>0</v>
      </c>
    </row>
    <row r="747" spans="10:10" x14ac:dyDescent="0.35">
      <c r="J747">
        <v>0</v>
      </c>
    </row>
    <row r="748" spans="10:10" x14ac:dyDescent="0.35">
      <c r="J748">
        <v>0</v>
      </c>
    </row>
    <row r="749" spans="10:10" x14ac:dyDescent="0.35">
      <c r="J749">
        <v>0</v>
      </c>
    </row>
    <row r="752" spans="10:10" x14ac:dyDescent="0.35">
      <c r="J752">
        <v>0</v>
      </c>
    </row>
    <row r="753" spans="10:10" x14ac:dyDescent="0.35">
      <c r="J753">
        <v>0</v>
      </c>
    </row>
    <row r="754" spans="10:10" x14ac:dyDescent="0.35">
      <c r="J754">
        <v>0</v>
      </c>
    </row>
    <row r="755" spans="10:10" x14ac:dyDescent="0.35">
      <c r="J755">
        <v>0</v>
      </c>
    </row>
    <row r="756" spans="10:10" x14ac:dyDescent="0.35">
      <c r="J756">
        <v>0</v>
      </c>
    </row>
    <row r="757" spans="10:10" x14ac:dyDescent="0.35">
      <c r="J757">
        <v>0</v>
      </c>
    </row>
    <row r="758" spans="10:10" x14ac:dyDescent="0.35">
      <c r="J758">
        <v>0</v>
      </c>
    </row>
    <row r="759" spans="10:10" x14ac:dyDescent="0.35">
      <c r="J759">
        <v>0</v>
      </c>
    </row>
    <row r="760" spans="10:10" x14ac:dyDescent="0.35">
      <c r="J760">
        <v>0</v>
      </c>
    </row>
    <row r="761" spans="10:10" x14ac:dyDescent="0.35">
      <c r="J761">
        <v>0</v>
      </c>
    </row>
    <row r="762" spans="10:10" x14ac:dyDescent="0.35">
      <c r="J762">
        <v>0</v>
      </c>
    </row>
    <row r="763" spans="10:10" x14ac:dyDescent="0.35">
      <c r="J763">
        <v>0</v>
      </c>
    </row>
    <row r="764" spans="10:10" x14ac:dyDescent="0.35">
      <c r="J764">
        <v>0</v>
      </c>
    </row>
    <row r="765" spans="10:10" x14ac:dyDescent="0.35">
      <c r="J765">
        <v>0</v>
      </c>
    </row>
    <row r="766" spans="10:10" x14ac:dyDescent="0.35">
      <c r="J766">
        <v>0</v>
      </c>
    </row>
    <row r="767" spans="10:10" x14ac:dyDescent="0.35">
      <c r="J767">
        <v>0</v>
      </c>
    </row>
    <row r="768" spans="10:10" x14ac:dyDescent="0.35">
      <c r="J768">
        <v>0</v>
      </c>
    </row>
    <row r="769" spans="10:10" x14ac:dyDescent="0.35">
      <c r="J769">
        <v>0</v>
      </c>
    </row>
    <row r="770" spans="10:10" x14ac:dyDescent="0.35">
      <c r="J770">
        <v>0</v>
      </c>
    </row>
    <row r="771" spans="10:10" x14ac:dyDescent="0.35">
      <c r="J771">
        <v>0</v>
      </c>
    </row>
    <row r="772" spans="10:10" x14ac:dyDescent="0.35">
      <c r="J772">
        <v>0</v>
      </c>
    </row>
    <row r="773" spans="10:10" x14ac:dyDescent="0.35">
      <c r="J773">
        <v>0</v>
      </c>
    </row>
    <row r="774" spans="10:10" x14ac:dyDescent="0.35">
      <c r="J774">
        <v>0</v>
      </c>
    </row>
    <row r="775" spans="10:10" x14ac:dyDescent="0.35">
      <c r="J775">
        <v>0</v>
      </c>
    </row>
    <row r="778" spans="10:10" x14ac:dyDescent="0.35">
      <c r="J778">
        <v>35.556513819623653</v>
      </c>
    </row>
    <row r="779" spans="10:10" x14ac:dyDescent="0.35">
      <c r="J779">
        <v>29.962229241121442</v>
      </c>
    </row>
    <row r="780" spans="10:10" x14ac:dyDescent="0.35">
      <c r="J780">
        <v>20.98699721970851</v>
      </c>
    </row>
    <row r="781" spans="10:10" x14ac:dyDescent="0.35">
      <c r="J781">
        <v>20.59085272194411</v>
      </c>
    </row>
    <row r="782" spans="10:10" x14ac:dyDescent="0.35">
      <c r="J782">
        <v>18.00120259069827</v>
      </c>
    </row>
    <row r="783" spans="10:10" x14ac:dyDescent="0.35">
      <c r="J783">
        <v>0</v>
      </c>
    </row>
    <row r="784" spans="10:10" x14ac:dyDescent="0.35">
      <c r="J784">
        <v>0</v>
      </c>
    </row>
    <row r="785" spans="10:10" x14ac:dyDescent="0.35">
      <c r="J785">
        <v>0</v>
      </c>
    </row>
    <row r="786" spans="10:10" x14ac:dyDescent="0.35">
      <c r="J786">
        <v>0</v>
      </c>
    </row>
    <row r="787" spans="10:10" x14ac:dyDescent="0.35">
      <c r="J787">
        <v>0</v>
      </c>
    </row>
    <row r="788" spans="10:10" x14ac:dyDescent="0.35">
      <c r="J788">
        <v>78.058656558283232</v>
      </c>
    </row>
    <row r="789" spans="10:10" x14ac:dyDescent="0.35">
      <c r="J789">
        <v>57.537569693371402</v>
      </c>
    </row>
    <row r="790" spans="10:10" x14ac:dyDescent="0.35">
      <c r="J790">
        <v>22.224560258576989</v>
      </c>
    </row>
    <row r="791" spans="10:10" x14ac:dyDescent="0.35">
      <c r="J791">
        <v>15.9629234386656</v>
      </c>
    </row>
    <row r="792" spans="10:10" x14ac:dyDescent="0.35">
      <c r="J792">
        <v>15.75193020908897</v>
      </c>
    </row>
    <row r="793" spans="10:10" x14ac:dyDescent="0.35">
      <c r="J793">
        <v>0</v>
      </c>
    </row>
    <row r="794" spans="10:10" x14ac:dyDescent="0.35">
      <c r="J794">
        <v>0</v>
      </c>
    </row>
    <row r="795" spans="10:10" x14ac:dyDescent="0.35">
      <c r="J795">
        <v>0</v>
      </c>
    </row>
    <row r="796" spans="10:10" x14ac:dyDescent="0.35">
      <c r="J796">
        <v>0</v>
      </c>
    </row>
    <row r="797" spans="10:10" x14ac:dyDescent="0.35">
      <c r="J797">
        <v>0</v>
      </c>
    </row>
    <row r="798" spans="10:10" x14ac:dyDescent="0.35">
      <c r="J798">
        <v>47.719844131932327</v>
      </c>
    </row>
    <row r="799" spans="10:10" x14ac:dyDescent="0.35">
      <c r="J799">
        <v>34.048912427755987</v>
      </c>
    </row>
    <row r="800" spans="10:10" x14ac:dyDescent="0.35">
      <c r="J800">
        <v>20.44864625391115</v>
      </c>
    </row>
    <row r="801" spans="10:10" x14ac:dyDescent="0.35">
      <c r="J801">
        <v>18.317670211117729</v>
      </c>
    </row>
    <row r="802" spans="10:10" x14ac:dyDescent="0.35">
      <c r="J802">
        <v>19.108226989935449</v>
      </c>
    </row>
    <row r="803" spans="10:10" x14ac:dyDescent="0.35">
      <c r="J803">
        <v>0</v>
      </c>
    </row>
    <row r="804" spans="10:10" x14ac:dyDescent="0.35">
      <c r="J804">
        <v>0</v>
      </c>
    </row>
    <row r="805" spans="10:10" x14ac:dyDescent="0.35">
      <c r="J805">
        <v>0</v>
      </c>
    </row>
    <row r="806" spans="10:10" x14ac:dyDescent="0.35">
      <c r="J806">
        <v>0</v>
      </c>
    </row>
    <row r="807" spans="10:10" x14ac:dyDescent="0.35">
      <c r="J807">
        <v>0</v>
      </c>
    </row>
    <row r="808" spans="10:10" x14ac:dyDescent="0.35">
      <c r="J808">
        <v>5.6463551499095059</v>
      </c>
    </row>
    <row r="809" spans="10:10" x14ac:dyDescent="0.35">
      <c r="J809">
        <v>5.3641862697039491</v>
      </c>
    </row>
    <row r="810" spans="10:10" x14ac:dyDescent="0.35">
      <c r="J810">
        <v>5.449986191054899</v>
      </c>
    </row>
    <row r="811" spans="10:10" x14ac:dyDescent="0.35">
      <c r="J811">
        <v>5.6179151979011772</v>
      </c>
    </row>
    <row r="812" spans="10:10" x14ac:dyDescent="0.35">
      <c r="J812">
        <v>5.8156448665007243</v>
      </c>
    </row>
    <row r="813" spans="10:10" x14ac:dyDescent="0.35">
      <c r="J813">
        <v>0</v>
      </c>
    </row>
    <row r="814" spans="10:10" x14ac:dyDescent="0.35">
      <c r="J814">
        <v>0</v>
      </c>
    </row>
    <row r="815" spans="10:10" x14ac:dyDescent="0.35">
      <c r="J815">
        <v>0</v>
      </c>
    </row>
    <row r="816" spans="10:10" x14ac:dyDescent="0.35">
      <c r="J816">
        <v>0</v>
      </c>
    </row>
    <row r="817" spans="10:10" x14ac:dyDescent="0.35">
      <c r="J817">
        <v>0</v>
      </c>
    </row>
    <row r="820" spans="10:10" x14ac:dyDescent="0.35">
      <c r="J820">
        <v>26868.872854170029</v>
      </c>
    </row>
    <row r="821" spans="10:10" x14ac:dyDescent="0.35">
      <c r="J821">
        <v>24565.854514168401</v>
      </c>
    </row>
    <row r="822" spans="10:10" x14ac:dyDescent="0.35">
      <c r="J822">
        <v>18621.49830428767</v>
      </c>
    </row>
    <row r="823" spans="10:10" x14ac:dyDescent="0.35">
      <c r="J823">
        <v>18308.772592115649</v>
      </c>
    </row>
    <row r="824" spans="10:10" x14ac:dyDescent="0.35">
      <c r="J824">
        <v>15461.385738543</v>
      </c>
    </row>
    <row r="825" spans="10:10" x14ac:dyDescent="0.35">
      <c r="J825">
        <v>0</v>
      </c>
    </row>
    <row r="826" spans="10:10" x14ac:dyDescent="0.35">
      <c r="J826">
        <v>0</v>
      </c>
    </row>
    <row r="827" spans="10:10" x14ac:dyDescent="0.35">
      <c r="J827">
        <v>0</v>
      </c>
    </row>
    <row r="828" spans="10:10" x14ac:dyDescent="0.35">
      <c r="J828">
        <v>0</v>
      </c>
    </row>
    <row r="829" spans="10:10" x14ac:dyDescent="0.35">
      <c r="J829">
        <v>0</v>
      </c>
    </row>
    <row r="830" spans="10:10" x14ac:dyDescent="0.35">
      <c r="J830">
        <v>20324.30018498308</v>
      </c>
    </row>
    <row r="831" spans="10:10" x14ac:dyDescent="0.35">
      <c r="J831">
        <v>15932.361058201261</v>
      </c>
    </row>
    <row r="832" spans="10:10" x14ac:dyDescent="0.35">
      <c r="J832">
        <v>7809.7978640983738</v>
      </c>
    </row>
    <row r="833" spans="10:10" x14ac:dyDescent="0.35">
      <c r="J833">
        <v>4685.4744864912154</v>
      </c>
    </row>
    <row r="834" spans="10:10" x14ac:dyDescent="0.35">
      <c r="J834">
        <v>3505.931967863728</v>
      </c>
    </row>
    <row r="835" spans="10:10" x14ac:dyDescent="0.35">
      <c r="J835">
        <v>0</v>
      </c>
    </row>
    <row r="836" spans="10:10" x14ac:dyDescent="0.35">
      <c r="J836">
        <v>0</v>
      </c>
    </row>
    <row r="837" spans="10:10" x14ac:dyDescent="0.35">
      <c r="J837">
        <v>0</v>
      </c>
    </row>
    <row r="838" spans="10:10" x14ac:dyDescent="0.35">
      <c r="J838">
        <v>0</v>
      </c>
    </row>
    <row r="839" spans="10:10" x14ac:dyDescent="0.35">
      <c r="J839">
        <v>0</v>
      </c>
    </row>
    <row r="840" spans="10:10" x14ac:dyDescent="0.35">
      <c r="J840">
        <v>34474.63622504731</v>
      </c>
    </row>
    <row r="841" spans="10:10" x14ac:dyDescent="0.35">
      <c r="J841">
        <v>25414.93025276596</v>
      </c>
    </row>
    <row r="842" spans="10:10" x14ac:dyDescent="0.35">
      <c r="J842">
        <v>14936.734018143041</v>
      </c>
    </row>
    <row r="843" spans="10:10" x14ac:dyDescent="0.35">
      <c r="J843">
        <v>12768.614114997999</v>
      </c>
    </row>
    <row r="844" spans="10:10" x14ac:dyDescent="0.35">
      <c r="J844">
        <v>12949.9097323804</v>
      </c>
    </row>
    <row r="845" spans="10:10" x14ac:dyDescent="0.35">
      <c r="J845">
        <v>0</v>
      </c>
    </row>
    <row r="846" spans="10:10" x14ac:dyDescent="0.35">
      <c r="J846">
        <v>0</v>
      </c>
    </row>
    <row r="847" spans="10:10" x14ac:dyDescent="0.35">
      <c r="J847">
        <v>0</v>
      </c>
    </row>
    <row r="848" spans="10:10" x14ac:dyDescent="0.35">
      <c r="J848">
        <v>0</v>
      </c>
    </row>
    <row r="849" spans="10:10" x14ac:dyDescent="0.35">
      <c r="J849">
        <v>0</v>
      </c>
    </row>
    <row r="850" spans="10:10" x14ac:dyDescent="0.35">
      <c r="J850">
        <v>125672.4717524591</v>
      </c>
    </row>
    <row r="851" spans="10:10" x14ac:dyDescent="0.35">
      <c r="J851">
        <v>111846.7743544706</v>
      </c>
    </row>
    <row r="852" spans="10:10" x14ac:dyDescent="0.35">
      <c r="J852">
        <v>112196.4360087122</v>
      </c>
    </row>
    <row r="853" spans="10:10" x14ac:dyDescent="0.35">
      <c r="J853">
        <v>116582.9599120801</v>
      </c>
    </row>
    <row r="854" spans="10:10" x14ac:dyDescent="0.35">
      <c r="J854">
        <v>122232.1729282398</v>
      </c>
    </row>
    <row r="855" spans="10:10" x14ac:dyDescent="0.35">
      <c r="J855">
        <v>0</v>
      </c>
    </row>
    <row r="856" spans="10:10" x14ac:dyDescent="0.35">
      <c r="J856">
        <v>0</v>
      </c>
    </row>
    <row r="857" spans="10:10" x14ac:dyDescent="0.35">
      <c r="J857">
        <v>0</v>
      </c>
    </row>
    <row r="858" spans="10:10" x14ac:dyDescent="0.35">
      <c r="J858">
        <v>0</v>
      </c>
    </row>
    <row r="859" spans="10:10" x14ac:dyDescent="0.35">
      <c r="J859">
        <v>0</v>
      </c>
    </row>
    <row r="862" spans="10:10" x14ac:dyDescent="0.35">
      <c r="J862">
        <v>77457.784234034931</v>
      </c>
    </row>
    <row r="863" spans="10:10" x14ac:dyDescent="0.35">
      <c r="J863">
        <v>68942.487105665248</v>
      </c>
    </row>
    <row r="864" spans="10:10" x14ac:dyDescent="0.35">
      <c r="J864">
        <v>52601.512674444093</v>
      </c>
    </row>
    <row r="865" spans="10:10" x14ac:dyDescent="0.35">
      <c r="J865">
        <v>52952.951925740606</v>
      </c>
    </row>
    <row r="866" spans="10:10" x14ac:dyDescent="0.35">
      <c r="J866">
        <v>46223.849951165983</v>
      </c>
    </row>
    <row r="867" spans="10:10" x14ac:dyDescent="0.35">
      <c r="J867">
        <v>0</v>
      </c>
    </row>
    <row r="868" spans="10:10" x14ac:dyDescent="0.35">
      <c r="J868">
        <v>0</v>
      </c>
    </row>
    <row r="869" spans="10:10" x14ac:dyDescent="0.35">
      <c r="J869">
        <v>0</v>
      </c>
    </row>
    <row r="870" spans="10:10" x14ac:dyDescent="0.35">
      <c r="J870">
        <v>0</v>
      </c>
    </row>
    <row r="871" spans="10:10" x14ac:dyDescent="0.35">
      <c r="J871">
        <v>0</v>
      </c>
    </row>
    <row r="872" spans="10:10" x14ac:dyDescent="0.35">
      <c r="J872">
        <v>58301.705821065429</v>
      </c>
    </row>
    <row r="873" spans="10:10" x14ac:dyDescent="0.35">
      <c r="J873">
        <v>44103.228404586582</v>
      </c>
    </row>
    <row r="874" spans="10:10" x14ac:dyDescent="0.35">
      <c r="J874">
        <v>20047.140480465809</v>
      </c>
    </row>
    <row r="875" spans="10:10" x14ac:dyDescent="0.35">
      <c r="J875">
        <v>13779.989490432061</v>
      </c>
    </row>
    <row r="876" spans="10:10" x14ac:dyDescent="0.35">
      <c r="J876">
        <v>12204.44351057918</v>
      </c>
    </row>
    <row r="877" spans="10:10" x14ac:dyDescent="0.35">
      <c r="J877">
        <v>0</v>
      </c>
    </row>
    <row r="878" spans="10:10" x14ac:dyDescent="0.35">
      <c r="J878">
        <v>0</v>
      </c>
    </row>
    <row r="879" spans="10:10" x14ac:dyDescent="0.35">
      <c r="J879">
        <v>0</v>
      </c>
    </row>
    <row r="880" spans="10:10" x14ac:dyDescent="0.35">
      <c r="J880">
        <v>0</v>
      </c>
    </row>
    <row r="881" spans="10:10" x14ac:dyDescent="0.35">
      <c r="J881">
        <v>0</v>
      </c>
    </row>
    <row r="882" spans="10:10" x14ac:dyDescent="0.35">
      <c r="J882">
        <v>106560.840076115</v>
      </c>
    </row>
    <row r="883" spans="10:10" x14ac:dyDescent="0.35">
      <c r="J883">
        <v>76921.641544073413</v>
      </c>
    </row>
    <row r="884" spans="10:10" x14ac:dyDescent="0.35">
      <c r="J884">
        <v>47631.63463156511</v>
      </c>
    </row>
    <row r="885" spans="10:10" x14ac:dyDescent="0.35">
      <c r="J885">
        <v>43536.708510899312</v>
      </c>
    </row>
    <row r="886" spans="10:10" x14ac:dyDescent="0.35">
      <c r="J886">
        <v>45349.479437688999</v>
      </c>
    </row>
    <row r="887" spans="10:10" x14ac:dyDescent="0.35">
      <c r="J887">
        <v>0</v>
      </c>
    </row>
    <row r="888" spans="10:10" x14ac:dyDescent="0.35">
      <c r="J888">
        <v>0</v>
      </c>
    </row>
    <row r="889" spans="10:10" x14ac:dyDescent="0.35">
      <c r="J889">
        <v>0</v>
      </c>
    </row>
    <row r="890" spans="10:10" x14ac:dyDescent="0.35">
      <c r="J890">
        <v>0</v>
      </c>
    </row>
    <row r="891" spans="10:10" x14ac:dyDescent="0.35">
      <c r="J891">
        <v>0</v>
      </c>
    </row>
    <row r="892" spans="10:10" x14ac:dyDescent="0.35">
      <c r="J892">
        <v>248702.89674924279</v>
      </c>
    </row>
    <row r="893" spans="10:10" x14ac:dyDescent="0.35">
      <c r="J893">
        <v>235367.40693239029</v>
      </c>
    </row>
    <row r="894" spans="10:10" x14ac:dyDescent="0.35">
      <c r="J894">
        <v>243867.82025663849</v>
      </c>
    </row>
    <row r="895" spans="10:10" x14ac:dyDescent="0.35">
      <c r="J895">
        <v>258646.56509561199</v>
      </c>
    </row>
    <row r="896" spans="10:10" x14ac:dyDescent="0.35">
      <c r="J896">
        <v>276104.99719774979</v>
      </c>
    </row>
    <row r="897" spans="10:10" x14ac:dyDescent="0.35">
      <c r="J897">
        <v>0</v>
      </c>
    </row>
    <row r="898" spans="10:10" x14ac:dyDescent="0.35">
      <c r="J898">
        <v>0</v>
      </c>
    </row>
    <row r="899" spans="10:10" x14ac:dyDescent="0.35">
      <c r="J899">
        <v>0</v>
      </c>
    </row>
    <row r="900" spans="10:10" x14ac:dyDescent="0.35">
      <c r="J900">
        <v>0</v>
      </c>
    </row>
    <row r="901" spans="10:10" x14ac:dyDescent="0.35">
      <c r="J901">
        <v>0</v>
      </c>
    </row>
    <row r="904" spans="10:10" x14ac:dyDescent="0.35">
      <c r="J904">
        <v>31089.557046847309</v>
      </c>
    </row>
    <row r="905" spans="10:10" x14ac:dyDescent="0.35">
      <c r="J905">
        <v>26314.398490893891</v>
      </c>
    </row>
    <row r="906" spans="10:10" x14ac:dyDescent="0.35">
      <c r="J906">
        <v>20192.599311763861</v>
      </c>
    </row>
    <row r="907" spans="10:10" x14ac:dyDescent="0.35">
      <c r="J907">
        <v>21048.714303272191</v>
      </c>
    </row>
    <row r="908" spans="10:10" x14ac:dyDescent="0.35">
      <c r="J908">
        <v>16668.75991892226</v>
      </c>
    </row>
    <row r="909" spans="10:10" x14ac:dyDescent="0.35">
      <c r="J909">
        <v>0</v>
      </c>
    </row>
    <row r="910" spans="10:10" x14ac:dyDescent="0.35">
      <c r="J910">
        <v>0</v>
      </c>
    </row>
    <row r="911" spans="10:10" x14ac:dyDescent="0.35">
      <c r="J911">
        <v>0</v>
      </c>
    </row>
    <row r="912" spans="10:10" x14ac:dyDescent="0.35">
      <c r="J912">
        <v>0</v>
      </c>
    </row>
    <row r="913" spans="10:10" x14ac:dyDescent="0.35">
      <c r="J913">
        <v>0</v>
      </c>
    </row>
    <row r="914" spans="10:10" x14ac:dyDescent="0.35">
      <c r="J914">
        <v>22361.074956567471</v>
      </c>
    </row>
    <row r="915" spans="10:10" x14ac:dyDescent="0.35">
      <c r="J915">
        <v>14006.88584227349</v>
      </c>
    </row>
    <row r="916" spans="10:10" x14ac:dyDescent="0.35">
      <c r="J916">
        <v>3437.4581979657069</v>
      </c>
    </row>
    <row r="917" spans="10:10" x14ac:dyDescent="0.35">
      <c r="J917">
        <v>2306.575748867032</v>
      </c>
    </row>
    <row r="918" spans="10:10" x14ac:dyDescent="0.35">
      <c r="J918">
        <v>2345.62387904564</v>
      </c>
    </row>
    <row r="919" spans="10:10" x14ac:dyDescent="0.35">
      <c r="J919">
        <v>0</v>
      </c>
    </row>
    <row r="920" spans="10:10" x14ac:dyDescent="0.35">
      <c r="J920">
        <v>0</v>
      </c>
    </row>
    <row r="921" spans="10:10" x14ac:dyDescent="0.35">
      <c r="J921">
        <v>0</v>
      </c>
    </row>
    <row r="922" spans="10:10" x14ac:dyDescent="0.35">
      <c r="J922">
        <v>0</v>
      </c>
    </row>
    <row r="923" spans="10:10" x14ac:dyDescent="0.35">
      <c r="J923">
        <v>0</v>
      </c>
    </row>
    <row r="924" spans="10:10" x14ac:dyDescent="0.35">
      <c r="J924">
        <v>39336.655659243101</v>
      </c>
    </row>
    <row r="925" spans="10:10" x14ac:dyDescent="0.35">
      <c r="J925">
        <v>22605.9873763174</v>
      </c>
    </row>
    <row r="926" spans="10:10" x14ac:dyDescent="0.35">
      <c r="J926">
        <v>10738.112832308419</v>
      </c>
    </row>
    <row r="927" spans="10:10" x14ac:dyDescent="0.35">
      <c r="J927">
        <v>10263.92576478457</v>
      </c>
    </row>
    <row r="928" spans="10:10" x14ac:dyDescent="0.35">
      <c r="J928">
        <v>10610.787940074129</v>
      </c>
    </row>
    <row r="929" spans="10:10" x14ac:dyDescent="0.35">
      <c r="J929">
        <v>0</v>
      </c>
    </row>
    <row r="930" spans="10:10" x14ac:dyDescent="0.35">
      <c r="J930">
        <v>0</v>
      </c>
    </row>
    <row r="931" spans="10:10" x14ac:dyDescent="0.35">
      <c r="J931">
        <v>0</v>
      </c>
    </row>
    <row r="932" spans="10:10" x14ac:dyDescent="0.35">
      <c r="J932">
        <v>0</v>
      </c>
    </row>
    <row r="933" spans="10:10" x14ac:dyDescent="0.35">
      <c r="J933">
        <v>0</v>
      </c>
    </row>
    <row r="934" spans="10:10" x14ac:dyDescent="0.35">
      <c r="J934">
        <v>19551.14845246523</v>
      </c>
    </row>
    <row r="935" spans="10:10" x14ac:dyDescent="0.35">
      <c r="J935">
        <v>21202.12195781336</v>
      </c>
    </row>
    <row r="936" spans="10:10" x14ac:dyDescent="0.35">
      <c r="J936">
        <v>23219.22620359006</v>
      </c>
    </row>
    <row r="937" spans="10:10" x14ac:dyDescent="0.35">
      <c r="J937">
        <v>24984.043624332618</v>
      </c>
    </row>
    <row r="938" spans="10:10" x14ac:dyDescent="0.35">
      <c r="J938">
        <v>26792.655316122429</v>
      </c>
    </row>
    <row r="939" spans="10:10" x14ac:dyDescent="0.35">
      <c r="J939">
        <v>0</v>
      </c>
    </row>
    <row r="940" spans="10:10" x14ac:dyDescent="0.35">
      <c r="J940">
        <v>0</v>
      </c>
    </row>
    <row r="941" spans="10:10" x14ac:dyDescent="0.35">
      <c r="J941">
        <v>0</v>
      </c>
    </row>
    <row r="942" spans="10:10" x14ac:dyDescent="0.35">
      <c r="J942">
        <v>0</v>
      </c>
    </row>
    <row r="943" spans="10:10" x14ac:dyDescent="0.35">
      <c r="J9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template</vt:lpstr>
      <vt:lpstr>_CombineConfig</vt:lpstr>
      <vt:lpstr>Output| Specialty RPT</vt:lpstr>
      <vt:lpstr>RPT1</vt:lpstr>
      <vt:lpstr>RPT2</vt:lpstr>
      <vt:lpstr>RPT3</vt:lpstr>
      <vt:lpstr>RPT4</vt:lpstr>
      <vt:lpstr>Combine</vt:lpstr>
      <vt:lpstr>rng_pasteID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Reddy, Penikalapati</dc:creator>
  <cp:lastModifiedBy>Mittal, Aakansha</cp:lastModifiedBy>
  <dcterms:created xsi:type="dcterms:W3CDTF">2026-08-17T08:40:17Z</dcterms:created>
  <dcterms:modified xsi:type="dcterms:W3CDTF">2026-09-11T12:14:48Z</dcterms:modified>
</cp:coreProperties>
</file>